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 Documents\Calculator &amp; Guidelines\Engineering Tools - Spreadsheets\"/>
    </mc:Choice>
  </mc:AlternateContent>
  <xr:revisionPtr revIDLastSave="0" documentId="13_ncr:1_{CADA5AF8-BDC6-4006-B4F5-0594F0045A74}" xr6:coauthVersionLast="36" xr6:coauthVersionMax="36" xr10:uidLastSave="{00000000-0000-0000-0000-000000000000}"/>
  <bookViews>
    <workbookView xWindow="240" yWindow="120" windowWidth="11580" windowHeight="5490" tabRatio="881" activeTab="9" xr2:uid="{00000000-000D-0000-FFFF-FFFF00000000}"/>
  </bookViews>
  <sheets>
    <sheet name="TEC" sheetId="21" r:id="rId1"/>
    <sheet name="LTEC" sheetId="23" state="hidden" r:id="rId2"/>
    <sheet name="Reference" sheetId="1" state="hidden" r:id="rId3"/>
    <sheet name="FLN Layout" sheetId="25" r:id="rId4"/>
    <sheet name="Box Schedule" sheetId="4" r:id="rId5"/>
    <sheet name="Panel Info" sheetId="15" r:id="rId6"/>
    <sheet name="Terminal Unit Valve Schedule" sheetId="16" r:id="rId7"/>
    <sheet name="Damper Schedule" sheetId="24" r:id="rId8"/>
    <sheet name="AFMS Schedule" sheetId="30" r:id="rId9"/>
    <sheet name="Water Flow Meters Schedule" sheetId="31" r:id="rId10"/>
    <sheet name="Ethernet Network Info" sheetId="26" r:id="rId11"/>
    <sheet name="VFD Setup" sheetId="27" r:id="rId12"/>
    <sheet name="Integrations" sheetId="28" r:id="rId13"/>
    <sheet name="Defaults" sheetId="14" r:id="rId14"/>
    <sheet name="Vlookup Tables" sheetId="17" r:id="rId15"/>
    <sheet name="Valve Reference" sheetId="18" r:id="rId16"/>
    <sheet name="Actuator Reference" sheetId="19" r:id="rId17"/>
    <sheet name="SCRATCH PAD" sheetId="22" r:id="rId18"/>
    <sheet name="copy of valve sheet" sheetId="29" state="hidden" r:id="rId19"/>
  </sheets>
  <externalReferences>
    <externalReference r:id="rId20"/>
  </externalReferences>
  <definedNames>
    <definedName name="_xlnm._FilterDatabase" localSheetId="16" hidden="1">'Actuator Reference'!$A$1:$H$54</definedName>
    <definedName name="_xlnm._FilterDatabase" localSheetId="4" hidden="1">'Box Schedule'!$E$1:$F$39</definedName>
    <definedName name="_xlnm._FilterDatabase" localSheetId="7" hidden="1">'Damper Schedule'!$AD$1:$AD$5</definedName>
    <definedName name="_xlnm._FilterDatabase" localSheetId="6" hidden="1">'Terminal Unit Valve Schedule'!#REF!</definedName>
    <definedName name="_xlnm._FilterDatabase" localSheetId="15" hidden="1">'Valve Reference'!$A$1:$K$390</definedName>
    <definedName name="_xlnm.Print_Area" localSheetId="4">'Box Schedule'!$A$1:$AV$138</definedName>
    <definedName name="_xlnm.Print_Area" localSheetId="7">'Damper Schedule'!$A$1:$AA$47</definedName>
    <definedName name="_xlnm.Print_Area" localSheetId="12">Integrations!$A$1:$Q$30</definedName>
    <definedName name="_xlnm.Print_Area" localSheetId="6">'Terminal Unit Valve Schedule'!$A$1:$T$153</definedName>
    <definedName name="_xlnm.Print_Area" localSheetId="14">'[1]Terminal Units'!$A$1:$O$4</definedName>
    <definedName name="_xlnm.Print_Titles" localSheetId="4">'Box Schedule'!$1:$8</definedName>
    <definedName name="_xlnm.Print_Titles" localSheetId="6">'Terminal Unit Valve Schedule'!$1:$3</definedName>
    <definedName name="_xlnm.Print_Titles" localSheetId="14">'Vlookup Tables'!$1:$3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2" i="31" l="1"/>
  <c r="Q10" i="31"/>
  <c r="Q8" i="31"/>
  <c r="C2" i="31"/>
  <c r="AA39" i="24" l="1"/>
  <c r="Y39" i="24"/>
  <c r="W39" i="24"/>
  <c r="U39" i="24"/>
  <c r="N39" i="24"/>
  <c r="AA37" i="24"/>
  <c r="Y37" i="24"/>
  <c r="W37" i="24"/>
  <c r="U37" i="24"/>
  <c r="N37" i="24"/>
  <c r="AA36" i="24"/>
  <c r="Y36" i="24"/>
  <c r="W36" i="24"/>
  <c r="U36" i="24"/>
  <c r="N36" i="24"/>
  <c r="AA35" i="24"/>
  <c r="Y35" i="24"/>
  <c r="W35" i="24"/>
  <c r="U35" i="24"/>
  <c r="N35" i="24"/>
  <c r="AA33" i="24"/>
  <c r="Y33" i="24"/>
  <c r="W33" i="24"/>
  <c r="U33" i="24"/>
  <c r="N33" i="24"/>
  <c r="AA31" i="24"/>
  <c r="Y31" i="24"/>
  <c r="W31" i="24"/>
  <c r="U31" i="24"/>
  <c r="N31" i="24"/>
  <c r="AA30" i="24"/>
  <c r="Y30" i="24"/>
  <c r="W30" i="24"/>
  <c r="U30" i="24"/>
  <c r="N30" i="24"/>
  <c r="AA29" i="24"/>
  <c r="Y29" i="24"/>
  <c r="W29" i="24"/>
  <c r="U29" i="24"/>
  <c r="N29" i="24"/>
  <c r="AA27" i="24"/>
  <c r="Y27" i="24"/>
  <c r="W27" i="24"/>
  <c r="U27" i="24"/>
  <c r="N27" i="24"/>
  <c r="M27" i="24"/>
  <c r="P27" i="24" s="1"/>
  <c r="R27" i="24" s="1"/>
  <c r="AA25" i="24"/>
  <c r="Y25" i="24"/>
  <c r="W25" i="24"/>
  <c r="U25" i="24"/>
  <c r="N25" i="24"/>
  <c r="AA24" i="24"/>
  <c r="Y24" i="24"/>
  <c r="W24" i="24"/>
  <c r="U24" i="24"/>
  <c r="N24" i="24"/>
  <c r="AA23" i="24"/>
  <c r="Y23" i="24"/>
  <c r="W23" i="24"/>
  <c r="U23" i="24"/>
  <c r="N23" i="24"/>
  <c r="AA21" i="24"/>
  <c r="Y21" i="24"/>
  <c r="W21" i="24"/>
  <c r="U21" i="24"/>
  <c r="N21" i="24"/>
  <c r="M21" i="24"/>
  <c r="P21" i="24" s="1"/>
  <c r="R21" i="24" s="1"/>
  <c r="AA19" i="24"/>
  <c r="Y19" i="24"/>
  <c r="W19" i="24"/>
  <c r="U19" i="24"/>
  <c r="N19" i="24"/>
  <c r="AA18" i="24"/>
  <c r="Y18" i="24"/>
  <c r="W18" i="24"/>
  <c r="U18" i="24"/>
  <c r="N18" i="24"/>
  <c r="AA17" i="24"/>
  <c r="Y17" i="24"/>
  <c r="W17" i="24"/>
  <c r="U17" i="24"/>
  <c r="N17" i="24"/>
  <c r="M17" i="24"/>
  <c r="P17" i="24" s="1"/>
  <c r="R17" i="24" s="1"/>
  <c r="AA15" i="24"/>
  <c r="Y15" i="24"/>
  <c r="W15" i="24"/>
  <c r="U15" i="24"/>
  <c r="N15" i="24"/>
  <c r="AA13" i="24"/>
  <c r="Y13" i="24"/>
  <c r="W13" i="24"/>
  <c r="U13" i="24"/>
  <c r="N13" i="24"/>
  <c r="AA12" i="24"/>
  <c r="Y12" i="24"/>
  <c r="W12" i="24"/>
  <c r="U12" i="24"/>
  <c r="N12" i="24"/>
  <c r="M12" i="24"/>
  <c r="P12" i="24" s="1"/>
  <c r="R12" i="24" s="1"/>
  <c r="AA11" i="24"/>
  <c r="Y11" i="24"/>
  <c r="W11" i="24"/>
  <c r="U11" i="24"/>
  <c r="N11" i="24"/>
  <c r="M11" i="24"/>
  <c r="P11" i="24" s="1"/>
  <c r="R11" i="24" s="1"/>
  <c r="N6" i="24"/>
  <c r="U6" i="24"/>
  <c r="W6" i="24"/>
  <c r="Y6" i="24"/>
  <c r="AA6" i="24"/>
  <c r="N7" i="24"/>
  <c r="U7" i="24"/>
  <c r="W7" i="24"/>
  <c r="Y7" i="24"/>
  <c r="AA7" i="24"/>
  <c r="N9" i="24"/>
  <c r="U9" i="24"/>
  <c r="W9" i="24"/>
  <c r="Y9" i="24"/>
  <c r="AA9" i="24"/>
  <c r="F39" i="24"/>
  <c r="M39" i="24" s="1"/>
  <c r="P39" i="24" s="1"/>
  <c r="R39" i="24" s="1"/>
  <c r="F38" i="24"/>
  <c r="F37" i="24"/>
  <c r="M37" i="24" s="1"/>
  <c r="P37" i="24" s="1"/>
  <c r="R37" i="24" s="1"/>
  <c r="F36" i="24"/>
  <c r="M36" i="24" s="1"/>
  <c r="P36" i="24" s="1"/>
  <c r="R36" i="24" s="1"/>
  <c r="F35" i="24"/>
  <c r="M35" i="24" s="1"/>
  <c r="P35" i="24" s="1"/>
  <c r="R35" i="24" s="1"/>
  <c r="F33" i="24"/>
  <c r="M33" i="24" s="1"/>
  <c r="F32" i="24"/>
  <c r="F31" i="24"/>
  <c r="M31" i="24" s="1"/>
  <c r="F30" i="24"/>
  <c r="M30" i="24" s="1"/>
  <c r="F29" i="24"/>
  <c r="M29" i="24" s="1"/>
  <c r="F27" i="24"/>
  <c r="F26" i="24"/>
  <c r="F25" i="24"/>
  <c r="M25" i="24" s="1"/>
  <c r="P25" i="24" s="1"/>
  <c r="R25" i="24" s="1"/>
  <c r="F24" i="24"/>
  <c r="M24" i="24" s="1"/>
  <c r="P24" i="24" s="1"/>
  <c r="R24" i="24" s="1"/>
  <c r="F23" i="24"/>
  <c r="M23" i="24" s="1"/>
  <c r="P23" i="24" s="1"/>
  <c r="R23" i="24" s="1"/>
  <c r="F21" i="24"/>
  <c r="F20" i="24"/>
  <c r="F19" i="24"/>
  <c r="M19" i="24" s="1"/>
  <c r="P19" i="24" s="1"/>
  <c r="R19" i="24" s="1"/>
  <c r="F18" i="24"/>
  <c r="M18" i="24" s="1"/>
  <c r="P18" i="24" s="1"/>
  <c r="R18" i="24" s="1"/>
  <c r="F17" i="24"/>
  <c r="F15" i="24"/>
  <c r="M15" i="24" s="1"/>
  <c r="P15" i="24" s="1"/>
  <c r="R15" i="24" s="1"/>
  <c r="F14" i="24"/>
  <c r="H14" i="24" s="1"/>
  <c r="F13" i="24"/>
  <c r="M13" i="24" s="1"/>
  <c r="P13" i="24" s="1"/>
  <c r="R13" i="24" s="1"/>
  <c r="F12" i="24"/>
  <c r="F11" i="24"/>
  <c r="F6" i="24"/>
  <c r="M6" i="24" s="1"/>
  <c r="F7" i="24"/>
  <c r="M7" i="24" s="1"/>
  <c r="F8" i="24"/>
  <c r="H8" i="24" s="1"/>
  <c r="F9" i="24"/>
  <c r="M9" i="24" s="1"/>
  <c r="P7" i="24" l="1"/>
  <c r="R7" i="24" s="1"/>
  <c r="P29" i="24"/>
  <c r="R29" i="24" s="1"/>
  <c r="P9" i="24"/>
  <c r="R9" i="24" s="1"/>
  <c r="P33" i="24"/>
  <c r="R33" i="24" s="1"/>
  <c r="P31" i="24"/>
  <c r="R31" i="24" s="1"/>
  <c r="P6" i="24"/>
  <c r="R6" i="24" s="1"/>
  <c r="P30" i="24"/>
  <c r="R30" i="24" s="1"/>
  <c r="H14" i="30"/>
  <c r="J14" i="30" s="1"/>
  <c r="H15" i="30"/>
  <c r="J15" i="30" s="1"/>
  <c r="H10" i="30"/>
  <c r="J10" i="30" s="1"/>
  <c r="H11" i="30"/>
  <c r="J11" i="30" s="1"/>
  <c r="H12" i="30"/>
  <c r="J12" i="30" s="1"/>
  <c r="H13" i="30"/>
  <c r="J13" i="30" s="1"/>
  <c r="AZ47" i="14" l="1"/>
  <c r="B9" i="4"/>
  <c r="V9" i="4"/>
  <c r="W9" i="4" s="1"/>
  <c r="I9" i="4"/>
  <c r="BF10" i="4"/>
  <c r="BF11" i="4"/>
  <c r="BF12" i="4"/>
  <c r="BF13" i="4"/>
  <c r="BF14" i="4"/>
  <c r="BF15" i="4"/>
  <c r="BF16" i="4"/>
  <c r="BF17" i="4"/>
  <c r="BF18" i="4"/>
  <c r="BF19" i="4"/>
  <c r="BF20" i="4"/>
  <c r="BF21" i="4"/>
  <c r="BF22" i="4"/>
  <c r="BF23" i="4"/>
  <c r="BF24" i="4"/>
  <c r="BF25" i="4"/>
  <c r="BF26" i="4"/>
  <c r="BF27" i="4"/>
  <c r="BF28" i="4"/>
  <c r="BF29" i="4"/>
  <c r="BF30" i="4"/>
  <c r="BF31" i="4"/>
  <c r="BF32" i="4"/>
  <c r="BF33" i="4"/>
  <c r="BF34" i="4"/>
  <c r="BF35" i="4"/>
  <c r="BF36" i="4"/>
  <c r="BF37" i="4"/>
  <c r="BF38" i="4"/>
  <c r="BF39" i="4"/>
  <c r="BF40" i="4"/>
  <c r="BF41" i="4"/>
  <c r="BF42" i="4"/>
  <c r="BF43" i="4"/>
  <c r="BF44" i="4"/>
  <c r="BF45" i="4"/>
  <c r="BF46" i="4"/>
  <c r="BF47" i="4"/>
  <c r="BF48" i="4"/>
  <c r="BF49" i="4"/>
  <c r="BF50" i="4"/>
  <c r="BF51" i="4"/>
  <c r="BF52" i="4"/>
  <c r="BF53" i="4"/>
  <c r="BF54" i="4"/>
  <c r="BF55" i="4"/>
  <c r="BF56" i="4"/>
  <c r="BF57" i="4"/>
  <c r="BF58" i="4"/>
  <c r="BF59" i="4"/>
  <c r="BF60" i="4"/>
  <c r="BF61" i="4"/>
  <c r="BF62" i="4"/>
  <c r="BF63" i="4"/>
  <c r="BF64" i="4"/>
  <c r="BF65" i="4"/>
  <c r="BF66" i="4"/>
  <c r="BF67" i="4"/>
  <c r="BF68" i="4"/>
  <c r="BF69" i="4"/>
  <c r="BF70" i="4"/>
  <c r="BF71" i="4"/>
  <c r="BF72" i="4"/>
  <c r="BF73" i="4"/>
  <c r="BF74" i="4"/>
  <c r="BF75" i="4"/>
  <c r="BF76" i="4"/>
  <c r="BF77" i="4"/>
  <c r="BF78" i="4"/>
  <c r="BF79" i="4"/>
  <c r="BF80" i="4"/>
  <c r="BF81" i="4"/>
  <c r="BF82" i="4"/>
  <c r="BF83" i="4"/>
  <c r="BF84" i="4"/>
  <c r="BF85" i="4"/>
  <c r="BF86" i="4"/>
  <c r="BF87" i="4"/>
  <c r="BF88" i="4"/>
  <c r="BF89" i="4"/>
  <c r="BF90" i="4"/>
  <c r="BF91" i="4"/>
  <c r="BF92" i="4"/>
  <c r="BF93" i="4"/>
  <c r="BF94" i="4"/>
  <c r="BF95" i="4"/>
  <c r="BF96" i="4"/>
  <c r="BF97" i="4"/>
  <c r="BF98" i="4"/>
  <c r="BF99" i="4"/>
  <c r="BF100" i="4"/>
  <c r="BF101" i="4"/>
  <c r="BF102" i="4"/>
  <c r="BF103" i="4"/>
  <c r="BF104" i="4"/>
  <c r="BF105" i="4"/>
  <c r="BF106" i="4"/>
  <c r="BF107" i="4"/>
  <c r="BF108" i="4"/>
  <c r="BF109" i="4"/>
  <c r="BF110" i="4"/>
  <c r="BF111" i="4"/>
  <c r="BF112" i="4"/>
  <c r="BF113" i="4"/>
  <c r="BF114" i="4"/>
  <c r="BF115" i="4"/>
  <c r="BF116" i="4"/>
  <c r="BF117" i="4"/>
  <c r="BF118" i="4"/>
  <c r="BF119" i="4"/>
  <c r="BF120" i="4"/>
  <c r="BF121" i="4"/>
  <c r="BF122" i="4"/>
  <c r="BF123" i="4"/>
  <c r="BF124" i="4"/>
  <c r="BF125" i="4"/>
  <c r="BF126" i="4"/>
  <c r="BF127" i="4"/>
  <c r="BF128" i="4"/>
  <c r="BF129" i="4"/>
  <c r="BF130" i="4"/>
  <c r="BF131" i="4"/>
  <c r="BF132" i="4"/>
  <c r="BF133" i="4"/>
  <c r="BF134" i="4"/>
  <c r="BF135" i="4"/>
  <c r="BF136" i="4"/>
  <c r="BF137" i="4"/>
  <c r="BF138" i="4"/>
  <c r="B11" i="17"/>
  <c r="B12" i="17"/>
  <c r="B13" i="17"/>
  <c r="B14" i="17"/>
  <c r="B15" i="17"/>
  <c r="B16" i="17"/>
  <c r="B17" i="17"/>
  <c r="B10" i="17"/>
  <c r="B3" i="17"/>
  <c r="B4" i="17"/>
  <c r="B5" i="17"/>
  <c r="B6" i="17"/>
  <c r="B7" i="17"/>
  <c r="B8" i="17"/>
  <c r="B9" i="17"/>
  <c r="B2" i="17"/>
  <c r="B218" i="16"/>
  <c r="G218" i="16" s="1"/>
  <c r="A218" i="16"/>
  <c r="AI218" i="16" s="1"/>
  <c r="B217" i="16"/>
  <c r="E217" i="16" s="1"/>
  <c r="A217" i="16"/>
  <c r="AI217" i="16" s="1"/>
  <c r="B216" i="16"/>
  <c r="A216" i="16"/>
  <c r="AI216" i="16" s="1"/>
  <c r="B215" i="16"/>
  <c r="E215" i="16" s="1"/>
  <c r="A215" i="16"/>
  <c r="AI215" i="16" s="1"/>
  <c r="B214" i="16"/>
  <c r="E214" i="16" s="1"/>
  <c r="A214" i="16"/>
  <c r="AI214" i="16" s="1"/>
  <c r="B213" i="16"/>
  <c r="E213" i="16" s="1"/>
  <c r="A213" i="16"/>
  <c r="AI213" i="16" s="1"/>
  <c r="B212" i="16"/>
  <c r="I212" i="16" s="1"/>
  <c r="P212" i="16" s="1"/>
  <c r="A212" i="16"/>
  <c r="AI212" i="16" s="1"/>
  <c r="B211" i="16"/>
  <c r="A211" i="16"/>
  <c r="AI211" i="16" s="1"/>
  <c r="B210" i="16"/>
  <c r="G210" i="16" s="1"/>
  <c r="H210" i="16" s="1"/>
  <c r="A210" i="16"/>
  <c r="AI210" i="16" s="1"/>
  <c r="B209" i="16"/>
  <c r="E209" i="16" s="1"/>
  <c r="F209" i="16" s="1"/>
  <c r="A209" i="16"/>
  <c r="AI209" i="16" s="1"/>
  <c r="B208" i="16"/>
  <c r="A208" i="16"/>
  <c r="AI208" i="16" s="1"/>
  <c r="B207" i="16"/>
  <c r="E207" i="16" s="1"/>
  <c r="A207" i="16"/>
  <c r="AI207" i="16" s="1"/>
  <c r="B206" i="16"/>
  <c r="E206" i="16" s="1"/>
  <c r="A206" i="16"/>
  <c r="AI206" i="16" s="1"/>
  <c r="B205" i="16"/>
  <c r="E205" i="16" s="1"/>
  <c r="A205" i="16"/>
  <c r="AI205" i="16" s="1"/>
  <c r="B204" i="16"/>
  <c r="E204" i="16" s="1"/>
  <c r="A204" i="16"/>
  <c r="AI204" i="16" s="1"/>
  <c r="B203" i="16"/>
  <c r="A203" i="16"/>
  <c r="AI203" i="16" s="1"/>
  <c r="B202" i="16"/>
  <c r="I202" i="16" s="1"/>
  <c r="T202" i="16" s="1"/>
  <c r="A202" i="16"/>
  <c r="AI202" i="16" s="1"/>
  <c r="B201" i="16"/>
  <c r="A201" i="16"/>
  <c r="AI201" i="16" s="1"/>
  <c r="B200" i="16"/>
  <c r="A200" i="16"/>
  <c r="AI200" i="16" s="1"/>
  <c r="B199" i="16"/>
  <c r="G199" i="16" s="1"/>
  <c r="A199" i="16"/>
  <c r="AI199" i="16" s="1"/>
  <c r="B198" i="16"/>
  <c r="E198" i="16" s="1"/>
  <c r="A198" i="16"/>
  <c r="AI198" i="16" s="1"/>
  <c r="B197" i="16"/>
  <c r="E197" i="16" s="1"/>
  <c r="A197" i="16"/>
  <c r="AI197" i="16" s="1"/>
  <c r="B196" i="16"/>
  <c r="E196" i="16" s="1"/>
  <c r="A196" i="16"/>
  <c r="AI196" i="16" s="1"/>
  <c r="B195" i="16"/>
  <c r="A195" i="16"/>
  <c r="AI195" i="16" s="1"/>
  <c r="B194" i="16"/>
  <c r="G194" i="16" s="1"/>
  <c r="A194" i="16"/>
  <c r="AI194" i="16" s="1"/>
  <c r="B193" i="16"/>
  <c r="E193" i="16" s="1"/>
  <c r="A193" i="16"/>
  <c r="AI193" i="16" s="1"/>
  <c r="B192" i="16"/>
  <c r="A192" i="16"/>
  <c r="AI192" i="16" s="1"/>
  <c r="B191" i="16"/>
  <c r="G191" i="16" s="1"/>
  <c r="H191" i="16" s="1"/>
  <c r="A191" i="16"/>
  <c r="AI191" i="16" s="1"/>
  <c r="B190" i="16"/>
  <c r="E190" i="16" s="1"/>
  <c r="A190" i="16"/>
  <c r="AI190" i="16" s="1"/>
  <c r="B189" i="16"/>
  <c r="E189" i="16" s="1"/>
  <c r="A189" i="16"/>
  <c r="AI189" i="16" s="1"/>
  <c r="B188" i="16"/>
  <c r="T188" i="16" s="1"/>
  <c r="A188" i="16"/>
  <c r="AI188" i="16" s="1"/>
  <c r="B187" i="16"/>
  <c r="Q187" i="16" s="1"/>
  <c r="A187" i="16"/>
  <c r="AI187" i="16" s="1"/>
  <c r="B186" i="16"/>
  <c r="E186" i="16" s="1"/>
  <c r="A186" i="16"/>
  <c r="AI186" i="16" s="1"/>
  <c r="B185" i="16"/>
  <c r="E185" i="16" s="1"/>
  <c r="A185" i="16"/>
  <c r="AI185" i="16" s="1"/>
  <c r="B184" i="16"/>
  <c r="G184" i="16" s="1"/>
  <c r="H184" i="16" s="1"/>
  <c r="A184" i="16"/>
  <c r="AI184" i="16" s="1"/>
  <c r="B183" i="16"/>
  <c r="A183" i="16"/>
  <c r="AI183" i="16" s="1"/>
  <c r="B182" i="16"/>
  <c r="A182" i="16"/>
  <c r="AI182" i="16" s="1"/>
  <c r="B181" i="16"/>
  <c r="E181" i="16" s="1"/>
  <c r="F181" i="16" s="1"/>
  <c r="A181" i="16"/>
  <c r="AI181" i="16" s="1"/>
  <c r="B180" i="16"/>
  <c r="A180" i="16"/>
  <c r="AI180" i="16" s="1"/>
  <c r="B179" i="16"/>
  <c r="E179" i="16" s="1"/>
  <c r="A179" i="16"/>
  <c r="AI179" i="16" s="1"/>
  <c r="B178" i="16"/>
  <c r="E178" i="16" s="1"/>
  <c r="A178" i="16"/>
  <c r="AI178" i="16" s="1"/>
  <c r="B177" i="16"/>
  <c r="I177" i="16" s="1"/>
  <c r="P177" i="16" s="1"/>
  <c r="A177" i="16"/>
  <c r="AI177" i="16" s="1"/>
  <c r="B176" i="16"/>
  <c r="E176" i="16" s="1"/>
  <c r="A176" i="16"/>
  <c r="AI176" i="16" s="1"/>
  <c r="B175" i="16"/>
  <c r="A175" i="16"/>
  <c r="AI175" i="16" s="1"/>
  <c r="B174" i="16"/>
  <c r="G174" i="16" s="1"/>
  <c r="H174" i="16" s="1"/>
  <c r="A174" i="16"/>
  <c r="AI174" i="16" s="1"/>
  <c r="B173" i="16"/>
  <c r="E173" i="16" s="1"/>
  <c r="A173" i="16"/>
  <c r="AI173" i="16" s="1"/>
  <c r="B172" i="16"/>
  <c r="A172" i="16"/>
  <c r="AI172" i="16" s="1"/>
  <c r="B171" i="16"/>
  <c r="E171" i="16" s="1"/>
  <c r="F171" i="16" s="1"/>
  <c r="A171" i="16"/>
  <c r="AI171" i="16" s="1"/>
  <c r="B170" i="16"/>
  <c r="A170" i="16"/>
  <c r="AI170" i="16" s="1"/>
  <c r="B169" i="16"/>
  <c r="E169" i="16" s="1"/>
  <c r="A169" i="16"/>
  <c r="AI169" i="16" s="1"/>
  <c r="B168" i="16"/>
  <c r="E168" i="16" s="1"/>
  <c r="A168" i="16"/>
  <c r="AI168" i="16" s="1"/>
  <c r="B167" i="16"/>
  <c r="E167" i="16" s="1"/>
  <c r="F167" i="16" s="1"/>
  <c r="A167" i="16"/>
  <c r="AI167" i="16" s="1"/>
  <c r="B166" i="16"/>
  <c r="E166" i="16" s="1"/>
  <c r="A166" i="16"/>
  <c r="AI166" i="16" s="1"/>
  <c r="B165" i="16"/>
  <c r="A165" i="16"/>
  <c r="AI165" i="16" s="1"/>
  <c r="B164" i="16"/>
  <c r="I164" i="16" s="1"/>
  <c r="A164" i="16"/>
  <c r="AI164" i="16" s="1"/>
  <c r="B163" i="16"/>
  <c r="E163" i="16" s="1"/>
  <c r="A163" i="16"/>
  <c r="AI163" i="16" s="1"/>
  <c r="B162" i="16"/>
  <c r="E162" i="16" s="1"/>
  <c r="A162" i="16"/>
  <c r="AI162" i="16" s="1"/>
  <c r="B161" i="16"/>
  <c r="A161" i="16"/>
  <c r="AI161" i="16" s="1"/>
  <c r="B160" i="16"/>
  <c r="G160" i="16" s="1"/>
  <c r="A160" i="16"/>
  <c r="AI160" i="16" s="1"/>
  <c r="B159" i="16"/>
  <c r="E159" i="16" s="1"/>
  <c r="A159" i="16"/>
  <c r="AI159" i="16" s="1"/>
  <c r="B158" i="16"/>
  <c r="E158" i="16" s="1"/>
  <c r="F158" i="16" s="1"/>
  <c r="A158" i="16"/>
  <c r="AI158" i="16" s="1"/>
  <c r="B157" i="16"/>
  <c r="G157" i="16" s="1"/>
  <c r="J157" i="16" s="1"/>
  <c r="A157" i="16"/>
  <c r="AI157" i="16" s="1"/>
  <c r="B156" i="16"/>
  <c r="A156" i="16"/>
  <c r="AI156" i="16" s="1"/>
  <c r="B155" i="16"/>
  <c r="I155" i="16" s="1"/>
  <c r="T155" i="16" s="1"/>
  <c r="A155" i="16"/>
  <c r="AI155" i="16" s="1"/>
  <c r="B154" i="16"/>
  <c r="E154" i="16" s="1"/>
  <c r="F154" i="16" s="1"/>
  <c r="A154" i="16"/>
  <c r="AI154" i="16" s="1"/>
  <c r="A6" i="16"/>
  <c r="AI6" i="16" s="1"/>
  <c r="A7" i="16"/>
  <c r="AI7" i="16" s="1"/>
  <c r="A8" i="16"/>
  <c r="AI8" i="16" s="1"/>
  <c r="E8" i="16"/>
  <c r="F8" i="16" s="1"/>
  <c r="A9" i="16"/>
  <c r="AI9" i="16" s="1"/>
  <c r="A10" i="16"/>
  <c r="AI10" i="16" s="1"/>
  <c r="A11" i="16"/>
  <c r="AI11" i="16" s="1"/>
  <c r="A12" i="16"/>
  <c r="AI12" i="16" s="1"/>
  <c r="E12" i="16"/>
  <c r="A13" i="16"/>
  <c r="AI13" i="16" s="1"/>
  <c r="A14" i="16"/>
  <c r="AI14" i="16" s="1"/>
  <c r="A15" i="16"/>
  <c r="AI15" i="16" s="1"/>
  <c r="I15" i="16"/>
  <c r="A16" i="16"/>
  <c r="AI16" i="16" s="1"/>
  <c r="E16" i="16"/>
  <c r="F16" i="16" s="1"/>
  <c r="A17" i="16"/>
  <c r="AI17" i="16" s="1"/>
  <c r="I17" i="16"/>
  <c r="S17" i="16" s="1"/>
  <c r="A18" i="16"/>
  <c r="AI18" i="16" s="1"/>
  <c r="E18" i="16"/>
  <c r="A19" i="16"/>
  <c r="AI19" i="16" s="1"/>
  <c r="A20" i="16"/>
  <c r="AI20" i="16" s="1"/>
  <c r="E20" i="16"/>
  <c r="F20" i="16" s="1"/>
  <c r="A21" i="16"/>
  <c r="AI21" i="16" s="1"/>
  <c r="A22" i="16"/>
  <c r="AI22" i="16" s="1"/>
  <c r="A23" i="16"/>
  <c r="AI23" i="16" s="1"/>
  <c r="A24" i="16"/>
  <c r="AI24" i="16" s="1"/>
  <c r="E24" i="16"/>
  <c r="F24" i="16" s="1"/>
  <c r="A25" i="16"/>
  <c r="AI25" i="16" s="1"/>
  <c r="A26" i="16"/>
  <c r="AI26" i="16" s="1"/>
  <c r="E26" i="16"/>
  <c r="A27" i="16"/>
  <c r="AI27" i="16" s="1"/>
  <c r="A28" i="16"/>
  <c r="AI28" i="16" s="1"/>
  <c r="E28" i="16"/>
  <c r="A29" i="16"/>
  <c r="AI29" i="16" s="1"/>
  <c r="E29" i="16"/>
  <c r="F29" i="16" s="1"/>
  <c r="A30" i="16"/>
  <c r="AI30" i="16" s="1"/>
  <c r="A31" i="16"/>
  <c r="AI31" i="16" s="1"/>
  <c r="I31" i="16"/>
  <c r="A32" i="16"/>
  <c r="AI32" i="16" s="1"/>
  <c r="E32" i="16"/>
  <c r="F32" i="16" s="1"/>
  <c r="A33" i="16"/>
  <c r="AI33" i="16" s="1"/>
  <c r="I33" i="16"/>
  <c r="S33" i="16" s="1"/>
  <c r="A34" i="16"/>
  <c r="AI34" i="16" s="1"/>
  <c r="E34" i="16"/>
  <c r="A35" i="16"/>
  <c r="AI35" i="16" s="1"/>
  <c r="A36" i="16"/>
  <c r="AI36" i="16" s="1"/>
  <c r="E36" i="16"/>
  <c r="F36" i="16" s="1"/>
  <c r="A37" i="16"/>
  <c r="AI37" i="16" s="1"/>
  <c r="I37" i="16"/>
  <c r="A38" i="16"/>
  <c r="AI38" i="16" s="1"/>
  <c r="A39" i="16"/>
  <c r="AI39" i="16" s="1"/>
  <c r="A40" i="16"/>
  <c r="AI40" i="16" s="1"/>
  <c r="E40" i="16"/>
  <c r="F40" i="16" s="1"/>
  <c r="A41" i="16"/>
  <c r="AI41" i="16" s="1"/>
  <c r="I41" i="16"/>
  <c r="A42" i="16"/>
  <c r="AI42" i="16" s="1"/>
  <c r="E42" i="16"/>
  <c r="A43" i="16"/>
  <c r="AI43" i="16" s="1"/>
  <c r="A44" i="16"/>
  <c r="AI44" i="16" s="1"/>
  <c r="E44" i="16"/>
  <c r="A45" i="16"/>
  <c r="AI45" i="16" s="1"/>
  <c r="E45" i="16"/>
  <c r="F45" i="16" s="1"/>
  <c r="A46" i="16"/>
  <c r="AI46" i="16" s="1"/>
  <c r="B46" i="16"/>
  <c r="A47" i="16"/>
  <c r="AI47" i="16" s="1"/>
  <c r="B47" i="16"/>
  <c r="A48" i="16"/>
  <c r="AI48" i="16" s="1"/>
  <c r="B48" i="16"/>
  <c r="E48" i="16" s="1"/>
  <c r="F48" i="16" s="1"/>
  <c r="A49" i="16"/>
  <c r="AI49" i="16" s="1"/>
  <c r="B49" i="16"/>
  <c r="A50" i="16"/>
  <c r="AI50" i="16" s="1"/>
  <c r="B50" i="16"/>
  <c r="R50" i="16" s="1"/>
  <c r="A51" i="16"/>
  <c r="AI51" i="16" s="1"/>
  <c r="B51" i="16"/>
  <c r="A52" i="16"/>
  <c r="AI52" i="16" s="1"/>
  <c r="B52" i="16"/>
  <c r="E52" i="16" s="1"/>
  <c r="F52" i="16" s="1"/>
  <c r="A53" i="16"/>
  <c r="AI53" i="16" s="1"/>
  <c r="B53" i="16"/>
  <c r="A54" i="16"/>
  <c r="AI54" i="16" s="1"/>
  <c r="B54" i="16"/>
  <c r="A55" i="16"/>
  <c r="AI55" i="16" s="1"/>
  <c r="B55" i="16"/>
  <c r="I55" i="16" s="1"/>
  <c r="R55" i="16" s="1"/>
  <c r="A56" i="16"/>
  <c r="AI56" i="16" s="1"/>
  <c r="B56" i="16"/>
  <c r="E56" i="16" s="1"/>
  <c r="F56" i="16" s="1"/>
  <c r="A57" i="16"/>
  <c r="AI57" i="16" s="1"/>
  <c r="B57" i="16"/>
  <c r="A58" i="16"/>
  <c r="AI58" i="16" s="1"/>
  <c r="B58" i="16"/>
  <c r="A59" i="16"/>
  <c r="AI59" i="16" s="1"/>
  <c r="B59" i="16"/>
  <c r="I59" i="16" s="1"/>
  <c r="Q59" i="16" s="1"/>
  <c r="A60" i="16"/>
  <c r="AI60" i="16" s="1"/>
  <c r="B60" i="16"/>
  <c r="G60" i="16" s="1"/>
  <c r="A61" i="16"/>
  <c r="AI61" i="16" s="1"/>
  <c r="B61" i="16"/>
  <c r="A62" i="16"/>
  <c r="AI62" i="16" s="1"/>
  <c r="B62" i="16"/>
  <c r="A63" i="16"/>
  <c r="AI63" i="16" s="1"/>
  <c r="B63" i="16"/>
  <c r="I63" i="16" s="1"/>
  <c r="Q63" i="16" s="1"/>
  <c r="A64" i="16"/>
  <c r="AI64" i="16" s="1"/>
  <c r="B64" i="16"/>
  <c r="A65" i="16"/>
  <c r="AI65" i="16" s="1"/>
  <c r="B65" i="16"/>
  <c r="E65" i="16" s="1"/>
  <c r="F65" i="16" s="1"/>
  <c r="A66" i="16"/>
  <c r="AI66" i="16" s="1"/>
  <c r="B66" i="16"/>
  <c r="A67" i="16"/>
  <c r="AI67" i="16" s="1"/>
  <c r="B67" i="16"/>
  <c r="A68" i="16"/>
  <c r="AI68" i="16" s="1"/>
  <c r="B68" i="16"/>
  <c r="G68" i="16" s="1"/>
  <c r="A69" i="16"/>
  <c r="AI69" i="16" s="1"/>
  <c r="B69" i="16"/>
  <c r="A70" i="16"/>
  <c r="AI70" i="16" s="1"/>
  <c r="B70" i="16"/>
  <c r="G70" i="16" s="1"/>
  <c r="A71" i="16"/>
  <c r="AI71" i="16" s="1"/>
  <c r="B71" i="16"/>
  <c r="I71" i="16" s="1"/>
  <c r="Q71" i="16" s="1"/>
  <c r="A72" i="16"/>
  <c r="AI72" i="16" s="1"/>
  <c r="B72" i="16"/>
  <c r="A73" i="16"/>
  <c r="AI73" i="16" s="1"/>
  <c r="B73" i="16"/>
  <c r="H73" i="16" s="1"/>
  <c r="A74" i="16"/>
  <c r="AI74" i="16" s="1"/>
  <c r="B74" i="16"/>
  <c r="G74" i="16" s="1"/>
  <c r="J74" i="16" s="1"/>
  <c r="A75" i="16"/>
  <c r="AI75" i="16" s="1"/>
  <c r="B75" i="16"/>
  <c r="A76" i="16"/>
  <c r="AI76" i="16" s="1"/>
  <c r="B76" i="16"/>
  <c r="A77" i="16"/>
  <c r="AI77" i="16" s="1"/>
  <c r="B77" i="16"/>
  <c r="A78" i="16"/>
  <c r="AI78" i="16" s="1"/>
  <c r="B78" i="16"/>
  <c r="E78" i="16" s="1"/>
  <c r="A79" i="16"/>
  <c r="AI79" i="16" s="1"/>
  <c r="B79" i="16"/>
  <c r="A80" i="16"/>
  <c r="AI80" i="16" s="1"/>
  <c r="B80" i="16"/>
  <c r="O80" i="16" s="1"/>
  <c r="A81" i="16"/>
  <c r="AI81" i="16" s="1"/>
  <c r="B81" i="16"/>
  <c r="A82" i="16"/>
  <c r="AI82" i="16" s="1"/>
  <c r="B82" i="16"/>
  <c r="A83" i="16"/>
  <c r="AI83" i="16" s="1"/>
  <c r="B83" i="16"/>
  <c r="I83" i="16" s="1"/>
  <c r="A84" i="16"/>
  <c r="AI84" i="16" s="1"/>
  <c r="B84" i="16"/>
  <c r="G84" i="16" s="1"/>
  <c r="H84" i="16" s="1"/>
  <c r="A85" i="16"/>
  <c r="AI85" i="16" s="1"/>
  <c r="B85" i="16"/>
  <c r="I85" i="16" s="1"/>
  <c r="A86" i="16"/>
  <c r="AI86" i="16" s="1"/>
  <c r="B86" i="16"/>
  <c r="G86" i="16" s="1"/>
  <c r="J86" i="16" s="1"/>
  <c r="O86" i="16" s="1"/>
  <c r="A87" i="16"/>
  <c r="AI87" i="16" s="1"/>
  <c r="B87" i="16"/>
  <c r="E87" i="16" s="1"/>
  <c r="A88" i="16"/>
  <c r="AI88" i="16" s="1"/>
  <c r="B88" i="16"/>
  <c r="G88" i="16" s="1"/>
  <c r="H88" i="16" s="1"/>
  <c r="A89" i="16"/>
  <c r="AI89" i="16" s="1"/>
  <c r="B89" i="16"/>
  <c r="I89" i="16" s="1"/>
  <c r="A90" i="16"/>
  <c r="AI90" i="16" s="1"/>
  <c r="B90" i="16"/>
  <c r="G90" i="16" s="1"/>
  <c r="J90" i="16" s="1"/>
  <c r="O90" i="16" s="1"/>
  <c r="A91" i="16"/>
  <c r="AI91" i="16" s="1"/>
  <c r="B91" i="16"/>
  <c r="A92" i="16"/>
  <c r="AI92" i="16" s="1"/>
  <c r="B92" i="16"/>
  <c r="A93" i="16"/>
  <c r="AI93" i="16" s="1"/>
  <c r="B93" i="16"/>
  <c r="G93" i="16" s="1"/>
  <c r="J93" i="16" s="1"/>
  <c r="K93" i="16" s="1"/>
  <c r="A94" i="16"/>
  <c r="AI94" i="16" s="1"/>
  <c r="B94" i="16"/>
  <c r="E94" i="16" s="1"/>
  <c r="A95" i="16"/>
  <c r="AI95" i="16" s="1"/>
  <c r="B95" i="16"/>
  <c r="A96" i="16"/>
  <c r="AI96" i="16" s="1"/>
  <c r="B96" i="16"/>
  <c r="G96" i="16" s="1"/>
  <c r="H96" i="16" s="1"/>
  <c r="A97" i="16"/>
  <c r="AI97" i="16" s="1"/>
  <c r="B97" i="16"/>
  <c r="A98" i="16"/>
  <c r="AI98" i="16" s="1"/>
  <c r="B98" i="16"/>
  <c r="A99" i="16"/>
  <c r="AI99" i="16" s="1"/>
  <c r="B99" i="16"/>
  <c r="E99" i="16" s="1"/>
  <c r="A100" i="16"/>
  <c r="AI100" i="16" s="1"/>
  <c r="B100" i="16"/>
  <c r="G100" i="16" s="1"/>
  <c r="H100" i="16" s="1"/>
  <c r="A101" i="16"/>
  <c r="AI101" i="16" s="1"/>
  <c r="B101" i="16"/>
  <c r="E101" i="16" s="1"/>
  <c r="F101" i="16" s="1"/>
  <c r="A102" i="16"/>
  <c r="AI102" i="16" s="1"/>
  <c r="B102" i="16"/>
  <c r="G102" i="16" s="1"/>
  <c r="J102" i="16" s="1"/>
  <c r="O102" i="16" s="1"/>
  <c r="A103" i="16"/>
  <c r="AI103" i="16" s="1"/>
  <c r="B103" i="16"/>
  <c r="I103" i="16" s="1"/>
  <c r="P103" i="16" s="1"/>
  <c r="A104" i="16"/>
  <c r="AI104" i="16" s="1"/>
  <c r="B104" i="16"/>
  <c r="G104" i="16" s="1"/>
  <c r="H104" i="16" s="1"/>
  <c r="A105" i="16"/>
  <c r="AI105" i="16" s="1"/>
  <c r="B105" i="16"/>
  <c r="A106" i="16"/>
  <c r="AI106" i="16" s="1"/>
  <c r="B106" i="16"/>
  <c r="E106" i="16" s="1"/>
  <c r="A107" i="16"/>
  <c r="AI107" i="16" s="1"/>
  <c r="B107" i="16"/>
  <c r="A108" i="16"/>
  <c r="AI108" i="16" s="1"/>
  <c r="B108" i="16"/>
  <c r="A109" i="16"/>
  <c r="AI109" i="16" s="1"/>
  <c r="B109" i="16"/>
  <c r="A110" i="16"/>
  <c r="AI110" i="16" s="1"/>
  <c r="B110" i="16"/>
  <c r="E110" i="16" s="1"/>
  <c r="A111" i="16"/>
  <c r="AI111" i="16" s="1"/>
  <c r="B111" i="16"/>
  <c r="I111" i="16" s="1"/>
  <c r="P111" i="16" s="1"/>
  <c r="A112" i="16"/>
  <c r="AI112" i="16" s="1"/>
  <c r="B112" i="16"/>
  <c r="G112" i="16" s="1"/>
  <c r="H112" i="16" s="1"/>
  <c r="A113" i="16"/>
  <c r="AI113" i="16" s="1"/>
  <c r="B113" i="16"/>
  <c r="A114" i="16"/>
  <c r="AI114" i="16" s="1"/>
  <c r="B114" i="16"/>
  <c r="G114" i="16" s="1"/>
  <c r="J114" i="16" s="1"/>
  <c r="O114" i="16" s="1"/>
  <c r="A115" i="16"/>
  <c r="AI115" i="16" s="1"/>
  <c r="B115" i="16"/>
  <c r="A116" i="16"/>
  <c r="AI116" i="16" s="1"/>
  <c r="B116" i="16"/>
  <c r="G116" i="16" s="1"/>
  <c r="H116" i="16" s="1"/>
  <c r="A117" i="16"/>
  <c r="AI117" i="16" s="1"/>
  <c r="B117" i="16"/>
  <c r="E117" i="16" s="1"/>
  <c r="F117" i="16" s="1"/>
  <c r="A118" i="16"/>
  <c r="AI118" i="16" s="1"/>
  <c r="B118" i="16"/>
  <c r="A119" i="16"/>
  <c r="AI119" i="16" s="1"/>
  <c r="B119" i="16"/>
  <c r="A120" i="16"/>
  <c r="AI120" i="16" s="1"/>
  <c r="B120" i="16"/>
  <c r="G120" i="16" s="1"/>
  <c r="H120" i="16" s="1"/>
  <c r="A121" i="16"/>
  <c r="AI121" i="16" s="1"/>
  <c r="B121" i="16"/>
  <c r="I121" i="16" s="1"/>
  <c r="S121" i="16" s="1"/>
  <c r="A122" i="16"/>
  <c r="AI122" i="16" s="1"/>
  <c r="B122" i="16"/>
  <c r="E122" i="16" s="1"/>
  <c r="A123" i="16"/>
  <c r="AI123" i="16" s="1"/>
  <c r="B123" i="16"/>
  <c r="A124" i="16"/>
  <c r="AI124" i="16" s="1"/>
  <c r="B124" i="16"/>
  <c r="G124" i="16" s="1"/>
  <c r="H124" i="16" s="1"/>
  <c r="A125" i="16"/>
  <c r="AI125" i="16" s="1"/>
  <c r="B125" i="16"/>
  <c r="E125" i="16" s="1"/>
  <c r="A126" i="16"/>
  <c r="AI126" i="16" s="1"/>
  <c r="B126" i="16"/>
  <c r="A127" i="16"/>
  <c r="AI127" i="16" s="1"/>
  <c r="B127" i="16"/>
  <c r="A128" i="16"/>
  <c r="AI128" i="16" s="1"/>
  <c r="B128" i="16"/>
  <c r="G128" i="16" s="1"/>
  <c r="H128" i="16" s="1"/>
  <c r="A129" i="16"/>
  <c r="AI129" i="16" s="1"/>
  <c r="B129" i="16"/>
  <c r="I129" i="16" s="1"/>
  <c r="A130" i="16"/>
  <c r="AI130" i="16" s="1"/>
  <c r="B130" i="16"/>
  <c r="A131" i="16"/>
  <c r="AI131" i="16" s="1"/>
  <c r="B131" i="16"/>
  <c r="A132" i="16"/>
  <c r="AI132" i="16" s="1"/>
  <c r="B132" i="16"/>
  <c r="G132" i="16" s="1"/>
  <c r="H132" i="16" s="1"/>
  <c r="A133" i="16"/>
  <c r="AI133" i="16" s="1"/>
  <c r="B133" i="16"/>
  <c r="G133" i="16" s="1"/>
  <c r="J133" i="16" s="1"/>
  <c r="O133" i="16" s="1"/>
  <c r="A134" i="16"/>
  <c r="AI134" i="16" s="1"/>
  <c r="B134" i="16"/>
  <c r="G134" i="16" s="1"/>
  <c r="H134" i="16" s="1"/>
  <c r="A135" i="16"/>
  <c r="AI135" i="16" s="1"/>
  <c r="B135" i="16"/>
  <c r="G135" i="16" s="1"/>
  <c r="A136" i="16"/>
  <c r="AI136" i="16" s="1"/>
  <c r="B136" i="16"/>
  <c r="A137" i="16"/>
  <c r="AI137" i="16" s="1"/>
  <c r="B137" i="16"/>
  <c r="G137" i="16" s="1"/>
  <c r="J137" i="16" s="1"/>
  <c r="A138" i="16"/>
  <c r="AI138" i="16" s="1"/>
  <c r="B138" i="16"/>
  <c r="A139" i="16"/>
  <c r="AI139" i="16" s="1"/>
  <c r="B139" i="16"/>
  <c r="A140" i="16"/>
  <c r="AI140" i="16" s="1"/>
  <c r="B140" i="16"/>
  <c r="A141" i="16"/>
  <c r="AI141" i="16" s="1"/>
  <c r="B141" i="16"/>
  <c r="G141" i="16" s="1"/>
  <c r="J141" i="16" s="1"/>
  <c r="A142" i="16"/>
  <c r="AI142" i="16" s="1"/>
  <c r="B142" i="16"/>
  <c r="G142" i="16" s="1"/>
  <c r="H142" i="16" s="1"/>
  <c r="A143" i="16"/>
  <c r="AI143" i="16" s="1"/>
  <c r="B143" i="16"/>
  <c r="J143" i="16" s="1"/>
  <c r="A144" i="16"/>
  <c r="AI144" i="16" s="1"/>
  <c r="B144" i="16"/>
  <c r="K144" i="16" s="1"/>
  <c r="A145" i="16"/>
  <c r="AI145" i="16" s="1"/>
  <c r="B145" i="16"/>
  <c r="G145" i="16" s="1"/>
  <c r="J145" i="16" s="1"/>
  <c r="K145" i="16" s="1"/>
  <c r="A146" i="16"/>
  <c r="AI146" i="16" s="1"/>
  <c r="B146" i="16"/>
  <c r="A147" i="16"/>
  <c r="AI147" i="16" s="1"/>
  <c r="B147" i="16"/>
  <c r="G147" i="16" s="1"/>
  <c r="A148" i="16"/>
  <c r="AI148" i="16" s="1"/>
  <c r="B148" i="16"/>
  <c r="A149" i="16"/>
  <c r="AI149" i="16" s="1"/>
  <c r="B149" i="16"/>
  <c r="G149" i="16" s="1"/>
  <c r="J149" i="16" s="1"/>
  <c r="K149" i="16" s="1"/>
  <c r="A150" i="16"/>
  <c r="AI150" i="16" s="1"/>
  <c r="B150" i="16"/>
  <c r="A151" i="16"/>
  <c r="AI151" i="16" s="1"/>
  <c r="B151" i="16"/>
  <c r="A152" i="16"/>
  <c r="AI152" i="16" s="1"/>
  <c r="B152" i="16"/>
  <c r="A153" i="16"/>
  <c r="AI153" i="16" s="1"/>
  <c r="B153" i="16"/>
  <c r="G153" i="16" s="1"/>
  <c r="J153" i="16" s="1"/>
  <c r="K153" i="16" s="1"/>
  <c r="AS9" i="4"/>
  <c r="H7" i="30"/>
  <c r="J7" i="30" s="1"/>
  <c r="H8" i="30"/>
  <c r="J8" i="30" s="1"/>
  <c r="H9" i="30"/>
  <c r="J9" i="30" s="1"/>
  <c r="H6" i="30"/>
  <c r="J6" i="30" s="1"/>
  <c r="A1" i="30"/>
  <c r="A1" i="24"/>
  <c r="A1" i="16"/>
  <c r="C2" i="4"/>
  <c r="D52" i="17"/>
  <c r="D53" i="17"/>
  <c r="D54" i="17"/>
  <c r="D55" i="17"/>
  <c r="D56" i="17"/>
  <c r="D57" i="17"/>
  <c r="D51" i="17"/>
  <c r="C51" i="17"/>
  <c r="H36" i="17" s="1"/>
  <c r="C55" i="17"/>
  <c r="B28" i="17" s="1"/>
  <c r="C56" i="17"/>
  <c r="B29" i="17" s="1"/>
  <c r="C57" i="17"/>
  <c r="C52" i="17"/>
  <c r="B25" i="17" s="1"/>
  <c r="C53" i="17"/>
  <c r="B26" i="17" s="1"/>
  <c r="C54" i="17"/>
  <c r="B27" i="17" s="1"/>
  <c r="H5" i="30"/>
  <c r="J5" i="30" s="1"/>
  <c r="E5" i="16"/>
  <c r="F5" i="16" s="1"/>
  <c r="I4" i="16"/>
  <c r="E19" i="17"/>
  <c r="E18" i="17"/>
  <c r="A5" i="16"/>
  <c r="AI5" i="16" s="1"/>
  <c r="A4" i="16"/>
  <c r="AI4" i="16" s="1"/>
  <c r="B30" i="17"/>
  <c r="B24" i="17"/>
  <c r="I282" i="29"/>
  <c r="E282" i="29"/>
  <c r="F282" i="29" s="1"/>
  <c r="A282" i="29"/>
  <c r="AI282" i="29" s="1"/>
  <c r="I281" i="29"/>
  <c r="P281" i="29" s="1"/>
  <c r="E281" i="29"/>
  <c r="F281" i="29" s="1"/>
  <c r="A281" i="29"/>
  <c r="AI281" i="29" s="1"/>
  <c r="I280" i="29"/>
  <c r="S280" i="29" s="1"/>
  <c r="E280" i="29"/>
  <c r="F280" i="29" s="1"/>
  <c r="A280" i="29"/>
  <c r="AI280" i="29" s="1"/>
  <c r="I279" i="29"/>
  <c r="P279" i="29" s="1"/>
  <c r="E279" i="29"/>
  <c r="F279" i="29" s="1"/>
  <c r="A279" i="29"/>
  <c r="AI279" i="29" s="1"/>
  <c r="I278" i="29"/>
  <c r="R278" i="29" s="1"/>
  <c r="E278" i="29"/>
  <c r="F278" i="29" s="1"/>
  <c r="A278" i="29"/>
  <c r="AI278" i="29" s="1"/>
  <c r="I277" i="29"/>
  <c r="E277" i="29"/>
  <c r="F277" i="29" s="1"/>
  <c r="A277" i="29"/>
  <c r="AI277" i="29" s="1"/>
  <c r="I276" i="29"/>
  <c r="E276" i="29"/>
  <c r="F276" i="29" s="1"/>
  <c r="A276" i="29"/>
  <c r="AI276" i="29" s="1"/>
  <c r="I275" i="29"/>
  <c r="R275" i="29" s="1"/>
  <c r="E275" i="29"/>
  <c r="F275" i="29" s="1"/>
  <c r="A275" i="29"/>
  <c r="AI275" i="29" s="1"/>
  <c r="I274" i="29"/>
  <c r="T274" i="29" s="1"/>
  <c r="E274" i="29"/>
  <c r="F274" i="29" s="1"/>
  <c r="A274" i="29"/>
  <c r="AI274" i="29" s="1"/>
  <c r="I273" i="29"/>
  <c r="P273" i="29" s="1"/>
  <c r="E273" i="29"/>
  <c r="F273" i="29" s="1"/>
  <c r="A273" i="29"/>
  <c r="AI273" i="29" s="1"/>
  <c r="I272" i="29"/>
  <c r="P272" i="29" s="1"/>
  <c r="E272" i="29"/>
  <c r="F272" i="29" s="1"/>
  <c r="A272" i="29"/>
  <c r="AI272" i="29" s="1"/>
  <c r="I271" i="29"/>
  <c r="R271" i="29" s="1"/>
  <c r="E271" i="29"/>
  <c r="F271" i="29" s="1"/>
  <c r="A271" i="29"/>
  <c r="AI271" i="29" s="1"/>
  <c r="I270" i="29"/>
  <c r="Q270" i="29" s="1"/>
  <c r="E270" i="29"/>
  <c r="F270" i="29" s="1"/>
  <c r="A270" i="29"/>
  <c r="AI270" i="29" s="1"/>
  <c r="I269" i="29"/>
  <c r="T269" i="29" s="1"/>
  <c r="E269" i="29"/>
  <c r="F269" i="29" s="1"/>
  <c r="A269" i="29"/>
  <c r="AI269" i="29" s="1"/>
  <c r="I268" i="29"/>
  <c r="E268" i="29"/>
  <c r="F268" i="29" s="1"/>
  <c r="A268" i="29"/>
  <c r="AI268" i="29" s="1"/>
  <c r="I267" i="29"/>
  <c r="Q267" i="29" s="1"/>
  <c r="E267" i="29"/>
  <c r="F267" i="29" s="1"/>
  <c r="A267" i="29"/>
  <c r="AI267" i="29" s="1"/>
  <c r="I266" i="29"/>
  <c r="R266" i="29" s="1"/>
  <c r="E266" i="29"/>
  <c r="F266" i="29" s="1"/>
  <c r="A266" i="29"/>
  <c r="AI266" i="29" s="1"/>
  <c r="I265" i="29"/>
  <c r="S265" i="29" s="1"/>
  <c r="E265" i="29"/>
  <c r="F265" i="29" s="1"/>
  <c r="A265" i="29"/>
  <c r="AI265" i="29" s="1"/>
  <c r="I264" i="29"/>
  <c r="E264" i="29"/>
  <c r="F264" i="29" s="1"/>
  <c r="A264" i="29"/>
  <c r="AI264" i="29" s="1"/>
  <c r="I263" i="29"/>
  <c r="T263" i="29" s="1"/>
  <c r="E263" i="29"/>
  <c r="F263" i="29" s="1"/>
  <c r="A263" i="29"/>
  <c r="AI263" i="29" s="1"/>
  <c r="I262" i="29"/>
  <c r="Q262" i="29" s="1"/>
  <c r="E262" i="29"/>
  <c r="F262" i="29" s="1"/>
  <c r="A262" i="29"/>
  <c r="AI262" i="29" s="1"/>
  <c r="I261" i="29"/>
  <c r="P261" i="29" s="1"/>
  <c r="E261" i="29"/>
  <c r="F261" i="29" s="1"/>
  <c r="A261" i="29"/>
  <c r="AI261" i="29" s="1"/>
  <c r="I260" i="29"/>
  <c r="T260" i="29" s="1"/>
  <c r="E260" i="29"/>
  <c r="F260" i="29" s="1"/>
  <c r="A260" i="29"/>
  <c r="AI260" i="29" s="1"/>
  <c r="I259" i="29"/>
  <c r="P259" i="29" s="1"/>
  <c r="E259" i="29"/>
  <c r="F259" i="29" s="1"/>
  <c r="A259" i="29"/>
  <c r="AI259" i="29" s="1"/>
  <c r="I258" i="29"/>
  <c r="S258" i="29" s="1"/>
  <c r="E258" i="29"/>
  <c r="F258" i="29" s="1"/>
  <c r="A258" i="29"/>
  <c r="AI258" i="29" s="1"/>
  <c r="I257" i="29"/>
  <c r="Q257" i="29" s="1"/>
  <c r="E257" i="29"/>
  <c r="F257" i="29" s="1"/>
  <c r="A257" i="29"/>
  <c r="AI257" i="29" s="1"/>
  <c r="I256" i="29"/>
  <c r="S256" i="29" s="1"/>
  <c r="E256" i="29"/>
  <c r="F256" i="29" s="1"/>
  <c r="A256" i="29"/>
  <c r="AI256" i="29" s="1"/>
  <c r="I255" i="29"/>
  <c r="S255" i="29" s="1"/>
  <c r="E255" i="29"/>
  <c r="F255" i="29" s="1"/>
  <c r="A255" i="29"/>
  <c r="AI255" i="29" s="1"/>
  <c r="I254" i="29"/>
  <c r="R254" i="29" s="1"/>
  <c r="E254" i="29"/>
  <c r="F254" i="29" s="1"/>
  <c r="A254" i="29"/>
  <c r="AI254" i="29" s="1"/>
  <c r="I253" i="29"/>
  <c r="R253" i="29" s="1"/>
  <c r="E253" i="29"/>
  <c r="F253" i="29" s="1"/>
  <c r="A253" i="29"/>
  <c r="AI253" i="29" s="1"/>
  <c r="I252" i="29"/>
  <c r="Q252" i="29" s="1"/>
  <c r="E252" i="29"/>
  <c r="F252" i="29" s="1"/>
  <c r="A252" i="29"/>
  <c r="AI252" i="29" s="1"/>
  <c r="I251" i="29"/>
  <c r="P251" i="29" s="1"/>
  <c r="E251" i="29"/>
  <c r="F251" i="29" s="1"/>
  <c r="A251" i="29"/>
  <c r="AI251" i="29" s="1"/>
  <c r="I250" i="29"/>
  <c r="R250" i="29" s="1"/>
  <c r="E250" i="29"/>
  <c r="F250" i="29" s="1"/>
  <c r="A250" i="29"/>
  <c r="AI250" i="29" s="1"/>
  <c r="I249" i="29"/>
  <c r="R249" i="29" s="1"/>
  <c r="E249" i="29"/>
  <c r="F249" i="29" s="1"/>
  <c r="A249" i="29"/>
  <c r="AI249" i="29" s="1"/>
  <c r="I248" i="29"/>
  <c r="P248" i="29" s="1"/>
  <c r="E248" i="29"/>
  <c r="F248" i="29" s="1"/>
  <c r="A248" i="29"/>
  <c r="AI248" i="29" s="1"/>
  <c r="I247" i="29"/>
  <c r="T247" i="29" s="1"/>
  <c r="E247" i="29"/>
  <c r="F247" i="29" s="1"/>
  <c r="A247" i="29"/>
  <c r="AI247" i="29" s="1"/>
  <c r="I246" i="29"/>
  <c r="R246" i="29" s="1"/>
  <c r="E246" i="29"/>
  <c r="F246" i="29" s="1"/>
  <c r="A246" i="29"/>
  <c r="AI246" i="29" s="1"/>
  <c r="I245" i="29"/>
  <c r="E245" i="29"/>
  <c r="F245" i="29" s="1"/>
  <c r="A245" i="29"/>
  <c r="AI245" i="29" s="1"/>
  <c r="I244" i="29"/>
  <c r="E244" i="29"/>
  <c r="F244" i="29" s="1"/>
  <c r="A244" i="29"/>
  <c r="AI244" i="29" s="1"/>
  <c r="I243" i="29"/>
  <c r="R243" i="29" s="1"/>
  <c r="E243" i="29"/>
  <c r="F243" i="29" s="1"/>
  <c r="A243" i="29"/>
  <c r="AI243" i="29" s="1"/>
  <c r="I242" i="29"/>
  <c r="P242" i="29" s="1"/>
  <c r="E242" i="29"/>
  <c r="F242" i="29" s="1"/>
  <c r="A242" i="29"/>
  <c r="AI242" i="29" s="1"/>
  <c r="I241" i="29"/>
  <c r="P241" i="29" s="1"/>
  <c r="E241" i="29"/>
  <c r="F241" i="29" s="1"/>
  <c r="A241" i="29"/>
  <c r="AI241" i="29" s="1"/>
  <c r="I240" i="29"/>
  <c r="P240" i="29" s="1"/>
  <c r="E240" i="29"/>
  <c r="F240" i="29" s="1"/>
  <c r="A240" i="29"/>
  <c r="AI240" i="29" s="1"/>
  <c r="I239" i="29"/>
  <c r="T239" i="29" s="1"/>
  <c r="E239" i="29"/>
  <c r="F239" i="29" s="1"/>
  <c r="A239" i="29"/>
  <c r="AI239" i="29" s="1"/>
  <c r="I238" i="29"/>
  <c r="T238" i="29" s="1"/>
  <c r="E238" i="29"/>
  <c r="F238" i="29" s="1"/>
  <c r="A238" i="29"/>
  <c r="AI238" i="29" s="1"/>
  <c r="I237" i="29"/>
  <c r="E237" i="29"/>
  <c r="F237" i="29" s="1"/>
  <c r="A237" i="29"/>
  <c r="AI237" i="29" s="1"/>
  <c r="I236" i="29"/>
  <c r="S236" i="29" s="1"/>
  <c r="E236" i="29"/>
  <c r="F236" i="29" s="1"/>
  <c r="A236" i="29"/>
  <c r="AI236" i="29" s="1"/>
  <c r="I235" i="29"/>
  <c r="R235" i="29" s="1"/>
  <c r="E235" i="29"/>
  <c r="F235" i="29" s="1"/>
  <c r="A235" i="29"/>
  <c r="AI235" i="29" s="1"/>
  <c r="I234" i="29"/>
  <c r="S234" i="29" s="1"/>
  <c r="E234" i="29"/>
  <c r="F234" i="29" s="1"/>
  <c r="A234" i="29"/>
  <c r="AI234" i="29" s="1"/>
  <c r="I233" i="29"/>
  <c r="Q233" i="29" s="1"/>
  <c r="E233" i="29"/>
  <c r="F233" i="29" s="1"/>
  <c r="A233" i="29"/>
  <c r="AI233" i="29" s="1"/>
  <c r="I232" i="29"/>
  <c r="E232" i="29"/>
  <c r="F232" i="29" s="1"/>
  <c r="A232" i="29"/>
  <c r="AI232" i="29" s="1"/>
  <c r="I231" i="29"/>
  <c r="E231" i="29"/>
  <c r="F231" i="29" s="1"/>
  <c r="A231" i="29"/>
  <c r="AI231" i="29" s="1"/>
  <c r="I230" i="29"/>
  <c r="Q230" i="29" s="1"/>
  <c r="E230" i="29"/>
  <c r="F230" i="29" s="1"/>
  <c r="A230" i="29"/>
  <c r="AI230" i="29" s="1"/>
  <c r="I229" i="29"/>
  <c r="Q229" i="29" s="1"/>
  <c r="E229" i="29"/>
  <c r="F229" i="29" s="1"/>
  <c r="A229" i="29"/>
  <c r="AI229" i="29" s="1"/>
  <c r="I228" i="29"/>
  <c r="P228" i="29" s="1"/>
  <c r="E228" i="29"/>
  <c r="F228" i="29" s="1"/>
  <c r="A228" i="29"/>
  <c r="AI228" i="29" s="1"/>
  <c r="I227" i="29"/>
  <c r="R227" i="29" s="1"/>
  <c r="E227" i="29"/>
  <c r="F227" i="29" s="1"/>
  <c r="A227" i="29"/>
  <c r="AI227" i="29" s="1"/>
  <c r="I226" i="29"/>
  <c r="P226" i="29" s="1"/>
  <c r="E226" i="29"/>
  <c r="F226" i="29" s="1"/>
  <c r="A226" i="29"/>
  <c r="AI226" i="29" s="1"/>
  <c r="I225" i="29"/>
  <c r="T225" i="29" s="1"/>
  <c r="E225" i="29"/>
  <c r="F225" i="29" s="1"/>
  <c r="A225" i="29"/>
  <c r="AI225" i="29" s="1"/>
  <c r="I224" i="29"/>
  <c r="E224" i="29"/>
  <c r="F224" i="29" s="1"/>
  <c r="A224" i="29"/>
  <c r="AI224" i="29" s="1"/>
  <c r="I223" i="29"/>
  <c r="R223" i="29" s="1"/>
  <c r="E223" i="29"/>
  <c r="F223" i="29" s="1"/>
  <c r="A223" i="29"/>
  <c r="AI223" i="29" s="1"/>
  <c r="I222" i="29"/>
  <c r="S222" i="29" s="1"/>
  <c r="E222" i="29"/>
  <c r="F222" i="29" s="1"/>
  <c r="A222" i="29"/>
  <c r="AI222" i="29" s="1"/>
  <c r="I221" i="29"/>
  <c r="R221" i="29" s="1"/>
  <c r="E221" i="29"/>
  <c r="F221" i="29" s="1"/>
  <c r="A221" i="29"/>
  <c r="AI221" i="29" s="1"/>
  <c r="I220" i="29"/>
  <c r="P220" i="29" s="1"/>
  <c r="E220" i="29"/>
  <c r="F220" i="29" s="1"/>
  <c r="A220" i="29"/>
  <c r="AI220" i="29" s="1"/>
  <c r="I219" i="29"/>
  <c r="S219" i="29" s="1"/>
  <c r="E219" i="29"/>
  <c r="F219" i="29" s="1"/>
  <c r="A219" i="29"/>
  <c r="AI219" i="29" s="1"/>
  <c r="I218" i="29"/>
  <c r="S218" i="29" s="1"/>
  <c r="E218" i="29"/>
  <c r="F218" i="29" s="1"/>
  <c r="A218" i="29"/>
  <c r="AI218" i="29" s="1"/>
  <c r="I217" i="29"/>
  <c r="Q217" i="29" s="1"/>
  <c r="E217" i="29"/>
  <c r="F217" i="29" s="1"/>
  <c r="A217" i="29"/>
  <c r="AI217" i="29" s="1"/>
  <c r="I216" i="29"/>
  <c r="Q216" i="29" s="1"/>
  <c r="E216" i="29"/>
  <c r="F216" i="29" s="1"/>
  <c r="A216" i="29"/>
  <c r="AI216" i="29" s="1"/>
  <c r="I215" i="29"/>
  <c r="T215" i="29" s="1"/>
  <c r="E215" i="29"/>
  <c r="F215" i="29" s="1"/>
  <c r="A215" i="29"/>
  <c r="AI215" i="29" s="1"/>
  <c r="I214" i="29"/>
  <c r="E214" i="29"/>
  <c r="F214" i="29" s="1"/>
  <c r="A214" i="29"/>
  <c r="AI214" i="29" s="1"/>
  <c r="I213" i="29"/>
  <c r="Q213" i="29" s="1"/>
  <c r="E213" i="29"/>
  <c r="F213" i="29" s="1"/>
  <c r="A213" i="29"/>
  <c r="AI213" i="29" s="1"/>
  <c r="I212" i="29"/>
  <c r="S212" i="29" s="1"/>
  <c r="E212" i="29"/>
  <c r="F212" i="29" s="1"/>
  <c r="A212" i="29"/>
  <c r="AI212" i="29" s="1"/>
  <c r="I211" i="29"/>
  <c r="Q211" i="29" s="1"/>
  <c r="E211" i="29"/>
  <c r="F211" i="29" s="1"/>
  <c r="A211" i="29"/>
  <c r="AI211" i="29" s="1"/>
  <c r="I210" i="29"/>
  <c r="S210" i="29" s="1"/>
  <c r="E210" i="29"/>
  <c r="F210" i="29" s="1"/>
  <c r="A210" i="29"/>
  <c r="AI210" i="29" s="1"/>
  <c r="I209" i="29"/>
  <c r="E209" i="29"/>
  <c r="F209" i="29" s="1"/>
  <c r="A209" i="29"/>
  <c r="AI209" i="29" s="1"/>
  <c r="I208" i="29"/>
  <c r="S208" i="29" s="1"/>
  <c r="E208" i="29"/>
  <c r="F208" i="29" s="1"/>
  <c r="A208" i="29"/>
  <c r="AI208" i="29" s="1"/>
  <c r="I207" i="29"/>
  <c r="T207" i="29" s="1"/>
  <c r="E207" i="29"/>
  <c r="F207" i="29" s="1"/>
  <c r="A207" i="29"/>
  <c r="AI207" i="29" s="1"/>
  <c r="I206" i="29"/>
  <c r="Q206" i="29" s="1"/>
  <c r="E206" i="29"/>
  <c r="F206" i="29" s="1"/>
  <c r="A206" i="29"/>
  <c r="AI206" i="29" s="1"/>
  <c r="I205" i="29"/>
  <c r="P205" i="29" s="1"/>
  <c r="E205" i="29"/>
  <c r="F205" i="29" s="1"/>
  <c r="A205" i="29"/>
  <c r="AI205" i="29" s="1"/>
  <c r="I204" i="29"/>
  <c r="R204" i="29" s="1"/>
  <c r="E204" i="29"/>
  <c r="F204" i="29" s="1"/>
  <c r="A204" i="29"/>
  <c r="AI204" i="29" s="1"/>
  <c r="I203" i="29"/>
  <c r="Q203" i="29" s="1"/>
  <c r="E203" i="29"/>
  <c r="F203" i="29" s="1"/>
  <c r="A203" i="29"/>
  <c r="AI203" i="29" s="1"/>
  <c r="I202" i="29"/>
  <c r="R202" i="29" s="1"/>
  <c r="E202" i="29"/>
  <c r="F202" i="29" s="1"/>
  <c r="A202" i="29"/>
  <c r="AI202" i="29" s="1"/>
  <c r="I201" i="29"/>
  <c r="R201" i="29" s="1"/>
  <c r="E201" i="29"/>
  <c r="F201" i="29" s="1"/>
  <c r="A201" i="29"/>
  <c r="AI201" i="29" s="1"/>
  <c r="I200" i="29"/>
  <c r="S200" i="29" s="1"/>
  <c r="E200" i="29"/>
  <c r="F200" i="29" s="1"/>
  <c r="A200" i="29"/>
  <c r="AI200" i="29" s="1"/>
  <c r="I199" i="29"/>
  <c r="Q199" i="29" s="1"/>
  <c r="E199" i="29"/>
  <c r="F199" i="29" s="1"/>
  <c r="A199" i="29"/>
  <c r="AI199" i="29" s="1"/>
  <c r="I198" i="29"/>
  <c r="T198" i="29" s="1"/>
  <c r="E198" i="29"/>
  <c r="F198" i="29" s="1"/>
  <c r="A198" i="29"/>
  <c r="AI198" i="29" s="1"/>
  <c r="I197" i="29"/>
  <c r="S197" i="29" s="1"/>
  <c r="E197" i="29"/>
  <c r="F197" i="29" s="1"/>
  <c r="A197" i="29"/>
  <c r="AI197" i="29" s="1"/>
  <c r="I196" i="29"/>
  <c r="S196" i="29" s="1"/>
  <c r="E196" i="29"/>
  <c r="F196" i="29" s="1"/>
  <c r="A196" i="29"/>
  <c r="AI196" i="29" s="1"/>
  <c r="I195" i="29"/>
  <c r="S195" i="29" s="1"/>
  <c r="E195" i="29"/>
  <c r="F195" i="29" s="1"/>
  <c r="A195" i="29"/>
  <c r="AI195" i="29" s="1"/>
  <c r="I194" i="29"/>
  <c r="Q194" i="29" s="1"/>
  <c r="E194" i="29"/>
  <c r="F194" i="29" s="1"/>
  <c r="A194" i="29"/>
  <c r="AI194" i="29" s="1"/>
  <c r="I193" i="29"/>
  <c r="R193" i="29" s="1"/>
  <c r="E193" i="29"/>
  <c r="F193" i="29" s="1"/>
  <c r="A193" i="29"/>
  <c r="AI193" i="29" s="1"/>
  <c r="I192" i="29"/>
  <c r="S192" i="29" s="1"/>
  <c r="E192" i="29"/>
  <c r="F192" i="29" s="1"/>
  <c r="A192" i="29"/>
  <c r="AI192" i="29" s="1"/>
  <c r="I191" i="29"/>
  <c r="E191" i="29"/>
  <c r="F191" i="29" s="1"/>
  <c r="A191" i="29"/>
  <c r="AI191" i="29" s="1"/>
  <c r="I190" i="29"/>
  <c r="P190" i="29" s="1"/>
  <c r="E190" i="29"/>
  <c r="F190" i="29" s="1"/>
  <c r="A190" i="29"/>
  <c r="AI190" i="29" s="1"/>
  <c r="I189" i="29"/>
  <c r="E189" i="29"/>
  <c r="F189" i="29" s="1"/>
  <c r="A189" i="29"/>
  <c r="AI189" i="29" s="1"/>
  <c r="I188" i="29"/>
  <c r="T188" i="29" s="1"/>
  <c r="E188" i="29"/>
  <c r="F188" i="29" s="1"/>
  <c r="A188" i="29"/>
  <c r="AI188" i="29" s="1"/>
  <c r="I187" i="29"/>
  <c r="Q187" i="29" s="1"/>
  <c r="E187" i="29"/>
  <c r="F187" i="29" s="1"/>
  <c r="A187" i="29"/>
  <c r="AI187" i="29" s="1"/>
  <c r="I186" i="29"/>
  <c r="Q186" i="29" s="1"/>
  <c r="E186" i="29"/>
  <c r="F186" i="29" s="1"/>
  <c r="A186" i="29"/>
  <c r="AI186" i="29" s="1"/>
  <c r="I185" i="29"/>
  <c r="S185" i="29" s="1"/>
  <c r="E185" i="29"/>
  <c r="F185" i="29" s="1"/>
  <c r="A185" i="29"/>
  <c r="AI185" i="29" s="1"/>
  <c r="I184" i="29"/>
  <c r="R184" i="29" s="1"/>
  <c r="E184" i="29"/>
  <c r="F184" i="29" s="1"/>
  <c r="A184" i="29"/>
  <c r="AI184" i="29" s="1"/>
  <c r="I183" i="29"/>
  <c r="S183" i="29" s="1"/>
  <c r="E183" i="29"/>
  <c r="F183" i="29" s="1"/>
  <c r="A183" i="29"/>
  <c r="AI183" i="29" s="1"/>
  <c r="I182" i="29"/>
  <c r="P182" i="29" s="1"/>
  <c r="E182" i="29"/>
  <c r="F182" i="29" s="1"/>
  <c r="A182" i="29"/>
  <c r="AI182" i="29" s="1"/>
  <c r="I181" i="29"/>
  <c r="S181" i="29" s="1"/>
  <c r="E181" i="29"/>
  <c r="F181" i="29" s="1"/>
  <c r="A181" i="29"/>
  <c r="AI181" i="29" s="1"/>
  <c r="I180" i="29"/>
  <c r="R180" i="29" s="1"/>
  <c r="E180" i="29"/>
  <c r="F180" i="29" s="1"/>
  <c r="A180" i="29"/>
  <c r="AI180" i="29" s="1"/>
  <c r="I179" i="29"/>
  <c r="Q179" i="29" s="1"/>
  <c r="E179" i="29"/>
  <c r="F179" i="29" s="1"/>
  <c r="A179" i="29"/>
  <c r="AI179" i="29" s="1"/>
  <c r="I178" i="29"/>
  <c r="Q178" i="29" s="1"/>
  <c r="E178" i="29"/>
  <c r="F178" i="29" s="1"/>
  <c r="A178" i="29"/>
  <c r="AI178" i="29" s="1"/>
  <c r="I177" i="29"/>
  <c r="E177" i="29"/>
  <c r="F177" i="29" s="1"/>
  <c r="A177" i="29"/>
  <c r="AI177" i="29" s="1"/>
  <c r="I176" i="29"/>
  <c r="Q176" i="29" s="1"/>
  <c r="E176" i="29"/>
  <c r="F176" i="29" s="1"/>
  <c r="A176" i="29"/>
  <c r="AI176" i="29" s="1"/>
  <c r="I175" i="29"/>
  <c r="T175" i="29" s="1"/>
  <c r="E175" i="29"/>
  <c r="F175" i="29" s="1"/>
  <c r="A175" i="29"/>
  <c r="AI175" i="29" s="1"/>
  <c r="I174" i="29"/>
  <c r="T174" i="29" s="1"/>
  <c r="E174" i="29"/>
  <c r="F174" i="29" s="1"/>
  <c r="A174" i="29"/>
  <c r="AI174" i="29" s="1"/>
  <c r="I173" i="29"/>
  <c r="R173" i="29" s="1"/>
  <c r="E173" i="29"/>
  <c r="F173" i="29" s="1"/>
  <c r="A173" i="29"/>
  <c r="AI173" i="29" s="1"/>
  <c r="I172" i="29"/>
  <c r="P172" i="29" s="1"/>
  <c r="E172" i="29"/>
  <c r="F172" i="29" s="1"/>
  <c r="A172" i="29"/>
  <c r="AI172" i="29" s="1"/>
  <c r="I171" i="29"/>
  <c r="Q171" i="29" s="1"/>
  <c r="E171" i="29"/>
  <c r="F171" i="29" s="1"/>
  <c r="A171" i="29"/>
  <c r="AI171" i="29" s="1"/>
  <c r="I170" i="29"/>
  <c r="E170" i="29"/>
  <c r="F170" i="29" s="1"/>
  <c r="A170" i="29"/>
  <c r="AI170" i="29" s="1"/>
  <c r="I169" i="29"/>
  <c r="E169" i="29"/>
  <c r="F169" i="29" s="1"/>
  <c r="A169" i="29"/>
  <c r="AI169" i="29" s="1"/>
  <c r="I168" i="29"/>
  <c r="E168" i="29"/>
  <c r="F168" i="29" s="1"/>
  <c r="A168" i="29"/>
  <c r="AI168" i="29" s="1"/>
  <c r="I167" i="29"/>
  <c r="S167" i="29" s="1"/>
  <c r="E167" i="29"/>
  <c r="F167" i="29" s="1"/>
  <c r="A167" i="29"/>
  <c r="AI167" i="29" s="1"/>
  <c r="I166" i="29"/>
  <c r="T166" i="29" s="1"/>
  <c r="E166" i="29"/>
  <c r="F166" i="29" s="1"/>
  <c r="A166" i="29"/>
  <c r="AI166" i="29" s="1"/>
  <c r="I165" i="29"/>
  <c r="T165" i="29" s="1"/>
  <c r="E165" i="29"/>
  <c r="F165" i="29" s="1"/>
  <c r="A165" i="29"/>
  <c r="AI165" i="29" s="1"/>
  <c r="I164" i="29"/>
  <c r="Q164" i="29" s="1"/>
  <c r="E164" i="29"/>
  <c r="F164" i="29" s="1"/>
  <c r="A164" i="29"/>
  <c r="AI164" i="29" s="1"/>
  <c r="I163" i="29"/>
  <c r="Q163" i="29" s="1"/>
  <c r="E163" i="29"/>
  <c r="F163" i="29" s="1"/>
  <c r="A163" i="29"/>
  <c r="AI163" i="29" s="1"/>
  <c r="I162" i="29"/>
  <c r="R162" i="29" s="1"/>
  <c r="E162" i="29"/>
  <c r="F162" i="29" s="1"/>
  <c r="A162" i="29"/>
  <c r="AI162" i="29" s="1"/>
  <c r="I161" i="29"/>
  <c r="S161" i="29" s="1"/>
  <c r="E161" i="29"/>
  <c r="F161" i="29" s="1"/>
  <c r="A161" i="29"/>
  <c r="AI161" i="29" s="1"/>
  <c r="I160" i="29"/>
  <c r="Q160" i="29" s="1"/>
  <c r="E160" i="29"/>
  <c r="F160" i="29" s="1"/>
  <c r="A160" i="29"/>
  <c r="AI160" i="29" s="1"/>
  <c r="I159" i="29"/>
  <c r="E159" i="29"/>
  <c r="F159" i="29" s="1"/>
  <c r="A159" i="29"/>
  <c r="AI159" i="29" s="1"/>
  <c r="I158" i="29"/>
  <c r="P158" i="29" s="1"/>
  <c r="E158" i="29"/>
  <c r="F158" i="29" s="1"/>
  <c r="A158" i="29"/>
  <c r="AI158" i="29" s="1"/>
  <c r="I157" i="29"/>
  <c r="S157" i="29" s="1"/>
  <c r="E157" i="29"/>
  <c r="F157" i="29" s="1"/>
  <c r="A157" i="29"/>
  <c r="AI157" i="29" s="1"/>
  <c r="I156" i="29"/>
  <c r="E156" i="29"/>
  <c r="F156" i="29" s="1"/>
  <c r="A156" i="29"/>
  <c r="AI156" i="29" s="1"/>
  <c r="I155" i="29"/>
  <c r="Q155" i="29" s="1"/>
  <c r="E155" i="29"/>
  <c r="F155" i="29" s="1"/>
  <c r="A155" i="29"/>
  <c r="AI155" i="29" s="1"/>
  <c r="I154" i="29"/>
  <c r="S154" i="29" s="1"/>
  <c r="E154" i="29"/>
  <c r="F154" i="29" s="1"/>
  <c r="A154" i="29"/>
  <c r="AI154" i="29" s="1"/>
  <c r="I153" i="29"/>
  <c r="P153" i="29" s="1"/>
  <c r="E153" i="29"/>
  <c r="F153" i="29" s="1"/>
  <c r="A153" i="29"/>
  <c r="AI153" i="29" s="1"/>
  <c r="I152" i="29"/>
  <c r="E152" i="29"/>
  <c r="F152" i="29" s="1"/>
  <c r="A152" i="29"/>
  <c r="AI152" i="29" s="1"/>
  <c r="I151" i="29"/>
  <c r="S151" i="29" s="1"/>
  <c r="E151" i="29"/>
  <c r="F151" i="29" s="1"/>
  <c r="A151" i="29"/>
  <c r="AI151" i="29" s="1"/>
  <c r="I150" i="29"/>
  <c r="T150" i="29" s="1"/>
  <c r="E150" i="29"/>
  <c r="F150" i="29" s="1"/>
  <c r="A150" i="29"/>
  <c r="AI150" i="29" s="1"/>
  <c r="I149" i="29"/>
  <c r="T149" i="29" s="1"/>
  <c r="E149" i="29"/>
  <c r="F149" i="29" s="1"/>
  <c r="A149" i="29"/>
  <c r="AI149" i="29" s="1"/>
  <c r="I148" i="29"/>
  <c r="P148" i="29" s="1"/>
  <c r="E148" i="29"/>
  <c r="F148" i="29" s="1"/>
  <c r="A148" i="29"/>
  <c r="AI148" i="29" s="1"/>
  <c r="I147" i="29"/>
  <c r="R147" i="29" s="1"/>
  <c r="E147" i="29"/>
  <c r="F147" i="29" s="1"/>
  <c r="A147" i="29"/>
  <c r="AI147" i="29" s="1"/>
  <c r="I146" i="29"/>
  <c r="T146" i="29" s="1"/>
  <c r="E146" i="29"/>
  <c r="F146" i="29" s="1"/>
  <c r="A146" i="29"/>
  <c r="AI146" i="29" s="1"/>
  <c r="I145" i="29"/>
  <c r="S145" i="29" s="1"/>
  <c r="E145" i="29"/>
  <c r="F145" i="29" s="1"/>
  <c r="A145" i="29"/>
  <c r="AI145" i="29" s="1"/>
  <c r="I144" i="29"/>
  <c r="Q144" i="29" s="1"/>
  <c r="E144" i="29"/>
  <c r="F144" i="29" s="1"/>
  <c r="A144" i="29"/>
  <c r="AI144" i="29" s="1"/>
  <c r="I143" i="29"/>
  <c r="Q143" i="29" s="1"/>
  <c r="E143" i="29"/>
  <c r="F143" i="29" s="1"/>
  <c r="A143" i="29"/>
  <c r="AI143" i="29" s="1"/>
  <c r="I142" i="29"/>
  <c r="R142" i="29" s="1"/>
  <c r="E142" i="29"/>
  <c r="F142" i="29" s="1"/>
  <c r="A142" i="29"/>
  <c r="AI142" i="29" s="1"/>
  <c r="I141" i="29"/>
  <c r="E141" i="29"/>
  <c r="F141" i="29" s="1"/>
  <c r="A141" i="29"/>
  <c r="AI141" i="29" s="1"/>
  <c r="I140" i="29"/>
  <c r="P140" i="29" s="1"/>
  <c r="E140" i="29"/>
  <c r="F140" i="29" s="1"/>
  <c r="A140" i="29"/>
  <c r="AI140" i="29" s="1"/>
  <c r="I139" i="29"/>
  <c r="Q139" i="29" s="1"/>
  <c r="E139" i="29"/>
  <c r="F139" i="29" s="1"/>
  <c r="A139" i="29"/>
  <c r="AI139" i="29" s="1"/>
  <c r="I138" i="29"/>
  <c r="T138" i="29" s="1"/>
  <c r="E138" i="29"/>
  <c r="F138" i="29" s="1"/>
  <c r="A138" i="29"/>
  <c r="AI138" i="29" s="1"/>
  <c r="I137" i="29"/>
  <c r="S137" i="29" s="1"/>
  <c r="E137" i="29"/>
  <c r="F137" i="29" s="1"/>
  <c r="A137" i="29"/>
  <c r="AI137" i="29" s="1"/>
  <c r="I136" i="29"/>
  <c r="R136" i="29" s="1"/>
  <c r="E136" i="29"/>
  <c r="F136" i="29" s="1"/>
  <c r="A136" i="29"/>
  <c r="AI136" i="29" s="1"/>
  <c r="I135" i="29"/>
  <c r="Q135" i="29" s="1"/>
  <c r="E135" i="29"/>
  <c r="F135" i="29" s="1"/>
  <c r="A135" i="29"/>
  <c r="AI135" i="29" s="1"/>
  <c r="I134" i="29"/>
  <c r="S134" i="29" s="1"/>
  <c r="E134" i="29"/>
  <c r="F134" i="29" s="1"/>
  <c r="A134" i="29"/>
  <c r="AI134" i="29" s="1"/>
  <c r="I133" i="29"/>
  <c r="P133" i="29" s="1"/>
  <c r="E133" i="29"/>
  <c r="F133" i="29" s="1"/>
  <c r="A133" i="29"/>
  <c r="AI133" i="29" s="1"/>
  <c r="I132" i="29"/>
  <c r="S132" i="29" s="1"/>
  <c r="E132" i="29"/>
  <c r="F132" i="29" s="1"/>
  <c r="A132" i="29"/>
  <c r="AI132" i="29" s="1"/>
  <c r="I131" i="29"/>
  <c r="T131" i="29" s="1"/>
  <c r="E131" i="29"/>
  <c r="F131" i="29" s="1"/>
  <c r="A131" i="29"/>
  <c r="AI131" i="29" s="1"/>
  <c r="I130" i="29"/>
  <c r="E130" i="29"/>
  <c r="F130" i="29" s="1"/>
  <c r="A130" i="29"/>
  <c r="AI130" i="29" s="1"/>
  <c r="I129" i="29"/>
  <c r="S129" i="29" s="1"/>
  <c r="E129" i="29"/>
  <c r="F129" i="29" s="1"/>
  <c r="A129" i="29"/>
  <c r="AI129" i="29" s="1"/>
  <c r="I128" i="29"/>
  <c r="R128" i="29" s="1"/>
  <c r="E128" i="29"/>
  <c r="F128" i="29" s="1"/>
  <c r="A128" i="29"/>
  <c r="AI128" i="29" s="1"/>
  <c r="I127" i="29"/>
  <c r="R127" i="29" s="1"/>
  <c r="E127" i="29"/>
  <c r="F127" i="29" s="1"/>
  <c r="A127" i="29"/>
  <c r="AI127" i="29" s="1"/>
  <c r="I126" i="29"/>
  <c r="E126" i="29"/>
  <c r="F126" i="29" s="1"/>
  <c r="A126" i="29"/>
  <c r="AI126" i="29" s="1"/>
  <c r="I125" i="29"/>
  <c r="T125" i="29" s="1"/>
  <c r="E125" i="29"/>
  <c r="F125" i="29" s="1"/>
  <c r="A125" i="29"/>
  <c r="AI125" i="29" s="1"/>
  <c r="I124" i="29"/>
  <c r="R124" i="29" s="1"/>
  <c r="E124" i="29"/>
  <c r="F124" i="29" s="1"/>
  <c r="A124" i="29"/>
  <c r="AI124" i="29" s="1"/>
  <c r="I123" i="29"/>
  <c r="R123" i="29" s="1"/>
  <c r="E123" i="29"/>
  <c r="F123" i="29" s="1"/>
  <c r="A123" i="29"/>
  <c r="AI123" i="29" s="1"/>
  <c r="I122" i="29"/>
  <c r="P122" i="29" s="1"/>
  <c r="E122" i="29"/>
  <c r="F122" i="29" s="1"/>
  <c r="A122" i="29"/>
  <c r="AI122" i="29" s="1"/>
  <c r="I121" i="29"/>
  <c r="P121" i="29" s="1"/>
  <c r="E121" i="29"/>
  <c r="F121" i="29" s="1"/>
  <c r="A121" i="29"/>
  <c r="AI121" i="29" s="1"/>
  <c r="I120" i="29"/>
  <c r="P120" i="29" s="1"/>
  <c r="E120" i="29"/>
  <c r="F120" i="29" s="1"/>
  <c r="A120" i="29"/>
  <c r="AI120" i="29" s="1"/>
  <c r="I119" i="29"/>
  <c r="E119" i="29"/>
  <c r="F119" i="29" s="1"/>
  <c r="A119" i="29"/>
  <c r="AI119" i="29" s="1"/>
  <c r="I118" i="29"/>
  <c r="S118" i="29" s="1"/>
  <c r="E118" i="29"/>
  <c r="F118" i="29" s="1"/>
  <c r="A118" i="29"/>
  <c r="AI118" i="29" s="1"/>
  <c r="I117" i="29"/>
  <c r="Q117" i="29" s="1"/>
  <c r="E117" i="29"/>
  <c r="F117" i="29" s="1"/>
  <c r="A117" i="29"/>
  <c r="AI117" i="29" s="1"/>
  <c r="I116" i="29"/>
  <c r="T116" i="29" s="1"/>
  <c r="E116" i="29"/>
  <c r="F116" i="29" s="1"/>
  <c r="A116" i="29"/>
  <c r="AI116" i="29" s="1"/>
  <c r="I115" i="29"/>
  <c r="E115" i="29"/>
  <c r="F115" i="29" s="1"/>
  <c r="A115" i="29"/>
  <c r="AI115" i="29" s="1"/>
  <c r="I114" i="29"/>
  <c r="E114" i="29"/>
  <c r="F114" i="29" s="1"/>
  <c r="A114" i="29"/>
  <c r="AI114" i="29" s="1"/>
  <c r="I113" i="29"/>
  <c r="P113" i="29" s="1"/>
  <c r="E113" i="29"/>
  <c r="F113" i="29" s="1"/>
  <c r="A113" i="29"/>
  <c r="AI113" i="29" s="1"/>
  <c r="I112" i="29"/>
  <c r="R112" i="29" s="1"/>
  <c r="E112" i="29"/>
  <c r="F112" i="29" s="1"/>
  <c r="A112" i="29"/>
  <c r="AI112" i="29" s="1"/>
  <c r="I111" i="29"/>
  <c r="S111" i="29" s="1"/>
  <c r="E111" i="29"/>
  <c r="F111" i="29" s="1"/>
  <c r="A111" i="29"/>
  <c r="AI111" i="29" s="1"/>
  <c r="I110" i="29"/>
  <c r="S110" i="29" s="1"/>
  <c r="E110" i="29"/>
  <c r="F110" i="29" s="1"/>
  <c r="A110" i="29"/>
  <c r="AI110" i="29" s="1"/>
  <c r="I109" i="29"/>
  <c r="P109" i="29" s="1"/>
  <c r="E109" i="29"/>
  <c r="F109" i="29" s="1"/>
  <c r="A109" i="29"/>
  <c r="AI109" i="29" s="1"/>
  <c r="I108" i="29"/>
  <c r="R108" i="29" s="1"/>
  <c r="E108" i="29"/>
  <c r="F108" i="29" s="1"/>
  <c r="A108" i="29"/>
  <c r="AI108" i="29" s="1"/>
  <c r="I107" i="29"/>
  <c r="R107" i="29" s="1"/>
  <c r="E107" i="29"/>
  <c r="F107" i="29" s="1"/>
  <c r="A107" i="29"/>
  <c r="AI107" i="29" s="1"/>
  <c r="I106" i="29"/>
  <c r="S106" i="29" s="1"/>
  <c r="E106" i="29"/>
  <c r="F106" i="29" s="1"/>
  <c r="A106" i="29"/>
  <c r="AI106" i="29" s="1"/>
  <c r="I105" i="29"/>
  <c r="R105" i="29" s="1"/>
  <c r="E105" i="29"/>
  <c r="F105" i="29" s="1"/>
  <c r="A105" i="29"/>
  <c r="AI105" i="29" s="1"/>
  <c r="I104" i="29"/>
  <c r="P104" i="29" s="1"/>
  <c r="E104" i="29"/>
  <c r="F104" i="29" s="1"/>
  <c r="A104" i="29"/>
  <c r="AI104" i="29" s="1"/>
  <c r="I103" i="29"/>
  <c r="R103" i="29" s="1"/>
  <c r="E103" i="29"/>
  <c r="F103" i="29" s="1"/>
  <c r="A103" i="29"/>
  <c r="AI103" i="29" s="1"/>
  <c r="I102" i="29"/>
  <c r="T102" i="29" s="1"/>
  <c r="E102" i="29"/>
  <c r="F102" i="29" s="1"/>
  <c r="A102" i="29"/>
  <c r="AI102" i="29" s="1"/>
  <c r="I101" i="29"/>
  <c r="Q101" i="29" s="1"/>
  <c r="E101" i="29"/>
  <c r="F101" i="29" s="1"/>
  <c r="A101" i="29"/>
  <c r="AI101" i="29" s="1"/>
  <c r="I100" i="29"/>
  <c r="R100" i="29" s="1"/>
  <c r="E100" i="29"/>
  <c r="F100" i="29" s="1"/>
  <c r="A100" i="29"/>
  <c r="AI100" i="29" s="1"/>
  <c r="I99" i="29"/>
  <c r="S99" i="29" s="1"/>
  <c r="E99" i="29"/>
  <c r="F99" i="29" s="1"/>
  <c r="A99" i="29"/>
  <c r="AI99" i="29" s="1"/>
  <c r="I98" i="29"/>
  <c r="Q98" i="29" s="1"/>
  <c r="E98" i="29"/>
  <c r="F98" i="29" s="1"/>
  <c r="A98" i="29"/>
  <c r="AI98" i="29" s="1"/>
  <c r="I97" i="29"/>
  <c r="T97" i="29" s="1"/>
  <c r="E97" i="29"/>
  <c r="F97" i="29" s="1"/>
  <c r="A97" i="29"/>
  <c r="AI97" i="29" s="1"/>
  <c r="I96" i="29"/>
  <c r="Q96" i="29" s="1"/>
  <c r="E96" i="29"/>
  <c r="F96" i="29" s="1"/>
  <c r="A96" i="29"/>
  <c r="AI96" i="29" s="1"/>
  <c r="I95" i="29"/>
  <c r="Q95" i="29" s="1"/>
  <c r="E95" i="29"/>
  <c r="F95" i="29" s="1"/>
  <c r="A95" i="29"/>
  <c r="AI95" i="29" s="1"/>
  <c r="I94" i="29"/>
  <c r="T94" i="29" s="1"/>
  <c r="E94" i="29"/>
  <c r="F94" i="29" s="1"/>
  <c r="A94" i="29"/>
  <c r="AI94" i="29" s="1"/>
  <c r="I93" i="29"/>
  <c r="S93" i="29" s="1"/>
  <c r="E93" i="29"/>
  <c r="F93" i="29" s="1"/>
  <c r="A93" i="29"/>
  <c r="AI93" i="29" s="1"/>
  <c r="I92" i="29"/>
  <c r="R92" i="29" s="1"/>
  <c r="E92" i="29"/>
  <c r="F92" i="29" s="1"/>
  <c r="A92" i="29"/>
  <c r="AI92" i="29" s="1"/>
  <c r="I91" i="29"/>
  <c r="T91" i="29" s="1"/>
  <c r="E91" i="29"/>
  <c r="F91" i="29" s="1"/>
  <c r="A91" i="29"/>
  <c r="AI91" i="29" s="1"/>
  <c r="I90" i="29"/>
  <c r="R90" i="29" s="1"/>
  <c r="E90" i="29"/>
  <c r="F90" i="29" s="1"/>
  <c r="A90" i="29"/>
  <c r="AI90" i="29" s="1"/>
  <c r="I89" i="29"/>
  <c r="R89" i="29" s="1"/>
  <c r="E89" i="29"/>
  <c r="F89" i="29" s="1"/>
  <c r="A89" i="29"/>
  <c r="AI89" i="29" s="1"/>
  <c r="I88" i="29"/>
  <c r="S88" i="29" s="1"/>
  <c r="E88" i="29"/>
  <c r="F88" i="29" s="1"/>
  <c r="A88" i="29"/>
  <c r="AI88" i="29" s="1"/>
  <c r="I87" i="29"/>
  <c r="S87" i="29" s="1"/>
  <c r="E87" i="29"/>
  <c r="F87" i="29" s="1"/>
  <c r="A87" i="29"/>
  <c r="AI87" i="29" s="1"/>
  <c r="I86" i="29"/>
  <c r="T86" i="29" s="1"/>
  <c r="E86" i="29"/>
  <c r="F86" i="29" s="1"/>
  <c r="A86" i="29"/>
  <c r="AI86" i="29" s="1"/>
  <c r="I85" i="29"/>
  <c r="R85" i="29" s="1"/>
  <c r="E85" i="29"/>
  <c r="F85" i="29" s="1"/>
  <c r="A85" i="29"/>
  <c r="AI85" i="29" s="1"/>
  <c r="I84" i="29"/>
  <c r="E84" i="29"/>
  <c r="F84" i="29" s="1"/>
  <c r="A84" i="29"/>
  <c r="AI84" i="29" s="1"/>
  <c r="I83" i="29"/>
  <c r="Q83" i="29" s="1"/>
  <c r="E83" i="29"/>
  <c r="F83" i="29" s="1"/>
  <c r="A83" i="29"/>
  <c r="AI83" i="29" s="1"/>
  <c r="I82" i="29"/>
  <c r="S82" i="29" s="1"/>
  <c r="E82" i="29"/>
  <c r="F82" i="29" s="1"/>
  <c r="A82" i="29"/>
  <c r="AI82" i="29" s="1"/>
  <c r="I81" i="29"/>
  <c r="R81" i="29" s="1"/>
  <c r="E81" i="29"/>
  <c r="F81" i="29" s="1"/>
  <c r="A81" i="29"/>
  <c r="AI81" i="29" s="1"/>
  <c r="I80" i="29"/>
  <c r="E80" i="29"/>
  <c r="F80" i="29" s="1"/>
  <c r="A80" i="29"/>
  <c r="AI80" i="29" s="1"/>
  <c r="I79" i="29"/>
  <c r="E79" i="29"/>
  <c r="F79" i="29" s="1"/>
  <c r="A79" i="29"/>
  <c r="AI79" i="29" s="1"/>
  <c r="I78" i="29"/>
  <c r="Q78" i="29" s="1"/>
  <c r="E78" i="29"/>
  <c r="F78" i="29" s="1"/>
  <c r="A78" i="29"/>
  <c r="AI78" i="29" s="1"/>
  <c r="I77" i="29"/>
  <c r="P77" i="29" s="1"/>
  <c r="E77" i="29"/>
  <c r="F77" i="29" s="1"/>
  <c r="A77" i="29"/>
  <c r="AI77" i="29" s="1"/>
  <c r="I76" i="29"/>
  <c r="S76" i="29" s="1"/>
  <c r="E76" i="29"/>
  <c r="F76" i="29" s="1"/>
  <c r="A76" i="29"/>
  <c r="AI76" i="29" s="1"/>
  <c r="I75" i="29"/>
  <c r="E75" i="29"/>
  <c r="F75" i="29" s="1"/>
  <c r="A75" i="29"/>
  <c r="AI75" i="29" s="1"/>
  <c r="I74" i="29"/>
  <c r="S74" i="29" s="1"/>
  <c r="E74" i="29"/>
  <c r="F74" i="29" s="1"/>
  <c r="A74" i="29"/>
  <c r="AI74" i="29" s="1"/>
  <c r="I73" i="29"/>
  <c r="E73" i="29"/>
  <c r="F73" i="29" s="1"/>
  <c r="A73" i="29"/>
  <c r="AI73" i="29" s="1"/>
  <c r="I72" i="29"/>
  <c r="P72" i="29" s="1"/>
  <c r="E72" i="29"/>
  <c r="F72" i="29" s="1"/>
  <c r="A72" i="29"/>
  <c r="AI72" i="29" s="1"/>
  <c r="I71" i="29"/>
  <c r="R71" i="29" s="1"/>
  <c r="E71" i="29"/>
  <c r="F71" i="29" s="1"/>
  <c r="A71" i="29"/>
  <c r="AI71" i="29" s="1"/>
  <c r="I70" i="29"/>
  <c r="T70" i="29" s="1"/>
  <c r="E70" i="29"/>
  <c r="F70" i="29" s="1"/>
  <c r="A70" i="29"/>
  <c r="AI70" i="29" s="1"/>
  <c r="I69" i="29"/>
  <c r="P69" i="29" s="1"/>
  <c r="E69" i="29"/>
  <c r="F69" i="29" s="1"/>
  <c r="A69" i="29"/>
  <c r="AI69" i="29" s="1"/>
  <c r="I68" i="29"/>
  <c r="T68" i="29" s="1"/>
  <c r="E68" i="29"/>
  <c r="F68" i="29" s="1"/>
  <c r="A68" i="29"/>
  <c r="AI68" i="29" s="1"/>
  <c r="I67" i="29"/>
  <c r="Q67" i="29" s="1"/>
  <c r="E67" i="29"/>
  <c r="F67" i="29" s="1"/>
  <c r="A67" i="29"/>
  <c r="AI67" i="29" s="1"/>
  <c r="I66" i="29"/>
  <c r="P66" i="29" s="1"/>
  <c r="E66" i="29"/>
  <c r="F66" i="29" s="1"/>
  <c r="A66" i="29"/>
  <c r="AI66" i="29" s="1"/>
  <c r="I65" i="29"/>
  <c r="T65" i="29" s="1"/>
  <c r="E65" i="29"/>
  <c r="F65" i="29" s="1"/>
  <c r="A65" i="29"/>
  <c r="AI65" i="29" s="1"/>
  <c r="I64" i="29"/>
  <c r="E64" i="29"/>
  <c r="F64" i="29" s="1"/>
  <c r="A64" i="29"/>
  <c r="AI64" i="29" s="1"/>
  <c r="I63" i="29"/>
  <c r="E63" i="29"/>
  <c r="F63" i="29" s="1"/>
  <c r="A63" i="29"/>
  <c r="AI63" i="29" s="1"/>
  <c r="I62" i="29"/>
  <c r="S62" i="29" s="1"/>
  <c r="E62" i="29"/>
  <c r="F62" i="29" s="1"/>
  <c r="A62" i="29"/>
  <c r="AI62" i="29" s="1"/>
  <c r="I61" i="29"/>
  <c r="R61" i="29" s="1"/>
  <c r="E61" i="29"/>
  <c r="F61" i="29" s="1"/>
  <c r="A61" i="29"/>
  <c r="AI61" i="29" s="1"/>
  <c r="I60" i="29"/>
  <c r="T60" i="29" s="1"/>
  <c r="E60" i="29"/>
  <c r="F60" i="29" s="1"/>
  <c r="A60" i="29"/>
  <c r="AI60" i="29" s="1"/>
  <c r="I59" i="29"/>
  <c r="S59" i="29" s="1"/>
  <c r="E59" i="29"/>
  <c r="F59" i="29" s="1"/>
  <c r="A59" i="29"/>
  <c r="AI59" i="29" s="1"/>
  <c r="I58" i="29"/>
  <c r="S58" i="29" s="1"/>
  <c r="E58" i="29"/>
  <c r="F58" i="29" s="1"/>
  <c r="A58" i="29"/>
  <c r="AI58" i="29" s="1"/>
  <c r="I57" i="29"/>
  <c r="S57" i="29" s="1"/>
  <c r="E57" i="29"/>
  <c r="F57" i="29" s="1"/>
  <c r="A57" i="29"/>
  <c r="AI57" i="29" s="1"/>
  <c r="I56" i="29"/>
  <c r="T56" i="29" s="1"/>
  <c r="E56" i="29"/>
  <c r="F56" i="29" s="1"/>
  <c r="A56" i="29"/>
  <c r="AI56" i="29" s="1"/>
  <c r="I55" i="29"/>
  <c r="R55" i="29" s="1"/>
  <c r="E55" i="29"/>
  <c r="F55" i="29" s="1"/>
  <c r="A55" i="29"/>
  <c r="AI55" i="29" s="1"/>
  <c r="I54" i="29"/>
  <c r="R54" i="29" s="1"/>
  <c r="E54" i="29"/>
  <c r="F54" i="29" s="1"/>
  <c r="A54" i="29"/>
  <c r="AI54" i="29" s="1"/>
  <c r="I53" i="29"/>
  <c r="S53" i="29" s="1"/>
  <c r="E53" i="29"/>
  <c r="F53" i="29" s="1"/>
  <c r="A53" i="29"/>
  <c r="AI53" i="29" s="1"/>
  <c r="I52" i="29"/>
  <c r="T52" i="29" s="1"/>
  <c r="E52" i="29"/>
  <c r="F52" i="29" s="1"/>
  <c r="A52" i="29"/>
  <c r="AI52" i="29" s="1"/>
  <c r="I51" i="29"/>
  <c r="T51" i="29" s="1"/>
  <c r="E51" i="29"/>
  <c r="F51" i="29" s="1"/>
  <c r="A51" i="29"/>
  <c r="AI51" i="29" s="1"/>
  <c r="I50" i="29"/>
  <c r="R50" i="29" s="1"/>
  <c r="E50" i="29"/>
  <c r="F50" i="29" s="1"/>
  <c r="A50" i="29"/>
  <c r="AI50" i="29" s="1"/>
  <c r="I49" i="29"/>
  <c r="S49" i="29" s="1"/>
  <c r="E49" i="29"/>
  <c r="F49" i="29" s="1"/>
  <c r="A49" i="29"/>
  <c r="AI49" i="29" s="1"/>
  <c r="I48" i="29"/>
  <c r="S48" i="29" s="1"/>
  <c r="E48" i="29"/>
  <c r="F48" i="29" s="1"/>
  <c r="A48" i="29"/>
  <c r="AI48" i="29" s="1"/>
  <c r="I47" i="29"/>
  <c r="T47" i="29" s="1"/>
  <c r="E47" i="29"/>
  <c r="F47" i="29" s="1"/>
  <c r="A47" i="29"/>
  <c r="AI47" i="29" s="1"/>
  <c r="I46" i="29"/>
  <c r="T46" i="29" s="1"/>
  <c r="E46" i="29"/>
  <c r="F46" i="29" s="1"/>
  <c r="A46" i="29"/>
  <c r="AI46" i="29" s="1"/>
  <c r="I45" i="29"/>
  <c r="P45" i="29" s="1"/>
  <c r="E45" i="29"/>
  <c r="F45" i="29" s="1"/>
  <c r="A45" i="29"/>
  <c r="AI45" i="29" s="1"/>
  <c r="I44" i="29"/>
  <c r="E44" i="29"/>
  <c r="F44" i="29" s="1"/>
  <c r="A44" i="29"/>
  <c r="AI44" i="29" s="1"/>
  <c r="I43" i="29"/>
  <c r="P43" i="29" s="1"/>
  <c r="E43" i="29"/>
  <c r="F43" i="29" s="1"/>
  <c r="A43" i="29"/>
  <c r="AI43" i="29" s="1"/>
  <c r="I42" i="29"/>
  <c r="Q42" i="29" s="1"/>
  <c r="E42" i="29"/>
  <c r="F42" i="29" s="1"/>
  <c r="A42" i="29"/>
  <c r="AI42" i="29" s="1"/>
  <c r="I41" i="29"/>
  <c r="S41" i="29" s="1"/>
  <c r="E41" i="29"/>
  <c r="F41" i="29" s="1"/>
  <c r="A41" i="29"/>
  <c r="AI41" i="29" s="1"/>
  <c r="I40" i="29"/>
  <c r="R40" i="29" s="1"/>
  <c r="E40" i="29"/>
  <c r="F40" i="29" s="1"/>
  <c r="A40" i="29"/>
  <c r="AI40" i="29" s="1"/>
  <c r="I39" i="29"/>
  <c r="T39" i="29" s="1"/>
  <c r="E39" i="29"/>
  <c r="F39" i="29" s="1"/>
  <c r="A39" i="29"/>
  <c r="AI39" i="29" s="1"/>
  <c r="I38" i="29"/>
  <c r="P38" i="29" s="1"/>
  <c r="E38" i="29"/>
  <c r="F38" i="29" s="1"/>
  <c r="A38" i="29"/>
  <c r="AI38" i="29" s="1"/>
  <c r="I37" i="29"/>
  <c r="E37" i="29"/>
  <c r="F37" i="29" s="1"/>
  <c r="A37" i="29"/>
  <c r="AI37" i="29" s="1"/>
  <c r="I36" i="29"/>
  <c r="T36" i="29" s="1"/>
  <c r="E36" i="29"/>
  <c r="F36" i="29" s="1"/>
  <c r="A36" i="29"/>
  <c r="AI36" i="29" s="1"/>
  <c r="I35" i="29"/>
  <c r="E35" i="29"/>
  <c r="F35" i="29" s="1"/>
  <c r="A35" i="29"/>
  <c r="AI35" i="29" s="1"/>
  <c r="I34" i="29"/>
  <c r="E34" i="29"/>
  <c r="F34" i="29" s="1"/>
  <c r="A34" i="29"/>
  <c r="AI34" i="29" s="1"/>
  <c r="I33" i="29"/>
  <c r="R33" i="29" s="1"/>
  <c r="E33" i="29"/>
  <c r="F33" i="29" s="1"/>
  <c r="A33" i="29"/>
  <c r="AI33" i="29" s="1"/>
  <c r="I32" i="29"/>
  <c r="Q32" i="29" s="1"/>
  <c r="E32" i="29"/>
  <c r="F32" i="29" s="1"/>
  <c r="A32" i="29"/>
  <c r="AI32" i="29" s="1"/>
  <c r="I31" i="29"/>
  <c r="E31" i="29"/>
  <c r="F31" i="29" s="1"/>
  <c r="A31" i="29"/>
  <c r="AI31" i="29" s="1"/>
  <c r="I30" i="29"/>
  <c r="Q30" i="29" s="1"/>
  <c r="E30" i="29"/>
  <c r="F30" i="29" s="1"/>
  <c r="A30" i="29"/>
  <c r="AI30" i="29" s="1"/>
  <c r="I29" i="29"/>
  <c r="R29" i="29" s="1"/>
  <c r="E29" i="29"/>
  <c r="F29" i="29" s="1"/>
  <c r="A29" i="29"/>
  <c r="AI29" i="29" s="1"/>
  <c r="I28" i="29"/>
  <c r="Q28" i="29" s="1"/>
  <c r="E28" i="29"/>
  <c r="F28" i="29" s="1"/>
  <c r="A28" i="29"/>
  <c r="AI28" i="29" s="1"/>
  <c r="I27" i="29"/>
  <c r="P27" i="29" s="1"/>
  <c r="E27" i="29"/>
  <c r="F27" i="29" s="1"/>
  <c r="A27" i="29"/>
  <c r="AI27" i="29" s="1"/>
  <c r="I26" i="29"/>
  <c r="P26" i="29" s="1"/>
  <c r="E26" i="29"/>
  <c r="F26" i="29" s="1"/>
  <c r="A26" i="29"/>
  <c r="AI26" i="29" s="1"/>
  <c r="I25" i="29"/>
  <c r="T25" i="29" s="1"/>
  <c r="E25" i="29"/>
  <c r="F25" i="29" s="1"/>
  <c r="A25" i="29"/>
  <c r="AI25" i="29" s="1"/>
  <c r="I24" i="29"/>
  <c r="R24" i="29" s="1"/>
  <c r="E24" i="29"/>
  <c r="F24" i="29" s="1"/>
  <c r="A24" i="29"/>
  <c r="AI24" i="29" s="1"/>
  <c r="I23" i="29"/>
  <c r="T23" i="29" s="1"/>
  <c r="E23" i="29"/>
  <c r="F23" i="29" s="1"/>
  <c r="A23" i="29"/>
  <c r="AI23" i="29" s="1"/>
  <c r="I22" i="29"/>
  <c r="Q22" i="29" s="1"/>
  <c r="E22" i="29"/>
  <c r="F22" i="29" s="1"/>
  <c r="A22" i="29"/>
  <c r="AI22" i="29" s="1"/>
  <c r="I21" i="29"/>
  <c r="S21" i="29" s="1"/>
  <c r="E21" i="29"/>
  <c r="F21" i="29" s="1"/>
  <c r="A21" i="29"/>
  <c r="AI21" i="29" s="1"/>
  <c r="I20" i="29"/>
  <c r="Q20" i="29" s="1"/>
  <c r="E20" i="29"/>
  <c r="F20" i="29" s="1"/>
  <c r="A20" i="29"/>
  <c r="AI20" i="29" s="1"/>
  <c r="I19" i="29"/>
  <c r="P19" i="29" s="1"/>
  <c r="E19" i="29"/>
  <c r="F19" i="29" s="1"/>
  <c r="A19" i="29"/>
  <c r="AI19" i="29" s="1"/>
  <c r="I18" i="29"/>
  <c r="R18" i="29" s="1"/>
  <c r="E18" i="29"/>
  <c r="F18" i="29" s="1"/>
  <c r="A18" i="29"/>
  <c r="AI18" i="29" s="1"/>
  <c r="I17" i="29"/>
  <c r="Q17" i="29" s="1"/>
  <c r="E17" i="29"/>
  <c r="F17" i="29" s="1"/>
  <c r="A17" i="29"/>
  <c r="AI17" i="29" s="1"/>
  <c r="I16" i="29"/>
  <c r="T16" i="29" s="1"/>
  <c r="E16" i="29"/>
  <c r="F16" i="29" s="1"/>
  <c r="A16" i="29"/>
  <c r="AI16" i="29" s="1"/>
  <c r="I15" i="29"/>
  <c r="S15" i="29" s="1"/>
  <c r="E15" i="29"/>
  <c r="F15" i="29" s="1"/>
  <c r="A15" i="29"/>
  <c r="AI15" i="29" s="1"/>
  <c r="I14" i="29"/>
  <c r="S14" i="29" s="1"/>
  <c r="E14" i="29"/>
  <c r="F14" i="29" s="1"/>
  <c r="A14" i="29"/>
  <c r="AI14" i="29" s="1"/>
  <c r="I13" i="29"/>
  <c r="T13" i="29" s="1"/>
  <c r="E13" i="29"/>
  <c r="F13" i="29" s="1"/>
  <c r="A13" i="29"/>
  <c r="AI13" i="29" s="1"/>
  <c r="I12" i="29"/>
  <c r="P12" i="29" s="1"/>
  <c r="E12" i="29"/>
  <c r="F12" i="29" s="1"/>
  <c r="A12" i="29"/>
  <c r="AI12" i="29" s="1"/>
  <c r="I11" i="29"/>
  <c r="Q11" i="29" s="1"/>
  <c r="E11" i="29"/>
  <c r="F11" i="29" s="1"/>
  <c r="A11" i="29"/>
  <c r="AI11" i="29" s="1"/>
  <c r="I10" i="29"/>
  <c r="T10" i="29" s="1"/>
  <c r="E10" i="29"/>
  <c r="F10" i="29" s="1"/>
  <c r="A10" i="29"/>
  <c r="AI10" i="29" s="1"/>
  <c r="I9" i="29"/>
  <c r="T9" i="29" s="1"/>
  <c r="E9" i="29"/>
  <c r="F9" i="29" s="1"/>
  <c r="A9" i="29"/>
  <c r="AI9" i="29" s="1"/>
  <c r="I8" i="29"/>
  <c r="S8" i="29" s="1"/>
  <c r="E8" i="29"/>
  <c r="F8" i="29" s="1"/>
  <c r="A8" i="29"/>
  <c r="AI8" i="29" s="1"/>
  <c r="I7" i="29"/>
  <c r="Q7" i="29" s="1"/>
  <c r="E7" i="29"/>
  <c r="F7" i="29" s="1"/>
  <c r="A7" i="29"/>
  <c r="AI7" i="29" s="1"/>
  <c r="I6" i="29"/>
  <c r="T6" i="29" s="1"/>
  <c r="E6" i="29"/>
  <c r="F6" i="29" s="1"/>
  <c r="A6" i="29"/>
  <c r="AI6" i="29" s="1"/>
  <c r="I5" i="29"/>
  <c r="E5" i="29"/>
  <c r="F5" i="29" s="1"/>
  <c r="A5" i="29"/>
  <c r="AI5" i="29" s="1"/>
  <c r="I4" i="29"/>
  <c r="R4" i="29" s="1"/>
  <c r="E4" i="29"/>
  <c r="F4" i="29" s="1"/>
  <c r="A4" i="29"/>
  <c r="AI4" i="29" s="1"/>
  <c r="N5" i="24"/>
  <c r="AA5" i="24"/>
  <c r="Y5" i="24"/>
  <c r="W5" i="24"/>
  <c r="U5" i="24"/>
  <c r="BF9" i="4"/>
  <c r="AD9" i="4" s="1"/>
  <c r="F5" i="24"/>
  <c r="M5" i="24" s="1"/>
  <c r="DL17" i="14"/>
  <c r="AY17" i="14"/>
  <c r="AX17" i="14"/>
  <c r="DL64" i="14"/>
  <c r="CA64" i="14"/>
  <c r="DL63" i="14"/>
  <c r="CA63" i="14"/>
  <c r="DL62" i="14"/>
  <c r="CA62" i="14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27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AJ3" i="14"/>
  <c r="AJ4" i="14"/>
  <c r="AX12" i="14"/>
  <c r="AY12" i="14"/>
  <c r="DL12" i="14"/>
  <c r="AX13" i="14"/>
  <c r="AY13" i="14"/>
  <c r="DL13" i="14"/>
  <c r="AX14" i="14"/>
  <c r="AY14" i="14"/>
  <c r="DL14" i="14"/>
  <c r="AX15" i="14"/>
  <c r="AY15" i="14"/>
  <c r="DL15" i="14"/>
  <c r="AX16" i="14"/>
  <c r="AY16" i="14"/>
  <c r="DL16" i="14"/>
  <c r="AX42" i="14"/>
  <c r="AY42" i="14"/>
  <c r="DL42" i="14"/>
  <c r="AX43" i="14"/>
  <c r="AY43" i="14"/>
  <c r="DL43" i="14"/>
  <c r="AX44" i="14"/>
  <c r="AY44" i="14"/>
  <c r="DL44" i="14"/>
  <c r="AX46" i="14"/>
  <c r="AY46" i="14"/>
  <c r="DL46" i="14"/>
  <c r="AX47" i="14"/>
  <c r="AY47" i="14"/>
  <c r="DL47" i="14"/>
  <c r="CA61" i="14"/>
  <c r="DL61" i="14"/>
  <c r="T49" i="29"/>
  <c r="P147" i="29"/>
  <c r="S153" i="29"/>
  <c r="R132" i="29"/>
  <c r="R137" i="29"/>
  <c r="P223" i="29"/>
  <c r="AJ45" i="14"/>
  <c r="Q247" i="29"/>
  <c r="S86" i="29"/>
  <c r="P94" i="29"/>
  <c r="Q142" i="29"/>
  <c r="S179" i="29" l="1"/>
  <c r="Q280" i="29"/>
  <c r="S38" i="29"/>
  <c r="P5" i="24"/>
  <c r="R5" i="24" s="1"/>
  <c r="Q202" i="29"/>
  <c r="P252" i="29"/>
  <c r="S98" i="29"/>
  <c r="G166" i="29"/>
  <c r="J166" i="29" s="1"/>
  <c r="O166" i="29" s="1"/>
  <c r="G76" i="29"/>
  <c r="H76" i="29" s="1"/>
  <c r="G207" i="29"/>
  <c r="H207" i="29" s="1"/>
  <c r="G64" i="29"/>
  <c r="J64" i="29" s="1"/>
  <c r="O64" i="29" s="1"/>
  <c r="G191" i="29"/>
  <c r="H191" i="29" s="1"/>
  <c r="G111" i="29"/>
  <c r="J111" i="29" s="1"/>
  <c r="O111" i="29" s="1"/>
  <c r="G38" i="29"/>
  <c r="J38" i="29" s="1"/>
  <c r="L38" i="29" s="1"/>
  <c r="G164" i="29"/>
  <c r="J164" i="29" s="1"/>
  <c r="O164" i="29" s="1"/>
  <c r="G236" i="29"/>
  <c r="J236" i="29" s="1"/>
  <c r="G120" i="29"/>
  <c r="J120" i="29" s="1"/>
  <c r="L120" i="29" s="1"/>
  <c r="G84" i="29"/>
  <c r="H84" i="29" s="1"/>
  <c r="G36" i="29"/>
  <c r="J36" i="29" s="1"/>
  <c r="AH36" i="29" s="1"/>
  <c r="G104" i="29"/>
  <c r="H104" i="29" s="1"/>
  <c r="G185" i="29"/>
  <c r="H185" i="29" s="1"/>
  <c r="G140" i="29"/>
  <c r="J140" i="29" s="1"/>
  <c r="L140" i="29" s="1"/>
  <c r="G7" i="29"/>
  <c r="H7" i="29" s="1"/>
  <c r="G119" i="29"/>
  <c r="J119" i="29" s="1"/>
  <c r="M119" i="29" s="1"/>
  <c r="G244" i="29"/>
  <c r="J244" i="29" s="1"/>
  <c r="AH244" i="29" s="1"/>
  <c r="G100" i="29"/>
  <c r="J100" i="29" s="1"/>
  <c r="K100" i="29" s="1"/>
  <c r="G95" i="29"/>
  <c r="J95" i="29" s="1"/>
  <c r="C95" i="29" s="1"/>
  <c r="G137" i="29"/>
  <c r="H137" i="29" s="1"/>
  <c r="G21" i="29"/>
  <c r="J21" i="29" s="1"/>
  <c r="G68" i="29"/>
  <c r="H68" i="29" s="1"/>
  <c r="G130" i="29"/>
  <c r="J130" i="29" s="1"/>
  <c r="L130" i="29" s="1"/>
  <c r="G221" i="29"/>
  <c r="J221" i="29" s="1"/>
  <c r="G181" i="29"/>
  <c r="G126" i="29"/>
  <c r="J126" i="29" s="1"/>
  <c r="L126" i="29" s="1"/>
  <c r="G162" i="29"/>
  <c r="H162" i="29" s="1"/>
  <c r="G40" i="29"/>
  <c r="H40" i="29" s="1"/>
  <c r="G77" i="29"/>
  <c r="J77" i="29" s="1"/>
  <c r="O77" i="29" s="1"/>
  <c r="G127" i="29"/>
  <c r="H127" i="29" s="1"/>
  <c r="G264" i="29"/>
  <c r="J264" i="29" s="1"/>
  <c r="L264" i="29" s="1"/>
  <c r="G92" i="29"/>
  <c r="H92" i="29" s="1"/>
  <c r="G253" i="29"/>
  <c r="H253" i="29" s="1"/>
  <c r="G93" i="29"/>
  <c r="J93" i="29" s="1"/>
  <c r="G129" i="29"/>
  <c r="H129" i="29" s="1"/>
  <c r="G73" i="29"/>
  <c r="J73" i="29" s="1"/>
  <c r="L73" i="29" s="1"/>
  <c r="G28" i="29"/>
  <c r="H28" i="29" s="1"/>
  <c r="G280" i="29"/>
  <c r="H280" i="29" s="1"/>
  <c r="G131" i="29"/>
  <c r="H131" i="29" s="1"/>
  <c r="G105" i="29"/>
  <c r="H105" i="29" s="1"/>
  <c r="G203" i="29"/>
  <c r="G225" i="29"/>
  <c r="G165" i="29"/>
  <c r="J165" i="29" s="1"/>
  <c r="L165" i="29" s="1"/>
  <c r="G171" i="29"/>
  <c r="J171" i="29" s="1"/>
  <c r="O171" i="29" s="1"/>
  <c r="G12" i="29"/>
  <c r="H12" i="29" s="1"/>
  <c r="G23" i="29"/>
  <c r="J23" i="29" s="1"/>
  <c r="G27" i="29"/>
  <c r="H27" i="29" s="1"/>
  <c r="G146" i="29"/>
  <c r="H146" i="29" s="1"/>
  <c r="G83" i="29"/>
  <c r="J83" i="29" s="1"/>
  <c r="C83" i="29" s="1"/>
  <c r="G204" i="29"/>
  <c r="H204" i="29" s="1"/>
  <c r="G22" i="29"/>
  <c r="J22" i="29" s="1"/>
  <c r="M22" i="29" s="1"/>
  <c r="G189" i="29"/>
  <c r="H189" i="29" s="1"/>
  <c r="G153" i="29"/>
  <c r="H153" i="29" s="1"/>
  <c r="G11" i="29"/>
  <c r="H11" i="29" s="1"/>
  <c r="G98" i="29"/>
  <c r="J98" i="29" s="1"/>
  <c r="G273" i="29"/>
  <c r="J273" i="29" s="1"/>
  <c r="K273" i="29" s="1"/>
  <c r="G31" i="29"/>
  <c r="H31" i="29" s="1"/>
  <c r="G257" i="29"/>
  <c r="H257" i="29" s="1"/>
  <c r="G216" i="29"/>
  <c r="H216" i="29" s="1"/>
  <c r="G39" i="29"/>
  <c r="H39" i="29" s="1"/>
  <c r="G199" i="29"/>
  <c r="H199" i="29" s="1"/>
  <c r="G57" i="29"/>
  <c r="H57" i="29" s="1"/>
  <c r="G108" i="29"/>
  <c r="J108" i="29" s="1"/>
  <c r="M108" i="29" s="1"/>
  <c r="G45" i="29"/>
  <c r="H45" i="29" s="1"/>
  <c r="G154" i="29"/>
  <c r="G252" i="29"/>
  <c r="H252" i="29" s="1"/>
  <c r="G122" i="29"/>
  <c r="H122" i="29" s="1"/>
  <c r="G41" i="29"/>
  <c r="H41" i="29" s="1"/>
  <c r="G186" i="29"/>
  <c r="H186" i="29" s="1"/>
  <c r="G58" i="29"/>
  <c r="J58" i="29" s="1"/>
  <c r="AH58" i="29" s="1"/>
  <c r="G227" i="29"/>
  <c r="H227" i="29" s="1"/>
  <c r="G91" i="29"/>
  <c r="J91" i="29" s="1"/>
  <c r="G208" i="29"/>
  <c r="H208" i="29" s="1"/>
  <c r="G149" i="29"/>
  <c r="J149" i="29" s="1"/>
  <c r="C149" i="29" s="1"/>
  <c r="G194" i="29"/>
  <c r="H194" i="29" s="1"/>
  <c r="G254" i="29"/>
  <c r="H254" i="29" s="1"/>
  <c r="G65" i="29"/>
  <c r="H65" i="29" s="1"/>
  <c r="G235" i="29"/>
  <c r="H235" i="29" s="1"/>
  <c r="G271" i="29"/>
  <c r="J271" i="29" s="1"/>
  <c r="L271" i="29" s="1"/>
  <c r="G174" i="29"/>
  <c r="J174" i="29" s="1"/>
  <c r="G113" i="29"/>
  <c r="J113" i="29" s="1"/>
  <c r="N113" i="29" s="1"/>
  <c r="G270" i="29"/>
  <c r="J270" i="29" s="1"/>
  <c r="G74" i="29"/>
  <c r="H74" i="29" s="1"/>
  <c r="G118" i="29"/>
  <c r="J118" i="29" s="1"/>
  <c r="G248" i="29"/>
  <c r="H248" i="29" s="1"/>
  <c r="G261" i="29"/>
  <c r="J261" i="29" s="1"/>
  <c r="L261" i="29" s="1"/>
  <c r="G102" i="29"/>
  <c r="J102" i="29" s="1"/>
  <c r="G167" i="29"/>
  <c r="H167" i="29" s="1"/>
  <c r="G30" i="29"/>
  <c r="H30" i="29" s="1"/>
  <c r="G128" i="29"/>
  <c r="G18" i="29"/>
  <c r="H18" i="29" s="1"/>
  <c r="G156" i="29"/>
  <c r="H156" i="29" s="1"/>
  <c r="G200" i="29"/>
  <c r="H200" i="29" s="1"/>
  <c r="G209" i="29"/>
  <c r="H209" i="29" s="1"/>
  <c r="G262" i="29"/>
  <c r="H262" i="29" s="1"/>
  <c r="G136" i="29"/>
  <c r="H136" i="29" s="1"/>
  <c r="G212" i="29"/>
  <c r="J212" i="29" s="1"/>
  <c r="M212" i="29" s="1"/>
  <c r="G59" i="29"/>
  <c r="H59" i="29" s="1"/>
  <c r="G157" i="29"/>
  <c r="H157" i="29" s="1"/>
  <c r="G49" i="29"/>
  <c r="H49" i="29" s="1"/>
  <c r="G275" i="29"/>
  <c r="J275" i="29" s="1"/>
  <c r="G234" i="29"/>
  <c r="H234" i="29" s="1"/>
  <c r="G90" i="29"/>
  <c r="J90" i="29" s="1"/>
  <c r="M90" i="29" s="1"/>
  <c r="G217" i="29"/>
  <c r="J217" i="29" s="1"/>
  <c r="M217" i="29" s="1"/>
  <c r="G56" i="29"/>
  <c r="H56" i="29" s="1"/>
  <c r="G172" i="29"/>
  <c r="H172" i="29" s="1"/>
  <c r="G183" i="29"/>
  <c r="H183" i="29" s="1"/>
  <c r="G246" i="29"/>
  <c r="J246" i="29" s="1"/>
  <c r="K246" i="29" s="1"/>
  <c r="G81" i="29"/>
  <c r="H81" i="29" s="1"/>
  <c r="G176" i="29"/>
  <c r="J176" i="29" s="1"/>
  <c r="G17" i="29"/>
  <c r="H17" i="29" s="1"/>
  <c r="G9" i="16"/>
  <c r="J9" i="16" s="1"/>
  <c r="K9" i="16" s="1"/>
  <c r="G282" i="29"/>
  <c r="J282" i="29" s="1"/>
  <c r="O282" i="29" s="1"/>
  <c r="G50" i="29"/>
  <c r="J50" i="29" s="1"/>
  <c r="L50" i="29" s="1"/>
  <c r="G182" i="29"/>
  <c r="J182" i="29" s="1"/>
  <c r="M182" i="29" s="1"/>
  <c r="S223" i="29"/>
  <c r="S227" i="29"/>
  <c r="S147" i="29"/>
  <c r="R8" i="29"/>
  <c r="P98" i="29"/>
  <c r="P280" i="29"/>
  <c r="T147" i="29"/>
  <c r="AZ17" i="14"/>
  <c r="G204" i="16"/>
  <c r="H204" i="16" s="1"/>
  <c r="P71" i="29"/>
  <c r="Q147" i="29"/>
  <c r="G251" i="29"/>
  <c r="J251" i="29" s="1"/>
  <c r="K251" i="29" s="1"/>
  <c r="S29" i="29"/>
  <c r="T280" i="29"/>
  <c r="T38" i="29"/>
  <c r="P142" i="29"/>
  <c r="R280" i="29"/>
  <c r="T176" i="29"/>
  <c r="S142" i="29"/>
  <c r="Q86" i="29"/>
  <c r="S27" i="29"/>
  <c r="R230" i="29"/>
  <c r="S266" i="29"/>
  <c r="R56" i="29"/>
  <c r="T252" i="29"/>
  <c r="S250" i="29"/>
  <c r="Q250" i="29"/>
  <c r="T109" i="29"/>
  <c r="Q46" i="29"/>
  <c r="R98" i="29"/>
  <c r="S109" i="29"/>
  <c r="S104" i="29"/>
  <c r="S77" i="29"/>
  <c r="P106" i="29"/>
  <c r="P46" i="29"/>
  <c r="T98" i="29"/>
  <c r="Q77" i="29"/>
  <c r="R72" i="29"/>
  <c r="R145" i="29"/>
  <c r="R77" i="29"/>
  <c r="Q153" i="29"/>
  <c r="T253" i="29"/>
  <c r="R247" i="29"/>
  <c r="P165" i="29"/>
  <c r="P65" i="29"/>
  <c r="R106" i="29"/>
  <c r="R239" i="29"/>
  <c r="Q38" i="29"/>
  <c r="R14" i="29"/>
  <c r="AZ14" i="14"/>
  <c r="F187" i="16"/>
  <c r="E187" i="16"/>
  <c r="I204" i="16"/>
  <c r="P204" i="16" s="1"/>
  <c r="H187" i="16"/>
  <c r="G202" i="16"/>
  <c r="T199" i="29"/>
  <c r="P128" i="29"/>
  <c r="Q273" i="29"/>
  <c r="Q94" i="29"/>
  <c r="S160" i="29"/>
  <c r="Q128" i="29"/>
  <c r="Q275" i="29"/>
  <c r="S96" i="29"/>
  <c r="P139" i="29"/>
  <c r="S89" i="29"/>
  <c r="T154" i="29"/>
  <c r="P234" i="29"/>
  <c r="P86" i="29"/>
  <c r="P21" i="29"/>
  <c r="P217" i="29"/>
  <c r="T197" i="29"/>
  <c r="S24" i="29"/>
  <c r="T21" i="29"/>
  <c r="S94" i="29"/>
  <c r="Q254" i="29"/>
  <c r="T139" i="29"/>
  <c r="S117" i="29"/>
  <c r="T249" i="29"/>
  <c r="Q249" i="29"/>
  <c r="S139" i="29"/>
  <c r="T89" i="29"/>
  <c r="Q71" i="29"/>
  <c r="R21" i="29"/>
  <c r="S13" i="29"/>
  <c r="T76" i="29"/>
  <c r="R139" i="29"/>
  <c r="Q133" i="29"/>
  <c r="Q104" i="29"/>
  <c r="P278" i="29"/>
  <c r="P249" i="29"/>
  <c r="S249" i="29"/>
  <c r="Q91" i="29"/>
  <c r="R199" i="29"/>
  <c r="Q21" i="29"/>
  <c r="Q13" i="29"/>
  <c r="T24" i="29"/>
  <c r="S83" i="29"/>
  <c r="E199" i="16"/>
  <c r="P90" i="29"/>
  <c r="R53" i="29"/>
  <c r="P151" i="29"/>
  <c r="T163" i="29"/>
  <c r="P204" i="29"/>
  <c r="P225" i="29"/>
  <c r="S211" i="29"/>
  <c r="R194" i="29"/>
  <c r="P258" i="29"/>
  <c r="T17" i="29"/>
  <c r="R153" i="29"/>
  <c r="T81" i="29"/>
  <c r="T128" i="29"/>
  <c r="R26" i="29"/>
  <c r="Q151" i="29"/>
  <c r="R175" i="29"/>
  <c r="T278" i="29"/>
  <c r="R238" i="29"/>
  <c r="Q14" i="29"/>
  <c r="R65" i="29"/>
  <c r="R151" i="29"/>
  <c r="Q248" i="29"/>
  <c r="R12" i="29"/>
  <c r="T151" i="29"/>
  <c r="S243" i="29"/>
  <c r="S217" i="29"/>
  <c r="T203" i="29"/>
  <c r="R99" i="29"/>
  <c r="Q65" i="29"/>
  <c r="T243" i="29"/>
  <c r="P81" i="29"/>
  <c r="S225" i="29"/>
  <c r="S128" i="29"/>
  <c r="Q266" i="29"/>
  <c r="Q72" i="29"/>
  <c r="Q243" i="29"/>
  <c r="Q108" i="29"/>
  <c r="S81" i="29"/>
  <c r="S65" i="29"/>
  <c r="Q81" i="29"/>
  <c r="Q261" i="29"/>
  <c r="P199" i="29"/>
  <c r="R269" i="29"/>
  <c r="Q184" i="29"/>
  <c r="T153" i="29"/>
  <c r="P14" i="29"/>
  <c r="P17" i="29"/>
  <c r="S171" i="29"/>
  <c r="R186" i="29"/>
  <c r="R48" i="29"/>
  <c r="T14" i="29"/>
  <c r="R17" i="29"/>
  <c r="K64" i="29"/>
  <c r="T266" i="29"/>
  <c r="R94" i="29"/>
  <c r="T246" i="29"/>
  <c r="F199" i="16"/>
  <c r="S251" i="29"/>
  <c r="S253" i="29"/>
  <c r="R57" i="29"/>
  <c r="R215" i="29"/>
  <c r="P267" i="29"/>
  <c r="T227" i="29"/>
  <c r="R217" i="29"/>
  <c r="R13" i="29"/>
  <c r="Q102" i="29"/>
  <c r="S239" i="29"/>
  <c r="T121" i="29"/>
  <c r="Q18" i="29"/>
  <c r="P179" i="29"/>
  <c r="P253" i="29"/>
  <c r="P239" i="29"/>
  <c r="O187" i="16"/>
  <c r="G205" i="16"/>
  <c r="H205" i="16" s="1"/>
  <c r="S112" i="29"/>
  <c r="P112" i="29"/>
  <c r="S246" i="29"/>
  <c r="Q234" i="29"/>
  <c r="T212" i="29"/>
  <c r="Q162" i="29"/>
  <c r="T234" i="29"/>
  <c r="S71" i="29"/>
  <c r="P8" i="29"/>
  <c r="R164" i="29"/>
  <c r="P117" i="29"/>
  <c r="P155" i="29"/>
  <c r="T112" i="29"/>
  <c r="Q8" i="29"/>
  <c r="P269" i="29"/>
  <c r="T262" i="29"/>
  <c r="R236" i="29"/>
  <c r="T210" i="29"/>
  <c r="T180" i="29"/>
  <c r="T179" i="29"/>
  <c r="F193" i="16"/>
  <c r="S215" i="29"/>
  <c r="Q239" i="29"/>
  <c r="T42" i="29"/>
  <c r="P52" i="29"/>
  <c r="S4" i="29"/>
  <c r="S155" i="29"/>
  <c r="R87" i="29"/>
  <c r="S162" i="29"/>
  <c r="T71" i="29"/>
  <c r="S30" i="29"/>
  <c r="T217" i="29"/>
  <c r="Q112" i="29"/>
  <c r="T117" i="29"/>
  <c r="Q281" i="29"/>
  <c r="P266" i="29"/>
  <c r="P229" i="29"/>
  <c r="P180" i="29"/>
  <c r="I194" i="16"/>
  <c r="P194" i="16" s="1"/>
  <c r="Q180" i="29"/>
  <c r="S190" i="29"/>
  <c r="S90" i="29"/>
  <c r="Q253" i="29"/>
  <c r="S182" i="29"/>
  <c r="P22" i="29"/>
  <c r="R6" i="29"/>
  <c r="P57" i="29"/>
  <c r="S199" i="29"/>
  <c r="T134" i="29"/>
  <c r="R102" i="29"/>
  <c r="T8" i="29"/>
  <c r="Q121" i="29"/>
  <c r="S180" i="29"/>
  <c r="I197" i="16"/>
  <c r="P197" i="16" s="1"/>
  <c r="N187" i="16"/>
  <c r="G197" i="16"/>
  <c r="J197" i="16" s="1"/>
  <c r="L197" i="16" s="1"/>
  <c r="AZ12" i="14"/>
  <c r="F189" i="16"/>
  <c r="AZ16" i="14"/>
  <c r="E191" i="16"/>
  <c r="F191" i="16" s="1"/>
  <c r="I196" i="16"/>
  <c r="P196" i="16" s="1"/>
  <c r="F204" i="16"/>
  <c r="G164" i="16"/>
  <c r="J164" i="16" s="1"/>
  <c r="AH164" i="16" s="1"/>
  <c r="G196" i="16"/>
  <c r="H196" i="16" s="1"/>
  <c r="M261" i="29"/>
  <c r="H202" i="16"/>
  <c r="F176" i="16"/>
  <c r="G179" i="16"/>
  <c r="J179" i="16" s="1"/>
  <c r="E160" i="16"/>
  <c r="F160" i="16" s="1"/>
  <c r="M187" i="16"/>
  <c r="E212" i="16"/>
  <c r="F212" i="16" s="1"/>
  <c r="F215" i="16"/>
  <c r="G169" i="16"/>
  <c r="H169" i="16" s="1"/>
  <c r="G213" i="16"/>
  <c r="H213" i="16" s="1"/>
  <c r="E201" i="16"/>
  <c r="F201" i="16" s="1"/>
  <c r="K77" i="29"/>
  <c r="AH261" i="29"/>
  <c r="C261" i="29"/>
  <c r="H282" i="29"/>
  <c r="J252" i="29"/>
  <c r="M252" i="29" s="1"/>
  <c r="K50" i="29"/>
  <c r="H120" i="29"/>
  <c r="C100" i="29"/>
  <c r="J280" i="29"/>
  <c r="C280" i="29" s="1"/>
  <c r="H23" i="29"/>
  <c r="J262" i="29"/>
  <c r="L262" i="29" s="1"/>
  <c r="J68" i="29"/>
  <c r="K68" i="29" s="1"/>
  <c r="F173" i="16"/>
  <c r="G187" i="16"/>
  <c r="H194" i="16"/>
  <c r="F196" i="16"/>
  <c r="R202" i="16"/>
  <c r="S204" i="16"/>
  <c r="G215" i="16"/>
  <c r="H215" i="16" s="1"/>
  <c r="F217" i="16"/>
  <c r="F179" i="16"/>
  <c r="G158" i="16"/>
  <c r="J158" i="16" s="1"/>
  <c r="L158" i="16" s="1"/>
  <c r="G207" i="16"/>
  <c r="H207" i="16" s="1"/>
  <c r="T212" i="16"/>
  <c r="I185" i="16"/>
  <c r="T185" i="16" s="1"/>
  <c r="R194" i="16"/>
  <c r="H199" i="16"/>
  <c r="T204" i="16"/>
  <c r="F207" i="16"/>
  <c r="I213" i="16"/>
  <c r="T213" i="16" s="1"/>
  <c r="I218" i="16"/>
  <c r="P218" i="16" s="1"/>
  <c r="S212" i="16"/>
  <c r="E177" i="16"/>
  <c r="F177" i="16" s="1"/>
  <c r="G185" i="16"/>
  <c r="H185" i="16" s="1"/>
  <c r="R204" i="16"/>
  <c r="I205" i="16"/>
  <c r="P205" i="16" s="1"/>
  <c r="I210" i="16"/>
  <c r="Q210" i="16" s="1"/>
  <c r="G212" i="16"/>
  <c r="H212" i="16" s="1"/>
  <c r="H218" i="16"/>
  <c r="Q202" i="16"/>
  <c r="P202" i="16"/>
  <c r="I208" i="16"/>
  <c r="Q208" i="16" s="1"/>
  <c r="I195" i="16"/>
  <c r="P195" i="16" s="1"/>
  <c r="F169" i="16"/>
  <c r="I184" i="16"/>
  <c r="P184" i="16" s="1"/>
  <c r="P187" i="16"/>
  <c r="I190" i="16"/>
  <c r="R190" i="16" s="1"/>
  <c r="G192" i="16"/>
  <c r="J192" i="16" s="1"/>
  <c r="O192" i="16" s="1"/>
  <c r="E194" i="16"/>
  <c r="F194" i="16" s="1"/>
  <c r="F197" i="16"/>
  <c r="I198" i="16"/>
  <c r="Q198" i="16" s="1"/>
  <c r="G200" i="16"/>
  <c r="J200" i="16" s="1"/>
  <c r="E202" i="16"/>
  <c r="F202" i="16" s="1"/>
  <c r="F205" i="16"/>
  <c r="I206" i="16"/>
  <c r="G208" i="16"/>
  <c r="H208" i="16" s="1"/>
  <c r="E210" i="16"/>
  <c r="F210" i="16" s="1"/>
  <c r="F213" i="16"/>
  <c r="I214" i="16"/>
  <c r="R214" i="16" s="1"/>
  <c r="G216" i="16"/>
  <c r="H216" i="16" s="1"/>
  <c r="E218" i="16"/>
  <c r="F218" i="16" s="1"/>
  <c r="T184" i="16"/>
  <c r="I200" i="16"/>
  <c r="R200" i="16" s="1"/>
  <c r="I211" i="16"/>
  <c r="Q211" i="16" s="1"/>
  <c r="I157" i="16"/>
  <c r="Q157" i="16" s="1"/>
  <c r="I182" i="16"/>
  <c r="T182" i="16" s="1"/>
  <c r="I193" i="16"/>
  <c r="R193" i="16" s="1"/>
  <c r="G195" i="16"/>
  <c r="H195" i="16" s="1"/>
  <c r="I201" i="16"/>
  <c r="S201" i="16" s="1"/>
  <c r="G203" i="16"/>
  <c r="H203" i="16" s="1"/>
  <c r="J204" i="16"/>
  <c r="K204" i="16" s="1"/>
  <c r="I209" i="16"/>
  <c r="G211" i="16"/>
  <c r="H211" i="16" s="1"/>
  <c r="R212" i="16"/>
  <c r="I217" i="16"/>
  <c r="S217" i="16" s="1"/>
  <c r="S184" i="16"/>
  <c r="Q194" i="16"/>
  <c r="S177" i="16"/>
  <c r="R177" i="16"/>
  <c r="Q203" i="16"/>
  <c r="F163" i="16"/>
  <c r="I176" i="16"/>
  <c r="P176" i="16" s="1"/>
  <c r="G190" i="16"/>
  <c r="J190" i="16" s="1"/>
  <c r="J191" i="16"/>
  <c r="L191" i="16" s="1"/>
  <c r="E192" i="16"/>
  <c r="F192" i="16" s="1"/>
  <c r="G198" i="16"/>
  <c r="H198" i="16" s="1"/>
  <c r="J199" i="16"/>
  <c r="C199" i="16" s="1"/>
  <c r="E200" i="16"/>
  <c r="F200" i="16" s="1"/>
  <c r="S202" i="16"/>
  <c r="Q204" i="16"/>
  <c r="G206" i="16"/>
  <c r="H206" i="16" s="1"/>
  <c r="E208" i="16"/>
  <c r="F208" i="16" s="1"/>
  <c r="Q212" i="16"/>
  <c r="G214" i="16"/>
  <c r="J214" i="16" s="1"/>
  <c r="E216" i="16"/>
  <c r="F216" i="16" s="1"/>
  <c r="I192" i="16"/>
  <c r="Q192" i="16" s="1"/>
  <c r="I216" i="16"/>
  <c r="S216" i="16" s="1"/>
  <c r="I203" i="16"/>
  <c r="R203" i="16" s="1"/>
  <c r="E157" i="16"/>
  <c r="F157" i="16" s="1"/>
  <c r="I174" i="16"/>
  <c r="P174" i="16" s="1"/>
  <c r="G176" i="16"/>
  <c r="H176" i="16" s="1"/>
  <c r="G177" i="16"/>
  <c r="J177" i="16" s="1"/>
  <c r="G182" i="16"/>
  <c r="H182" i="16" s="1"/>
  <c r="E184" i="16"/>
  <c r="F184" i="16" s="1"/>
  <c r="F190" i="16"/>
  <c r="I191" i="16"/>
  <c r="R191" i="16" s="1"/>
  <c r="G193" i="16"/>
  <c r="H193" i="16" s="1"/>
  <c r="J194" i="16"/>
  <c r="K194" i="16" s="1"/>
  <c r="E195" i="16"/>
  <c r="F195" i="16" s="1"/>
  <c r="F198" i="16"/>
  <c r="I199" i="16"/>
  <c r="S199" i="16" s="1"/>
  <c r="G201" i="16"/>
  <c r="H201" i="16" s="1"/>
  <c r="J202" i="16"/>
  <c r="M202" i="16" s="1"/>
  <c r="E203" i="16"/>
  <c r="F203" i="16" s="1"/>
  <c r="F206" i="16"/>
  <c r="I207" i="16"/>
  <c r="Q207" i="16" s="1"/>
  <c r="G209" i="16"/>
  <c r="H209" i="16" s="1"/>
  <c r="J210" i="16"/>
  <c r="E211" i="16"/>
  <c r="F211" i="16" s="1"/>
  <c r="F214" i="16"/>
  <c r="I215" i="16"/>
  <c r="Q215" i="16" s="1"/>
  <c r="G217" i="16"/>
  <c r="H217" i="16" s="1"/>
  <c r="J218" i="16"/>
  <c r="M218" i="16" s="1"/>
  <c r="I172" i="16"/>
  <c r="S172" i="16" s="1"/>
  <c r="Q188" i="16"/>
  <c r="Q80" i="16"/>
  <c r="I175" i="16"/>
  <c r="S175" i="16" s="1"/>
  <c r="I9" i="16"/>
  <c r="S9" i="16" s="1"/>
  <c r="I158" i="16"/>
  <c r="G172" i="16"/>
  <c r="H172" i="16" s="1"/>
  <c r="E174" i="16"/>
  <c r="F174" i="16" s="1"/>
  <c r="I178" i="16"/>
  <c r="G180" i="16"/>
  <c r="H180" i="16" s="1"/>
  <c r="E182" i="16"/>
  <c r="F182" i="16" s="1"/>
  <c r="F185" i="16"/>
  <c r="I186" i="16"/>
  <c r="Q186" i="16" s="1"/>
  <c r="C187" i="16"/>
  <c r="L187" i="16"/>
  <c r="T187" i="16"/>
  <c r="G188" i="16"/>
  <c r="O188" i="16"/>
  <c r="J188" i="16"/>
  <c r="I180" i="16"/>
  <c r="T180" i="16" s="1"/>
  <c r="I183" i="16"/>
  <c r="I166" i="16"/>
  <c r="Q166" i="16" s="1"/>
  <c r="I167" i="16"/>
  <c r="T167" i="16" s="1"/>
  <c r="I173" i="16"/>
  <c r="Q173" i="16" s="1"/>
  <c r="G175" i="16"/>
  <c r="H175" i="16" s="1"/>
  <c r="I181" i="16"/>
  <c r="S181" i="16" s="1"/>
  <c r="G183" i="16"/>
  <c r="H183" i="16" s="1"/>
  <c r="J184" i="16"/>
  <c r="K187" i="16"/>
  <c r="S187" i="16"/>
  <c r="F188" i="16"/>
  <c r="N188" i="16"/>
  <c r="I189" i="16"/>
  <c r="S189" i="16" s="1"/>
  <c r="K188" i="16"/>
  <c r="S188" i="16"/>
  <c r="R188" i="16"/>
  <c r="P185" i="16"/>
  <c r="G117" i="16"/>
  <c r="J117" i="16" s="1"/>
  <c r="K117" i="16" s="1"/>
  <c r="G166" i="16"/>
  <c r="J166" i="16" s="1"/>
  <c r="N166" i="16" s="1"/>
  <c r="E172" i="16"/>
  <c r="F172" i="16" s="1"/>
  <c r="T177" i="16"/>
  <c r="G178" i="16"/>
  <c r="J178" i="16" s="1"/>
  <c r="E180" i="16"/>
  <c r="F180" i="16" s="1"/>
  <c r="Q184" i="16"/>
  <c r="G186" i="16"/>
  <c r="H186" i="16" s="1"/>
  <c r="J187" i="16"/>
  <c r="R187" i="16"/>
  <c r="E188" i="16"/>
  <c r="M188" i="16"/>
  <c r="R164" i="16"/>
  <c r="Q177" i="16"/>
  <c r="I188" i="16"/>
  <c r="H188" i="16"/>
  <c r="P188" i="16"/>
  <c r="I117" i="16"/>
  <c r="S117" i="16" s="1"/>
  <c r="H164" i="16"/>
  <c r="F166" i="16"/>
  <c r="G167" i="16"/>
  <c r="J167" i="16" s="1"/>
  <c r="G173" i="16"/>
  <c r="J173" i="16" s="1"/>
  <c r="J174" i="16"/>
  <c r="E175" i="16"/>
  <c r="F175" i="16" s="1"/>
  <c r="F178" i="16"/>
  <c r="I179" i="16"/>
  <c r="R179" i="16" s="1"/>
  <c r="G181" i="16"/>
  <c r="J181" i="16" s="1"/>
  <c r="E183" i="16"/>
  <c r="F183" i="16" s="1"/>
  <c r="F186" i="16"/>
  <c r="I187" i="16"/>
  <c r="C188" i="16"/>
  <c r="L188" i="16"/>
  <c r="G189" i="16"/>
  <c r="H189" i="16" s="1"/>
  <c r="Q164" i="16"/>
  <c r="P164" i="16"/>
  <c r="I104" i="16"/>
  <c r="P104" i="16" s="1"/>
  <c r="I170" i="16"/>
  <c r="P170" i="16" s="1"/>
  <c r="E164" i="16"/>
  <c r="F164" i="16" s="1"/>
  <c r="I168" i="16"/>
  <c r="S168" i="16" s="1"/>
  <c r="G170" i="16"/>
  <c r="H170" i="16" s="1"/>
  <c r="I163" i="16"/>
  <c r="P163" i="16" s="1"/>
  <c r="T164" i="16"/>
  <c r="G165" i="16"/>
  <c r="J165" i="16" s="1"/>
  <c r="I171" i="16"/>
  <c r="R171" i="16" s="1"/>
  <c r="G78" i="16"/>
  <c r="J78" i="16" s="1"/>
  <c r="O78" i="16" s="1"/>
  <c r="I165" i="16"/>
  <c r="S165" i="16" s="1"/>
  <c r="F162" i="16"/>
  <c r="S164" i="16"/>
  <c r="G168" i="16"/>
  <c r="J168" i="16" s="1"/>
  <c r="E170" i="16"/>
  <c r="F170" i="16" s="1"/>
  <c r="E134" i="16"/>
  <c r="F134" i="16" s="1"/>
  <c r="I134" i="16"/>
  <c r="Q134" i="16" s="1"/>
  <c r="H80" i="16"/>
  <c r="G65" i="16"/>
  <c r="J65" i="16" s="1"/>
  <c r="K65" i="16" s="1"/>
  <c r="H160" i="16"/>
  <c r="G163" i="16"/>
  <c r="J163" i="16" s="1"/>
  <c r="E165" i="16"/>
  <c r="F165" i="16" s="1"/>
  <c r="F168" i="16"/>
  <c r="I169" i="16"/>
  <c r="T169" i="16" s="1"/>
  <c r="G171" i="16"/>
  <c r="J171" i="16" s="1"/>
  <c r="G121" i="16"/>
  <c r="J121" i="16" s="1"/>
  <c r="L121" i="16" s="1"/>
  <c r="I84" i="16"/>
  <c r="P84" i="16" s="1"/>
  <c r="K73" i="16"/>
  <c r="I142" i="16"/>
  <c r="Q142" i="16" s="1"/>
  <c r="I96" i="16"/>
  <c r="P96" i="16" s="1"/>
  <c r="G61" i="16"/>
  <c r="J61" i="16" s="1"/>
  <c r="K61" i="16" s="1"/>
  <c r="E142" i="16"/>
  <c r="F142" i="16" s="1"/>
  <c r="I61" i="16"/>
  <c r="Q61" i="16" s="1"/>
  <c r="E59" i="16"/>
  <c r="F59" i="16" s="1"/>
  <c r="I28" i="16"/>
  <c r="S28" i="16" s="1"/>
  <c r="S73" i="16"/>
  <c r="I80" i="16"/>
  <c r="G52" i="16"/>
  <c r="H52" i="16" s="1"/>
  <c r="G45" i="16"/>
  <c r="J45" i="16" s="1"/>
  <c r="K45" i="16" s="1"/>
  <c r="J73" i="16"/>
  <c r="E61" i="16"/>
  <c r="F61" i="16" s="1"/>
  <c r="N80" i="16"/>
  <c r="I45" i="16"/>
  <c r="S45" i="16" s="1"/>
  <c r="G155" i="16"/>
  <c r="H155" i="16" s="1"/>
  <c r="I112" i="16"/>
  <c r="P112" i="16" s="1"/>
  <c r="C102" i="16"/>
  <c r="S50" i="16"/>
  <c r="E102" i="16"/>
  <c r="F102" i="16" s="1"/>
  <c r="G33" i="16"/>
  <c r="J33" i="16" s="1"/>
  <c r="K33" i="16" s="1"/>
  <c r="S144" i="16"/>
  <c r="K143" i="16"/>
  <c r="G125" i="16"/>
  <c r="J125" i="16" s="1"/>
  <c r="C125" i="16" s="1"/>
  <c r="C114" i="16"/>
  <c r="E113" i="16"/>
  <c r="F113" i="16" s="1"/>
  <c r="G106" i="16"/>
  <c r="J106" i="16" s="1"/>
  <c r="O106" i="16" s="1"/>
  <c r="G105" i="16"/>
  <c r="J105" i="16" s="1"/>
  <c r="C105" i="16" s="1"/>
  <c r="S80" i="16"/>
  <c r="G77" i="16"/>
  <c r="J77" i="16" s="1"/>
  <c r="K77" i="16" s="1"/>
  <c r="G44" i="16"/>
  <c r="H44" i="16" s="1"/>
  <c r="G24" i="16"/>
  <c r="H24" i="16" s="1"/>
  <c r="Q17" i="16"/>
  <c r="I149" i="16"/>
  <c r="R149" i="16" s="1"/>
  <c r="I88" i="16"/>
  <c r="P88" i="16" s="1"/>
  <c r="I16" i="16"/>
  <c r="S16" i="16" s="1"/>
  <c r="R144" i="16"/>
  <c r="L143" i="16"/>
  <c r="I125" i="16"/>
  <c r="S125" i="16" s="1"/>
  <c r="E114" i="16"/>
  <c r="F114" i="16" s="1"/>
  <c r="G113" i="16"/>
  <c r="J113" i="16" s="1"/>
  <c r="O113" i="16" s="1"/>
  <c r="I105" i="16"/>
  <c r="Q105" i="16" s="1"/>
  <c r="G101" i="16"/>
  <c r="J101" i="16" s="1"/>
  <c r="K101" i="16" s="1"/>
  <c r="N93" i="16"/>
  <c r="I77" i="16"/>
  <c r="Q77" i="16" s="1"/>
  <c r="I44" i="16"/>
  <c r="S44" i="16" s="1"/>
  <c r="I24" i="16"/>
  <c r="P24" i="16" s="1"/>
  <c r="J144" i="16"/>
  <c r="E33" i="16"/>
  <c r="F33" i="16" s="1"/>
  <c r="G16" i="16"/>
  <c r="H16" i="16" s="1"/>
  <c r="F125" i="16"/>
  <c r="M143" i="16"/>
  <c r="I113" i="16"/>
  <c r="R113" i="16" s="1"/>
  <c r="I101" i="16"/>
  <c r="Q101" i="16" s="1"/>
  <c r="I56" i="16"/>
  <c r="P56" i="16" s="1"/>
  <c r="I137" i="16"/>
  <c r="R137" i="16" s="1"/>
  <c r="G94" i="16"/>
  <c r="J94" i="16" s="1"/>
  <c r="O94" i="16" s="1"/>
  <c r="S59" i="16"/>
  <c r="I40" i="16"/>
  <c r="S40" i="16" s="1"/>
  <c r="E105" i="16"/>
  <c r="F105" i="16" s="1"/>
  <c r="E77" i="16"/>
  <c r="F77" i="16" s="1"/>
  <c r="F44" i="16"/>
  <c r="I145" i="16"/>
  <c r="Q145" i="16" s="1"/>
  <c r="E121" i="16"/>
  <c r="F121" i="16" s="1"/>
  <c r="I93" i="16"/>
  <c r="Q93" i="16" s="1"/>
  <c r="G80" i="16"/>
  <c r="I65" i="16"/>
  <c r="R65" i="16" s="1"/>
  <c r="I52" i="16"/>
  <c r="R52" i="16" s="1"/>
  <c r="E9" i="16"/>
  <c r="F9" i="16" s="1"/>
  <c r="R155" i="16"/>
  <c r="S37" i="16"/>
  <c r="Q37" i="16"/>
  <c r="S41" i="16"/>
  <c r="Q41" i="16"/>
  <c r="O157" i="16"/>
  <c r="M157" i="16"/>
  <c r="L157" i="16"/>
  <c r="C157" i="16"/>
  <c r="N157" i="16"/>
  <c r="S129" i="16"/>
  <c r="Q129" i="16"/>
  <c r="E133" i="16"/>
  <c r="F133" i="16" s="1"/>
  <c r="G92" i="16"/>
  <c r="H92" i="16" s="1"/>
  <c r="E139" i="16"/>
  <c r="F139" i="16" s="1"/>
  <c r="E138" i="16"/>
  <c r="F138" i="16" s="1"/>
  <c r="G110" i="16"/>
  <c r="J110" i="16" s="1"/>
  <c r="O110" i="16" s="1"/>
  <c r="G109" i="16"/>
  <c r="J109" i="16" s="1"/>
  <c r="K109" i="16" s="1"/>
  <c r="L93" i="16"/>
  <c r="G81" i="16"/>
  <c r="J81" i="16" s="1"/>
  <c r="K81" i="16" s="1"/>
  <c r="I161" i="16"/>
  <c r="Q161" i="16" s="1"/>
  <c r="I100" i="16"/>
  <c r="P100" i="16" s="1"/>
  <c r="E97" i="16"/>
  <c r="F97" i="16" s="1"/>
  <c r="I76" i="16"/>
  <c r="P76" i="16" s="1"/>
  <c r="C73" i="16"/>
  <c r="G13" i="16"/>
  <c r="J13" i="16" s="1"/>
  <c r="K13" i="16" s="1"/>
  <c r="I156" i="16"/>
  <c r="S156" i="16" s="1"/>
  <c r="O143" i="16"/>
  <c r="C143" i="16"/>
  <c r="G138" i="16"/>
  <c r="H138" i="16" s="1"/>
  <c r="I133" i="16"/>
  <c r="S133" i="16" s="1"/>
  <c r="I132" i="16"/>
  <c r="S132" i="16" s="1"/>
  <c r="I131" i="16"/>
  <c r="R131" i="16" s="1"/>
  <c r="G130" i="16"/>
  <c r="J130" i="16" s="1"/>
  <c r="O130" i="16" s="1"/>
  <c r="E129" i="16"/>
  <c r="F129" i="16" s="1"/>
  <c r="I108" i="16"/>
  <c r="P108" i="16" s="1"/>
  <c r="E98" i="16"/>
  <c r="F98" i="16" s="1"/>
  <c r="G97" i="16"/>
  <c r="J97" i="16" s="1"/>
  <c r="L97" i="16" s="1"/>
  <c r="G89" i="16"/>
  <c r="J89" i="16" s="1"/>
  <c r="O89" i="16" s="1"/>
  <c r="P80" i="16"/>
  <c r="E74" i="16"/>
  <c r="F74" i="16" s="1"/>
  <c r="N73" i="16"/>
  <c r="E73" i="16"/>
  <c r="I69" i="16"/>
  <c r="Q69" i="16" s="1"/>
  <c r="P59" i="16"/>
  <c r="E57" i="16"/>
  <c r="F57" i="16" s="1"/>
  <c r="E50" i="16"/>
  <c r="I49" i="16"/>
  <c r="R49" i="16" s="1"/>
  <c r="G48" i="16"/>
  <c r="H48" i="16" s="1"/>
  <c r="E37" i="16"/>
  <c r="F37" i="16" s="1"/>
  <c r="G25" i="16"/>
  <c r="J25" i="16" s="1"/>
  <c r="K25" i="16" s="1"/>
  <c r="G21" i="16"/>
  <c r="J21" i="16" s="1"/>
  <c r="N21" i="16" s="1"/>
  <c r="G20" i="16"/>
  <c r="H20" i="16" s="1"/>
  <c r="P15" i="16"/>
  <c r="I13" i="16"/>
  <c r="S13" i="16" s="1"/>
  <c r="F12" i="16"/>
  <c r="E155" i="16"/>
  <c r="F155" i="16" s="1"/>
  <c r="K157" i="16"/>
  <c r="I159" i="16"/>
  <c r="P159" i="16" s="1"/>
  <c r="G161" i="16"/>
  <c r="J161" i="16" s="1"/>
  <c r="Q155" i="16"/>
  <c r="R63" i="16"/>
  <c r="P155" i="16"/>
  <c r="E151" i="16"/>
  <c r="F151" i="16" s="1"/>
  <c r="E147" i="16"/>
  <c r="F147" i="16" s="1"/>
  <c r="I141" i="16"/>
  <c r="Q141" i="16" s="1"/>
  <c r="M90" i="16"/>
  <c r="G76" i="16"/>
  <c r="H76" i="16" s="1"/>
  <c r="L73" i="16"/>
  <c r="P71" i="16"/>
  <c r="E69" i="16"/>
  <c r="F69" i="16" s="1"/>
  <c r="I67" i="16"/>
  <c r="Q67" i="16" s="1"/>
  <c r="E49" i="16"/>
  <c r="F49" i="16" s="1"/>
  <c r="G32" i="16"/>
  <c r="H32" i="16" s="1"/>
  <c r="E21" i="16"/>
  <c r="F21" i="16" s="1"/>
  <c r="E13" i="16"/>
  <c r="F13" i="16" s="1"/>
  <c r="I109" i="16"/>
  <c r="S109" i="16" s="1"/>
  <c r="E90" i="16"/>
  <c r="F90" i="16" s="1"/>
  <c r="E89" i="16"/>
  <c r="F89" i="16" s="1"/>
  <c r="G82" i="16"/>
  <c r="J82" i="16" s="1"/>
  <c r="O82" i="16" s="1"/>
  <c r="C74" i="16"/>
  <c r="G69" i="16"/>
  <c r="J69" i="16" s="1"/>
  <c r="K69" i="16" s="1"/>
  <c r="I5" i="16"/>
  <c r="P5" i="16" s="1"/>
  <c r="G150" i="16"/>
  <c r="H150" i="16" s="1"/>
  <c r="G146" i="16"/>
  <c r="H146" i="16" s="1"/>
  <c r="S143" i="16"/>
  <c r="E143" i="16"/>
  <c r="I138" i="16"/>
  <c r="S138" i="16" s="1"/>
  <c r="I130" i="16"/>
  <c r="T130" i="16" s="1"/>
  <c r="G98" i="16"/>
  <c r="J98" i="16" s="1"/>
  <c r="O98" i="16" s="1"/>
  <c r="I97" i="16"/>
  <c r="S97" i="16" s="1"/>
  <c r="M86" i="16"/>
  <c r="O73" i="16"/>
  <c r="F73" i="16"/>
  <c r="R71" i="16"/>
  <c r="G57" i="16"/>
  <c r="J57" i="16" s="1"/>
  <c r="K57" i="16" s="1"/>
  <c r="G53" i="16"/>
  <c r="J53" i="16" s="1"/>
  <c r="L53" i="16" s="1"/>
  <c r="J50" i="16"/>
  <c r="I48" i="16"/>
  <c r="S48" i="16" s="1"/>
  <c r="E41" i="16"/>
  <c r="F41" i="16" s="1"/>
  <c r="G29" i="16"/>
  <c r="J29" i="16" s="1"/>
  <c r="L29" i="16" s="1"/>
  <c r="I25" i="16"/>
  <c r="S25" i="16" s="1"/>
  <c r="I21" i="16"/>
  <c r="S21" i="16" s="1"/>
  <c r="I20" i="16"/>
  <c r="S20" i="16" s="1"/>
  <c r="G12" i="16"/>
  <c r="H12" i="16" s="1"/>
  <c r="I8" i="16"/>
  <c r="S8" i="16" s="1"/>
  <c r="I154" i="16"/>
  <c r="P154" i="16" s="1"/>
  <c r="G156" i="16"/>
  <c r="J156" i="16" s="1"/>
  <c r="I162" i="16"/>
  <c r="J147" i="16"/>
  <c r="L147" i="16" s="1"/>
  <c r="E109" i="16"/>
  <c r="F109" i="16" s="1"/>
  <c r="E67" i="16"/>
  <c r="F67" i="16" s="1"/>
  <c r="I153" i="16"/>
  <c r="R153" i="16" s="1"/>
  <c r="I92" i="16"/>
  <c r="P92" i="16" s="1"/>
  <c r="E82" i="16"/>
  <c r="F82" i="16" s="1"/>
  <c r="M74" i="16"/>
  <c r="S63" i="16"/>
  <c r="G151" i="16"/>
  <c r="H151" i="16" s="1"/>
  <c r="E146" i="16"/>
  <c r="F146" i="16" s="1"/>
  <c r="N143" i="16"/>
  <c r="G139" i="16"/>
  <c r="J139" i="16" s="1"/>
  <c r="G131" i="16"/>
  <c r="J131" i="16" s="1"/>
  <c r="K131" i="16" s="1"/>
  <c r="R121" i="16"/>
  <c r="G108" i="16"/>
  <c r="H108" i="16" s="1"/>
  <c r="M93" i="16"/>
  <c r="I81" i="16"/>
  <c r="S81" i="16" s="1"/>
  <c r="M73" i="16"/>
  <c r="E71" i="16"/>
  <c r="F71" i="16" s="1"/>
  <c r="G49" i="16"/>
  <c r="J49" i="16" s="1"/>
  <c r="K49" i="16" s="1"/>
  <c r="I32" i="16"/>
  <c r="S32" i="16" s="1"/>
  <c r="E25" i="16"/>
  <c r="F25" i="16" s="1"/>
  <c r="I150" i="16"/>
  <c r="S150" i="16" s="1"/>
  <c r="I146" i="16"/>
  <c r="S146" i="16" s="1"/>
  <c r="F143" i="16"/>
  <c r="J135" i="16"/>
  <c r="M135" i="16" s="1"/>
  <c r="G129" i="16"/>
  <c r="J129" i="16" s="1"/>
  <c r="O129" i="16" s="1"/>
  <c r="H93" i="16"/>
  <c r="C86" i="16"/>
  <c r="E85" i="16"/>
  <c r="F85" i="16" s="1"/>
  <c r="Q73" i="16"/>
  <c r="G73" i="16"/>
  <c r="S71" i="16"/>
  <c r="P63" i="16"/>
  <c r="I57" i="16"/>
  <c r="R57" i="16" s="1"/>
  <c r="G56" i="16"/>
  <c r="H56" i="16" s="1"/>
  <c r="I53" i="16"/>
  <c r="S53" i="16" s="1"/>
  <c r="K50" i="16"/>
  <c r="G41" i="16"/>
  <c r="J41" i="16" s="1"/>
  <c r="L41" i="16" s="1"/>
  <c r="G37" i="16"/>
  <c r="J37" i="16" s="1"/>
  <c r="O37" i="16" s="1"/>
  <c r="G36" i="16"/>
  <c r="H36" i="16" s="1"/>
  <c r="Q33" i="16"/>
  <c r="I29" i="16"/>
  <c r="P29" i="16" s="1"/>
  <c r="F28" i="16"/>
  <c r="E17" i="16"/>
  <c r="F17" i="16" s="1"/>
  <c r="I12" i="16"/>
  <c r="S12" i="16" s="1"/>
  <c r="S155" i="16"/>
  <c r="G159" i="16"/>
  <c r="J159" i="16" s="1"/>
  <c r="J160" i="16"/>
  <c r="K160" i="16" s="1"/>
  <c r="E161" i="16"/>
  <c r="F161" i="16" s="1"/>
  <c r="E132" i="16"/>
  <c r="F132" i="16" s="1"/>
  <c r="E81" i="16"/>
  <c r="F81" i="16" s="1"/>
  <c r="I47" i="16"/>
  <c r="R47" i="16" s="1"/>
  <c r="Q121" i="16"/>
  <c r="E150" i="16"/>
  <c r="F150" i="16" s="1"/>
  <c r="E130" i="16"/>
  <c r="F130" i="16" s="1"/>
  <c r="E53" i="16"/>
  <c r="F53" i="16" s="1"/>
  <c r="C50" i="16"/>
  <c r="G8" i="16"/>
  <c r="H8" i="16" s="1"/>
  <c r="G143" i="16"/>
  <c r="E135" i="16"/>
  <c r="F135" i="16" s="1"/>
  <c r="M102" i="16"/>
  <c r="E93" i="16"/>
  <c r="F93" i="16" s="1"/>
  <c r="E86" i="16"/>
  <c r="F86" i="16" s="1"/>
  <c r="G85" i="16"/>
  <c r="J85" i="16" s="1"/>
  <c r="O85" i="16" s="1"/>
  <c r="F80" i="16"/>
  <c r="R73" i="16"/>
  <c r="I73" i="16"/>
  <c r="E63" i="16"/>
  <c r="F63" i="16" s="1"/>
  <c r="R59" i="16"/>
  <c r="M50" i="16"/>
  <c r="G40" i="16"/>
  <c r="H40" i="16" s="1"/>
  <c r="I36" i="16"/>
  <c r="G28" i="16"/>
  <c r="H28" i="16" s="1"/>
  <c r="G17" i="16"/>
  <c r="J17" i="16" s="1"/>
  <c r="C17" i="16" s="1"/>
  <c r="G154" i="16"/>
  <c r="H154" i="16" s="1"/>
  <c r="E156" i="16"/>
  <c r="F156" i="16" s="1"/>
  <c r="H157" i="16"/>
  <c r="F159" i="16"/>
  <c r="I160" i="16"/>
  <c r="S160" i="16" s="1"/>
  <c r="G162" i="16"/>
  <c r="J162" i="16" s="1"/>
  <c r="I140" i="16"/>
  <c r="P140" i="16" s="1"/>
  <c r="E140" i="16"/>
  <c r="F140" i="16" s="1"/>
  <c r="G140" i="16"/>
  <c r="H140" i="16" s="1"/>
  <c r="G127" i="16"/>
  <c r="J127" i="16" s="1"/>
  <c r="I127" i="16"/>
  <c r="S127" i="16" s="1"/>
  <c r="E127" i="16"/>
  <c r="F127" i="16" s="1"/>
  <c r="O74" i="16"/>
  <c r="L74" i="16"/>
  <c r="I152" i="16"/>
  <c r="Q152" i="16" s="1"/>
  <c r="G152" i="16"/>
  <c r="J152" i="16" s="1"/>
  <c r="K152" i="16" s="1"/>
  <c r="E152" i="16"/>
  <c r="F152" i="16" s="1"/>
  <c r="I144" i="16"/>
  <c r="Q144" i="16"/>
  <c r="H144" i="16"/>
  <c r="P144" i="16"/>
  <c r="G144" i="16"/>
  <c r="O144" i="16"/>
  <c r="E144" i="16"/>
  <c r="M144" i="16"/>
  <c r="F144" i="16"/>
  <c r="N144" i="16"/>
  <c r="C144" i="16"/>
  <c r="L144" i="16"/>
  <c r="G123" i="16"/>
  <c r="H123" i="16" s="1"/>
  <c r="E123" i="16"/>
  <c r="F123" i="16" s="1"/>
  <c r="I123" i="16"/>
  <c r="P123" i="16" s="1"/>
  <c r="S85" i="16"/>
  <c r="R85" i="16"/>
  <c r="Q85" i="16"/>
  <c r="G51" i="16"/>
  <c r="H51" i="16" s="1"/>
  <c r="E51" i="16"/>
  <c r="F51" i="16" s="1"/>
  <c r="I51" i="16"/>
  <c r="P51" i="16" s="1"/>
  <c r="G19" i="16"/>
  <c r="J19" i="16" s="1"/>
  <c r="N19" i="16" s="1"/>
  <c r="E19" i="16"/>
  <c r="F19" i="16" s="1"/>
  <c r="I19" i="16"/>
  <c r="P19" i="16" s="1"/>
  <c r="C90" i="16"/>
  <c r="P55" i="16"/>
  <c r="I148" i="16"/>
  <c r="P148" i="16" s="1"/>
  <c r="E148" i="16"/>
  <c r="F148" i="16" s="1"/>
  <c r="G148" i="16"/>
  <c r="J148" i="16" s="1"/>
  <c r="G119" i="16"/>
  <c r="J119" i="16" s="1"/>
  <c r="E119" i="16"/>
  <c r="F119" i="16" s="1"/>
  <c r="I119" i="16"/>
  <c r="P119" i="16" s="1"/>
  <c r="H141" i="16"/>
  <c r="Q55" i="16"/>
  <c r="I38" i="16"/>
  <c r="R38" i="16" s="1"/>
  <c r="G38" i="16"/>
  <c r="H38" i="16" s="1"/>
  <c r="E38" i="16"/>
  <c r="F38" i="16" s="1"/>
  <c r="S89" i="16"/>
  <c r="R89" i="16"/>
  <c r="Q89" i="16"/>
  <c r="P83" i="16"/>
  <c r="Q83" i="16"/>
  <c r="G35" i="16"/>
  <c r="H35" i="16" s="1"/>
  <c r="E35" i="16"/>
  <c r="F35" i="16" s="1"/>
  <c r="I35" i="16"/>
  <c r="S35" i="16" s="1"/>
  <c r="H137" i="16"/>
  <c r="S31" i="16"/>
  <c r="Q31" i="16"/>
  <c r="N133" i="16"/>
  <c r="L133" i="16"/>
  <c r="I136" i="16"/>
  <c r="Q136" i="16" s="1"/>
  <c r="E136" i="16"/>
  <c r="F136" i="16" s="1"/>
  <c r="G136" i="16"/>
  <c r="J136" i="16" s="1"/>
  <c r="K136" i="16" s="1"/>
  <c r="I54" i="16"/>
  <c r="Q54" i="16" s="1"/>
  <c r="G54" i="16"/>
  <c r="H54" i="16" s="1"/>
  <c r="F54" i="16"/>
  <c r="E54" i="16"/>
  <c r="I22" i="16"/>
  <c r="P22" i="16" s="1"/>
  <c r="G22" i="16"/>
  <c r="J22" i="16" s="1"/>
  <c r="E22" i="16"/>
  <c r="F22" i="16" s="1"/>
  <c r="S15" i="16"/>
  <c r="R15" i="16"/>
  <c r="Q15" i="16"/>
  <c r="H153" i="16"/>
  <c r="H145" i="16"/>
  <c r="H149" i="16"/>
  <c r="K133" i="16"/>
  <c r="M114" i="16"/>
  <c r="R31" i="16"/>
  <c r="I118" i="16"/>
  <c r="S118" i="16" s="1"/>
  <c r="G115" i="16"/>
  <c r="H115" i="16" s="1"/>
  <c r="G107" i="16"/>
  <c r="H107" i="16" s="1"/>
  <c r="G79" i="16"/>
  <c r="H79" i="16" s="1"/>
  <c r="I66" i="16"/>
  <c r="R66" i="16" s="1"/>
  <c r="G23" i="16"/>
  <c r="J23" i="16" s="1"/>
  <c r="E23" i="16"/>
  <c r="F23" i="16" s="1"/>
  <c r="I10" i="16"/>
  <c r="R10" i="16" s="1"/>
  <c r="G10" i="16"/>
  <c r="H10" i="16" s="1"/>
  <c r="R129" i="16"/>
  <c r="S55" i="16"/>
  <c r="E6" i="16"/>
  <c r="F6" i="16" s="1"/>
  <c r="L153" i="16"/>
  <c r="C153" i="16"/>
  <c r="L149" i="16"/>
  <c r="C149" i="16"/>
  <c r="H147" i="16"/>
  <c r="L145" i="16"/>
  <c r="C145" i="16"/>
  <c r="P143" i="16"/>
  <c r="H143" i="16"/>
  <c r="J142" i="16"/>
  <c r="C142" i="16" s="1"/>
  <c r="L141" i="16"/>
  <c r="C141" i="16"/>
  <c r="L137" i="16"/>
  <c r="C137" i="16"/>
  <c r="H135" i="16"/>
  <c r="J134" i="16"/>
  <c r="C134" i="16" s="1"/>
  <c r="I128" i="16"/>
  <c r="R128" i="16" s="1"/>
  <c r="I124" i="16"/>
  <c r="R124" i="16" s="1"/>
  <c r="I120" i="16"/>
  <c r="R120" i="16" s="1"/>
  <c r="I116" i="16"/>
  <c r="R116" i="16" s="1"/>
  <c r="E115" i="16"/>
  <c r="F115" i="16" s="1"/>
  <c r="K114" i="16"/>
  <c r="R111" i="16"/>
  <c r="E111" i="16"/>
  <c r="F111" i="16" s="1"/>
  <c r="E107" i="16"/>
  <c r="F107" i="16" s="1"/>
  <c r="R103" i="16"/>
  <c r="E103" i="16"/>
  <c r="F103" i="16" s="1"/>
  <c r="K102" i="16"/>
  <c r="E95" i="16"/>
  <c r="F95" i="16" s="1"/>
  <c r="O93" i="16"/>
  <c r="C93" i="16"/>
  <c r="E91" i="16"/>
  <c r="F91" i="16" s="1"/>
  <c r="K90" i="16"/>
  <c r="K86" i="16"/>
  <c r="R83" i="16"/>
  <c r="E83" i="16"/>
  <c r="F83" i="16" s="1"/>
  <c r="K80" i="16"/>
  <c r="E79" i="16"/>
  <c r="F79" i="16" s="1"/>
  <c r="E75" i="16"/>
  <c r="F75" i="16" s="1"/>
  <c r="K74" i="16"/>
  <c r="L50" i="16"/>
  <c r="P31" i="16"/>
  <c r="I126" i="16"/>
  <c r="Q126" i="16" s="1"/>
  <c r="G99" i="16"/>
  <c r="H99" i="16" s="1"/>
  <c r="F99" i="16"/>
  <c r="G87" i="16"/>
  <c r="J87" i="16" s="1"/>
  <c r="F87" i="16"/>
  <c r="E72" i="16"/>
  <c r="F72" i="16" s="1"/>
  <c r="E64" i="16"/>
  <c r="F64" i="16" s="1"/>
  <c r="I62" i="16"/>
  <c r="Q62" i="16" s="1"/>
  <c r="I58" i="16"/>
  <c r="R58" i="16" s="1"/>
  <c r="G39" i="16"/>
  <c r="J39" i="16" s="1"/>
  <c r="E39" i="16"/>
  <c r="F39" i="16" s="1"/>
  <c r="G7" i="16"/>
  <c r="J7" i="16" s="1"/>
  <c r="E7" i="16"/>
  <c r="F7" i="16" s="1"/>
  <c r="H133" i="16"/>
  <c r="J132" i="16"/>
  <c r="C132" i="16" s="1"/>
  <c r="I46" i="16"/>
  <c r="S46" i="16" s="1"/>
  <c r="G46" i="16"/>
  <c r="J46" i="16" s="1"/>
  <c r="O46" i="16" s="1"/>
  <c r="G43" i="16"/>
  <c r="J43" i="16" s="1"/>
  <c r="K43" i="16" s="1"/>
  <c r="E43" i="16"/>
  <c r="F43" i="16" s="1"/>
  <c r="I30" i="16"/>
  <c r="S30" i="16" s="1"/>
  <c r="G30" i="16"/>
  <c r="J30" i="16" s="1"/>
  <c r="O30" i="16" s="1"/>
  <c r="G27" i="16"/>
  <c r="J27" i="16" s="1"/>
  <c r="K27" i="16" s="1"/>
  <c r="E27" i="16"/>
  <c r="F27" i="16" s="1"/>
  <c r="I14" i="16"/>
  <c r="S14" i="16" s="1"/>
  <c r="G14" i="16"/>
  <c r="J14" i="16" s="1"/>
  <c r="C14" i="16" s="1"/>
  <c r="G11" i="16"/>
  <c r="J11" i="16" s="1"/>
  <c r="K11" i="16" s="1"/>
  <c r="E11" i="16"/>
  <c r="F11" i="16" s="1"/>
  <c r="Q111" i="16"/>
  <c r="Q103" i="16"/>
  <c r="M153" i="16"/>
  <c r="E153" i="16"/>
  <c r="F153" i="16" s="1"/>
  <c r="I151" i="16"/>
  <c r="S151" i="16" s="1"/>
  <c r="M149" i="16"/>
  <c r="E149" i="16"/>
  <c r="F149" i="16" s="1"/>
  <c r="I147" i="16"/>
  <c r="S147" i="16" s="1"/>
  <c r="M145" i="16"/>
  <c r="E145" i="16"/>
  <c r="F145" i="16" s="1"/>
  <c r="Q143" i="16"/>
  <c r="I143" i="16"/>
  <c r="M141" i="16"/>
  <c r="E141" i="16"/>
  <c r="F141" i="16" s="1"/>
  <c r="I139" i="16"/>
  <c r="S139" i="16" s="1"/>
  <c r="M137" i="16"/>
  <c r="E137" i="16"/>
  <c r="F137" i="16" s="1"/>
  <c r="I135" i="16"/>
  <c r="S135" i="16" s="1"/>
  <c r="E126" i="16"/>
  <c r="F126" i="16" s="1"/>
  <c r="E118" i="16"/>
  <c r="F118" i="16" s="1"/>
  <c r="L114" i="16"/>
  <c r="S111" i="16"/>
  <c r="S103" i="16"/>
  <c r="L102" i="16"/>
  <c r="L90" i="16"/>
  <c r="L86" i="16"/>
  <c r="S83" i="16"/>
  <c r="G72" i="16"/>
  <c r="J72" i="16" s="1"/>
  <c r="E70" i="16"/>
  <c r="F70" i="16" s="1"/>
  <c r="E66" i="16"/>
  <c r="F66" i="16" s="1"/>
  <c r="G64" i="16"/>
  <c r="J64" i="16" s="1"/>
  <c r="E62" i="16"/>
  <c r="F62" i="16" s="1"/>
  <c r="E58" i="16"/>
  <c r="F58" i="16" s="1"/>
  <c r="I39" i="16"/>
  <c r="S39" i="16" s="1"/>
  <c r="I23" i="16"/>
  <c r="S23" i="16" s="1"/>
  <c r="E10" i="16"/>
  <c r="F10" i="16" s="1"/>
  <c r="L9" i="16"/>
  <c r="I7" i="16"/>
  <c r="S7" i="16" s="1"/>
  <c r="I6" i="16"/>
  <c r="R6" i="16" s="1"/>
  <c r="G6" i="16"/>
  <c r="J6" i="16" s="1"/>
  <c r="N6" i="16" s="1"/>
  <c r="I122" i="16"/>
  <c r="Q122" i="16" s="1"/>
  <c r="F122" i="16"/>
  <c r="G95" i="16"/>
  <c r="H95" i="16" s="1"/>
  <c r="G91" i="16"/>
  <c r="J91" i="16" s="1"/>
  <c r="G75" i="16"/>
  <c r="H75" i="16" s="1"/>
  <c r="E68" i="16"/>
  <c r="F68" i="16" s="1"/>
  <c r="J68" i="16"/>
  <c r="L68" i="16" s="1"/>
  <c r="E60" i="16"/>
  <c r="F60" i="16" s="1"/>
  <c r="J60" i="16"/>
  <c r="C60" i="16" s="1"/>
  <c r="G55" i="16"/>
  <c r="J55" i="16" s="1"/>
  <c r="E55" i="16"/>
  <c r="F55" i="16" s="1"/>
  <c r="I42" i="16"/>
  <c r="P42" i="16" s="1"/>
  <c r="G42" i="16"/>
  <c r="H42" i="16" s="1"/>
  <c r="F42" i="16"/>
  <c r="I26" i="16"/>
  <c r="T26" i="16" s="1"/>
  <c r="G26" i="16"/>
  <c r="H26" i="16" s="1"/>
  <c r="F26" i="16"/>
  <c r="K137" i="16"/>
  <c r="N153" i="16"/>
  <c r="N149" i="16"/>
  <c r="N145" i="16"/>
  <c r="R143" i="16"/>
  <c r="N141" i="16"/>
  <c r="N137" i="16"/>
  <c r="M133" i="16"/>
  <c r="C133" i="16"/>
  <c r="E131" i="16"/>
  <c r="F131" i="16" s="1"/>
  <c r="G126" i="16"/>
  <c r="J126" i="16" s="1"/>
  <c r="O126" i="16" s="1"/>
  <c r="G122" i="16"/>
  <c r="J122" i="16" s="1"/>
  <c r="C122" i="16" s="1"/>
  <c r="G118" i="16"/>
  <c r="J118" i="16" s="1"/>
  <c r="O118" i="16" s="1"/>
  <c r="I115" i="16"/>
  <c r="P115" i="16" s="1"/>
  <c r="I107" i="16"/>
  <c r="P107" i="16" s="1"/>
  <c r="I99" i="16"/>
  <c r="I95" i="16"/>
  <c r="R95" i="16" s="1"/>
  <c r="I91" i="16"/>
  <c r="I87" i="16"/>
  <c r="P87" i="16" s="1"/>
  <c r="I79" i="16"/>
  <c r="P79" i="16" s="1"/>
  <c r="I75" i="16"/>
  <c r="P75" i="16" s="1"/>
  <c r="H68" i="16"/>
  <c r="G66" i="16"/>
  <c r="H66" i="16" s="1"/>
  <c r="G62" i="16"/>
  <c r="J62" i="16" s="1"/>
  <c r="H60" i="16"/>
  <c r="G58" i="16"/>
  <c r="H58" i="16" s="1"/>
  <c r="G111" i="16"/>
  <c r="H111" i="16" s="1"/>
  <c r="G103" i="16"/>
  <c r="H103" i="16" s="1"/>
  <c r="G83" i="16"/>
  <c r="H83" i="16" s="1"/>
  <c r="I70" i="16"/>
  <c r="S70" i="16" s="1"/>
  <c r="H70" i="16"/>
  <c r="E128" i="16"/>
  <c r="F128" i="16" s="1"/>
  <c r="J128" i="16"/>
  <c r="M128" i="16" s="1"/>
  <c r="E124" i="16"/>
  <c r="F124" i="16" s="1"/>
  <c r="J124" i="16"/>
  <c r="L124" i="16" s="1"/>
  <c r="E120" i="16"/>
  <c r="F120" i="16" s="1"/>
  <c r="J120" i="16"/>
  <c r="M120" i="16" s="1"/>
  <c r="E116" i="16"/>
  <c r="F116" i="16" s="1"/>
  <c r="J116" i="16"/>
  <c r="M116" i="16" s="1"/>
  <c r="I114" i="16"/>
  <c r="P114" i="16" s="1"/>
  <c r="H114" i="16"/>
  <c r="N114" i="16"/>
  <c r="E112" i="16"/>
  <c r="F112" i="16" s="1"/>
  <c r="J112" i="16"/>
  <c r="O112" i="16" s="1"/>
  <c r="I110" i="16"/>
  <c r="F110" i="16"/>
  <c r="E108" i="16"/>
  <c r="F108" i="16" s="1"/>
  <c r="I106" i="16"/>
  <c r="P106" i="16" s="1"/>
  <c r="F106" i="16"/>
  <c r="E104" i="16"/>
  <c r="F104" i="16" s="1"/>
  <c r="J104" i="16"/>
  <c r="L104" i="16" s="1"/>
  <c r="I102" i="16"/>
  <c r="H102" i="16"/>
  <c r="N102" i="16"/>
  <c r="E100" i="16"/>
  <c r="F100" i="16" s="1"/>
  <c r="J100" i="16"/>
  <c r="N100" i="16" s="1"/>
  <c r="I98" i="16"/>
  <c r="T98" i="16" s="1"/>
  <c r="E96" i="16"/>
  <c r="F96" i="16" s="1"/>
  <c r="J96" i="16"/>
  <c r="O96" i="16" s="1"/>
  <c r="I94" i="16"/>
  <c r="P94" i="16" s="1"/>
  <c r="F94" i="16"/>
  <c r="E92" i="16"/>
  <c r="F92" i="16" s="1"/>
  <c r="I90" i="16"/>
  <c r="T90" i="16" s="1"/>
  <c r="H90" i="16"/>
  <c r="N90" i="16"/>
  <c r="E88" i="16"/>
  <c r="F88" i="16" s="1"/>
  <c r="J88" i="16"/>
  <c r="L88" i="16" s="1"/>
  <c r="I86" i="16"/>
  <c r="P86" i="16" s="1"/>
  <c r="H86" i="16"/>
  <c r="N86" i="16"/>
  <c r="E84" i="16"/>
  <c r="F84" i="16" s="1"/>
  <c r="J84" i="16"/>
  <c r="O84" i="16" s="1"/>
  <c r="I82" i="16"/>
  <c r="P82" i="16" s="1"/>
  <c r="E80" i="16"/>
  <c r="M80" i="16"/>
  <c r="C80" i="16"/>
  <c r="L80" i="16"/>
  <c r="J80" i="16"/>
  <c r="R80" i="16"/>
  <c r="I78" i="16"/>
  <c r="P78" i="16" s="1"/>
  <c r="F78" i="16"/>
  <c r="E76" i="16"/>
  <c r="F76" i="16" s="1"/>
  <c r="I74" i="16"/>
  <c r="P74" i="16" s="1"/>
  <c r="H74" i="16"/>
  <c r="N74" i="16"/>
  <c r="G71" i="16"/>
  <c r="G67" i="16"/>
  <c r="G63" i="16"/>
  <c r="G59" i="16"/>
  <c r="I50" i="16"/>
  <c r="Q50" i="16"/>
  <c r="H50" i="16"/>
  <c r="P50" i="16"/>
  <c r="G50" i="16"/>
  <c r="O50" i="16"/>
  <c r="F50" i="16"/>
  <c r="N50" i="16"/>
  <c r="G47" i="16"/>
  <c r="E47" i="16"/>
  <c r="F47" i="16" s="1"/>
  <c r="I34" i="16"/>
  <c r="S34" i="16" s="1"/>
  <c r="G34" i="16"/>
  <c r="J34" i="16" s="1"/>
  <c r="L34" i="16" s="1"/>
  <c r="F34" i="16"/>
  <c r="G31" i="16"/>
  <c r="E31" i="16"/>
  <c r="F31" i="16" s="1"/>
  <c r="I18" i="16"/>
  <c r="S18" i="16" s="1"/>
  <c r="G18" i="16"/>
  <c r="J18" i="16" s="1"/>
  <c r="L18" i="16" s="1"/>
  <c r="F18" i="16"/>
  <c r="G15" i="16"/>
  <c r="E15" i="16"/>
  <c r="F15" i="16" s="1"/>
  <c r="K141" i="16"/>
  <c r="O153" i="16"/>
  <c r="O149" i="16"/>
  <c r="O145" i="16"/>
  <c r="O141" i="16"/>
  <c r="O137" i="16"/>
  <c r="I72" i="16"/>
  <c r="Q72" i="16" s="1"/>
  <c r="J70" i="16"/>
  <c r="N70" i="16" s="1"/>
  <c r="I68" i="16"/>
  <c r="P68" i="16" s="1"/>
  <c r="I64" i="16"/>
  <c r="P64" i="16" s="1"/>
  <c r="I60" i="16"/>
  <c r="P60" i="16" s="1"/>
  <c r="E46" i="16"/>
  <c r="F46" i="16" s="1"/>
  <c r="I43" i="16"/>
  <c r="E30" i="16"/>
  <c r="F30" i="16" s="1"/>
  <c r="I27" i="16"/>
  <c r="E14" i="16"/>
  <c r="F14" i="16" s="1"/>
  <c r="I11" i="16"/>
  <c r="H9" i="16"/>
  <c r="P129" i="16"/>
  <c r="P121" i="16"/>
  <c r="P89" i="16"/>
  <c r="P85" i="16"/>
  <c r="P73" i="16"/>
  <c r="P41" i="16"/>
  <c r="P37" i="16"/>
  <c r="P33" i="16"/>
  <c r="P17" i="16"/>
  <c r="R41" i="16"/>
  <c r="R37" i="16"/>
  <c r="R33" i="16"/>
  <c r="R17" i="16"/>
  <c r="P50" i="29"/>
  <c r="Q50" i="29"/>
  <c r="P271" i="29"/>
  <c r="S271" i="29"/>
  <c r="Q227" i="29"/>
  <c r="R46" i="29"/>
  <c r="T251" i="29"/>
  <c r="T74" i="29"/>
  <c r="S78" i="29"/>
  <c r="Q60" i="29"/>
  <c r="R86" i="29"/>
  <c r="P13" i="29"/>
  <c r="S17" i="29"/>
  <c r="S267" i="29"/>
  <c r="R134" i="29"/>
  <c r="R121" i="29"/>
  <c r="R183" i="29"/>
  <c r="T186" i="29"/>
  <c r="T183" i="29"/>
  <c r="Q225" i="29"/>
  <c r="P227" i="29"/>
  <c r="R174" i="29"/>
  <c r="R74" i="29"/>
  <c r="P186" i="29"/>
  <c r="T196" i="29"/>
  <c r="S174" i="29"/>
  <c r="S206" i="29"/>
  <c r="S269" i="29"/>
  <c r="T53" i="29"/>
  <c r="P101" i="29"/>
  <c r="R96" i="29"/>
  <c r="P96" i="29"/>
  <c r="P238" i="29"/>
  <c r="S186" i="29"/>
  <c r="T50" i="29"/>
  <c r="T271" i="29"/>
  <c r="P211" i="29"/>
  <c r="S50" i="29"/>
  <c r="T95" i="29"/>
  <c r="P174" i="29"/>
  <c r="Q52" i="29"/>
  <c r="R265" i="29"/>
  <c r="T206" i="29"/>
  <c r="Q106" i="29"/>
  <c r="T222" i="29"/>
  <c r="S46" i="29"/>
  <c r="P134" i="29"/>
  <c r="T101" i="29"/>
  <c r="Q134" i="29"/>
  <c r="Q205" i="29"/>
  <c r="Q90" i="29"/>
  <c r="T265" i="29"/>
  <c r="P60" i="29"/>
  <c r="P28" i="29"/>
  <c r="P53" i="29"/>
  <c r="S120" i="29"/>
  <c r="S175" i="29"/>
  <c r="P108" i="29"/>
  <c r="T96" i="29"/>
  <c r="T261" i="29"/>
  <c r="Q269" i="29"/>
  <c r="R267" i="29"/>
  <c r="Q183" i="29"/>
  <c r="T106" i="29"/>
  <c r="S108" i="29"/>
  <c r="S121" i="29"/>
  <c r="T82" i="29"/>
  <c r="R206" i="29"/>
  <c r="T4" i="29"/>
  <c r="P74" i="29"/>
  <c r="Q15" i="29"/>
  <c r="R225" i="29"/>
  <c r="S101" i="29"/>
  <c r="Q57" i="29"/>
  <c r="T142" i="29"/>
  <c r="P138" i="29"/>
  <c r="Q174" i="29"/>
  <c r="T93" i="29"/>
  <c r="S205" i="29"/>
  <c r="T90" i="29"/>
  <c r="T272" i="29"/>
  <c r="R272" i="29"/>
  <c r="P6" i="29"/>
  <c r="S60" i="29"/>
  <c r="S28" i="29"/>
  <c r="Q6" i="29"/>
  <c r="P183" i="29"/>
  <c r="R101" i="29"/>
  <c r="Q150" i="29"/>
  <c r="Q271" i="29"/>
  <c r="Q197" i="29"/>
  <c r="Q109" i="29"/>
  <c r="T236" i="29"/>
  <c r="R248" i="29"/>
  <c r="T250" i="29"/>
  <c r="S279" i="29"/>
  <c r="Q68" i="29"/>
  <c r="T171" i="29"/>
  <c r="Q49" i="29"/>
  <c r="T267" i="29"/>
  <c r="R163" i="29"/>
  <c r="S260" i="29"/>
  <c r="R279" i="29"/>
  <c r="P105" i="29"/>
  <c r="Q154" i="29"/>
  <c r="T118" i="29"/>
  <c r="P166" i="29"/>
  <c r="T20" i="29"/>
  <c r="P212" i="29"/>
  <c r="R83" i="29"/>
  <c r="Q228" i="29"/>
  <c r="R228" i="29"/>
  <c r="T218" i="29"/>
  <c r="S72" i="29"/>
  <c r="R192" i="29"/>
  <c r="P127" i="29"/>
  <c r="P173" i="29"/>
  <c r="P125" i="29"/>
  <c r="P171" i="29"/>
  <c r="P82" i="29"/>
  <c r="R42" i="29"/>
  <c r="S173" i="29"/>
  <c r="T122" i="29"/>
  <c r="Q51" i="29"/>
  <c r="T127" i="29"/>
  <c r="Q120" i="29"/>
  <c r="T254" i="29"/>
  <c r="P243" i="29"/>
  <c r="Q222" i="29"/>
  <c r="Q207" i="29"/>
  <c r="S241" i="29"/>
  <c r="Q192" i="29"/>
  <c r="T208" i="29"/>
  <c r="S188" i="29"/>
  <c r="R68" i="29"/>
  <c r="T18" i="29"/>
  <c r="T72" i="29"/>
  <c r="Q76" i="29"/>
  <c r="R82" i="29"/>
  <c r="Q99" i="29"/>
  <c r="R182" i="29"/>
  <c r="R111" i="29"/>
  <c r="P111" i="29"/>
  <c r="S213" i="29"/>
  <c r="R125" i="29"/>
  <c r="P200" i="29"/>
  <c r="S68" i="29"/>
  <c r="P270" i="29"/>
  <c r="T62" i="29"/>
  <c r="P18" i="29"/>
  <c r="S252" i="29"/>
  <c r="Q238" i="29"/>
  <c r="S91" i="29"/>
  <c r="S138" i="29"/>
  <c r="R39" i="29"/>
  <c r="P154" i="29"/>
  <c r="Q36" i="29"/>
  <c r="P32" i="29"/>
  <c r="S272" i="29"/>
  <c r="P218" i="29"/>
  <c r="S102" i="29"/>
  <c r="T228" i="29"/>
  <c r="S140" i="29"/>
  <c r="T30" i="29"/>
  <c r="R208" i="29"/>
  <c r="R161" i="29"/>
  <c r="R178" i="29"/>
  <c r="R109" i="29"/>
  <c r="T83" i="29"/>
  <c r="P76" i="29"/>
  <c r="R30" i="29"/>
  <c r="S187" i="29"/>
  <c r="T187" i="29"/>
  <c r="Q129" i="29"/>
  <c r="S127" i="29"/>
  <c r="R9" i="29"/>
  <c r="Q9" i="29"/>
  <c r="R274" i="29"/>
  <c r="P256" i="29"/>
  <c r="R222" i="29"/>
  <c r="Q208" i="29"/>
  <c r="P208" i="29"/>
  <c r="T192" i="29"/>
  <c r="T22" i="29"/>
  <c r="Q62" i="29"/>
  <c r="Q127" i="29"/>
  <c r="Q125" i="29"/>
  <c r="R171" i="29"/>
  <c r="P91" i="29"/>
  <c r="S166" i="29"/>
  <c r="T111" i="29"/>
  <c r="P30" i="29"/>
  <c r="S238" i="29"/>
  <c r="P163" i="29"/>
  <c r="P236" i="29"/>
  <c r="R233" i="29"/>
  <c r="P222" i="29"/>
  <c r="P99" i="29"/>
  <c r="T99" i="29"/>
  <c r="P68" i="29"/>
  <c r="R154" i="29"/>
  <c r="Q279" i="29"/>
  <c r="Q272" i="29"/>
  <c r="Q218" i="29"/>
  <c r="P102" i="29"/>
  <c r="S32" i="29"/>
  <c r="R28" i="29"/>
  <c r="S228" i="29"/>
  <c r="S163" i="29"/>
  <c r="R188" i="29"/>
  <c r="P83" i="29"/>
  <c r="R36" i="29"/>
  <c r="P62" i="29"/>
  <c r="Q260" i="29"/>
  <c r="R49" i="29"/>
  <c r="Q82" i="29"/>
  <c r="R76" i="29"/>
  <c r="T279" i="29"/>
  <c r="P260" i="29"/>
  <c r="Q236" i="29"/>
  <c r="Q182" i="29"/>
  <c r="T182" i="29"/>
  <c r="P192" i="29"/>
  <c r="Q111" i="29"/>
  <c r="S125" i="29"/>
  <c r="R205" i="29"/>
  <c r="T205" i="29"/>
  <c r="R218" i="29"/>
  <c r="P118" i="29"/>
  <c r="P49" i="29"/>
  <c r="Q146" i="29"/>
  <c r="S18" i="29"/>
  <c r="T28" i="29"/>
  <c r="P143" i="29"/>
  <c r="R91" i="29"/>
  <c r="R260" i="29"/>
  <c r="P36" i="29"/>
  <c r="AZ42" i="14"/>
  <c r="AZ13" i="14"/>
  <c r="AZ43" i="14"/>
  <c r="AZ46" i="14"/>
  <c r="AZ15" i="14"/>
  <c r="AZ44" i="14"/>
  <c r="Q4" i="16"/>
  <c r="H251" i="29"/>
  <c r="N166" i="29"/>
  <c r="Q5" i="29"/>
  <c r="T5" i="29"/>
  <c r="P5" i="29"/>
  <c r="R5" i="29"/>
  <c r="R23" i="29"/>
  <c r="P23" i="29"/>
  <c r="Q23" i="29"/>
  <c r="S23" i="29"/>
  <c r="S37" i="29"/>
  <c r="T37" i="29"/>
  <c r="R37" i="29"/>
  <c r="P37" i="29"/>
  <c r="Q37" i="29"/>
  <c r="P73" i="29"/>
  <c r="T73" i="29"/>
  <c r="Q73" i="29"/>
  <c r="S73" i="29"/>
  <c r="R73" i="29"/>
  <c r="S75" i="29"/>
  <c r="T75" i="29"/>
  <c r="Q75" i="29"/>
  <c r="P75" i="29"/>
  <c r="R75" i="29"/>
  <c r="T79" i="29"/>
  <c r="P79" i="29"/>
  <c r="R79" i="29"/>
  <c r="S100" i="29"/>
  <c r="T100" i="29"/>
  <c r="P100" i="29"/>
  <c r="Q100" i="29"/>
  <c r="R141" i="29"/>
  <c r="T141" i="29"/>
  <c r="T159" i="29"/>
  <c r="R159" i="29"/>
  <c r="Q159" i="29"/>
  <c r="P159" i="29"/>
  <c r="S159" i="29"/>
  <c r="Q169" i="29"/>
  <c r="S169" i="29"/>
  <c r="T169" i="29"/>
  <c r="R169" i="29"/>
  <c r="T181" i="29"/>
  <c r="P193" i="29"/>
  <c r="S193" i="29"/>
  <c r="Q193" i="29"/>
  <c r="T193" i="29"/>
  <c r="S244" i="29"/>
  <c r="T244" i="29"/>
  <c r="Q244" i="29"/>
  <c r="R244" i="29"/>
  <c r="P244" i="29"/>
  <c r="G53" i="29"/>
  <c r="G160" i="29"/>
  <c r="G34" i="29"/>
  <c r="G151" i="29"/>
  <c r="G259" i="29"/>
  <c r="Q141" i="29"/>
  <c r="J186" i="29"/>
  <c r="AH77" i="29"/>
  <c r="O212" i="29"/>
  <c r="K212" i="29"/>
  <c r="N212" i="29"/>
  <c r="J209" i="29"/>
  <c r="G240" i="29"/>
  <c r="P169" i="29"/>
  <c r="S5" i="29"/>
  <c r="G87" i="29"/>
  <c r="G196" i="29"/>
  <c r="G88" i="29"/>
  <c r="J88" i="29" s="1"/>
  <c r="AH88" i="29" s="1"/>
  <c r="J56" i="29"/>
  <c r="H181" i="29"/>
  <c r="J181" i="29"/>
  <c r="R63" i="29"/>
  <c r="Q63" i="29"/>
  <c r="T63" i="29"/>
  <c r="S63" i="29"/>
  <c r="P63" i="29"/>
  <c r="S67" i="29"/>
  <c r="T67" i="29"/>
  <c r="P67" i="29"/>
  <c r="R67" i="29"/>
  <c r="T84" i="29"/>
  <c r="R84" i="29"/>
  <c r="P84" i="29"/>
  <c r="S84" i="29"/>
  <c r="Q84" i="29"/>
  <c r="Q110" i="29"/>
  <c r="R110" i="29"/>
  <c r="P119" i="29"/>
  <c r="Q119" i="29"/>
  <c r="R119" i="29"/>
  <c r="T119" i="29"/>
  <c r="S119" i="29"/>
  <c r="S126" i="29"/>
  <c r="R126" i="29"/>
  <c r="T126" i="29"/>
  <c r="R130" i="29"/>
  <c r="S130" i="29"/>
  <c r="P130" i="29"/>
  <c r="T130" i="29"/>
  <c r="Q130" i="29"/>
  <c r="R170" i="29"/>
  <c r="T170" i="29"/>
  <c r="Q170" i="29"/>
  <c r="S170" i="29"/>
  <c r="P170" i="29"/>
  <c r="R189" i="29"/>
  <c r="T189" i="29"/>
  <c r="S189" i="29"/>
  <c r="P189" i="29"/>
  <c r="Q189" i="29"/>
  <c r="R209" i="29"/>
  <c r="S209" i="29"/>
  <c r="Q209" i="29"/>
  <c r="P209" i="29"/>
  <c r="T209" i="29"/>
  <c r="P214" i="29"/>
  <c r="T214" i="29"/>
  <c r="R214" i="29"/>
  <c r="P232" i="29"/>
  <c r="T232" i="29"/>
  <c r="R232" i="29"/>
  <c r="Q276" i="29"/>
  <c r="R276" i="29"/>
  <c r="G61" i="29"/>
  <c r="H111" i="29"/>
  <c r="G206" i="29"/>
  <c r="G51" i="29"/>
  <c r="G269" i="29"/>
  <c r="G260" i="29"/>
  <c r="G24" i="29"/>
  <c r="H24" i="29" s="1"/>
  <c r="G89" i="29"/>
  <c r="G214" i="29"/>
  <c r="G152" i="29"/>
  <c r="G258" i="29"/>
  <c r="G278" i="29"/>
  <c r="G96" i="29"/>
  <c r="J96" i="29" s="1"/>
  <c r="M96" i="29" s="1"/>
  <c r="G70" i="29"/>
  <c r="G134" i="29"/>
  <c r="G233" i="29"/>
  <c r="G69" i="29"/>
  <c r="G250" i="29"/>
  <c r="G79" i="29"/>
  <c r="J79" i="29" s="1"/>
  <c r="G123" i="29"/>
  <c r="G132" i="29"/>
  <c r="G205" i="29"/>
  <c r="G213" i="29"/>
  <c r="J213" i="29" s="1"/>
  <c r="AH213" i="29" s="1"/>
  <c r="G195" i="29"/>
  <c r="G150" i="29"/>
  <c r="G71" i="29"/>
  <c r="G242" i="29"/>
  <c r="G222" i="29"/>
  <c r="G52" i="29"/>
  <c r="G16" i="29"/>
  <c r="H16" i="29" s="1"/>
  <c r="G241" i="29"/>
  <c r="G43" i="29"/>
  <c r="J43" i="29" s="1"/>
  <c r="N43" i="29" s="1"/>
  <c r="G223" i="29"/>
  <c r="G159" i="29"/>
  <c r="G169" i="29"/>
  <c r="G33" i="29"/>
  <c r="G60" i="29"/>
  <c r="H60" i="29" s="1"/>
  <c r="G80" i="29"/>
  <c r="G142" i="29"/>
  <c r="L83" i="29"/>
  <c r="N83" i="29"/>
  <c r="K83" i="29"/>
  <c r="H176" i="29"/>
  <c r="G249" i="29"/>
  <c r="L23" i="29"/>
  <c r="M23" i="29"/>
  <c r="AH108" i="29"/>
  <c r="P10" i="29"/>
  <c r="S10" i="29"/>
  <c r="Q10" i="29"/>
  <c r="P31" i="29"/>
  <c r="R31" i="29"/>
  <c r="Q89" i="29"/>
  <c r="P89" i="29"/>
  <c r="R167" i="29"/>
  <c r="T167" i="29"/>
  <c r="P167" i="29"/>
  <c r="Q167" i="29"/>
  <c r="S177" i="29"/>
  <c r="P177" i="29"/>
  <c r="R177" i="29"/>
  <c r="R196" i="29"/>
  <c r="Q196" i="29"/>
  <c r="P196" i="29"/>
  <c r="Q201" i="29"/>
  <c r="P201" i="29"/>
  <c r="T201" i="29"/>
  <c r="T219" i="29"/>
  <c r="P219" i="29"/>
  <c r="Q237" i="29"/>
  <c r="R237" i="29"/>
  <c r="T237" i="29"/>
  <c r="P264" i="29"/>
  <c r="G265" i="29"/>
  <c r="J265" i="29" s="1"/>
  <c r="G256" i="29"/>
  <c r="G193" i="29"/>
  <c r="G103" i="29"/>
  <c r="H103" i="29" s="1"/>
  <c r="G94" i="29"/>
  <c r="J94" i="29" s="1"/>
  <c r="K94" i="29" s="1"/>
  <c r="G13" i="29"/>
  <c r="G211" i="29"/>
  <c r="G139" i="29"/>
  <c r="G8" i="29"/>
  <c r="H8" i="29" s="1"/>
  <c r="G229" i="29"/>
  <c r="G148" i="29"/>
  <c r="G67" i="29"/>
  <c r="G238" i="29"/>
  <c r="G184" i="29"/>
  <c r="J184" i="29" s="1"/>
  <c r="N184" i="29" s="1"/>
  <c r="G220" i="29"/>
  <c r="J220" i="29" s="1"/>
  <c r="K220" i="29" s="1"/>
  <c r="G247" i="29"/>
  <c r="G274" i="29"/>
  <c r="H274" i="29" s="1"/>
  <c r="G4" i="29"/>
  <c r="J199" i="29"/>
  <c r="N199" i="29" s="1"/>
  <c r="R19" i="29"/>
  <c r="T19" i="29"/>
  <c r="Q19" i="29"/>
  <c r="S19" i="29"/>
  <c r="Q40" i="29"/>
  <c r="P40" i="29"/>
  <c r="S40" i="29"/>
  <c r="T40" i="29"/>
  <c r="T45" i="29"/>
  <c r="S123" i="29"/>
  <c r="P123" i="29"/>
  <c r="T123" i="29"/>
  <c r="P132" i="29"/>
  <c r="T132" i="29"/>
  <c r="Q132" i="29"/>
  <c r="R155" i="29"/>
  <c r="T155" i="29"/>
  <c r="P162" i="29"/>
  <c r="T162" i="29"/>
  <c r="P198" i="29"/>
  <c r="R198" i="29"/>
  <c r="S198" i="29"/>
  <c r="P203" i="29"/>
  <c r="S203" i="29"/>
  <c r="R203" i="29"/>
  <c r="Q221" i="29"/>
  <c r="P221" i="29"/>
  <c r="T223" i="29"/>
  <c r="Q223" i="29"/>
  <c r="R229" i="29"/>
  <c r="T229" i="29"/>
  <c r="S229" i="29"/>
  <c r="T255" i="29"/>
  <c r="R255" i="29"/>
  <c r="Q255" i="29"/>
  <c r="P268" i="29"/>
  <c r="R282" i="29"/>
  <c r="S282" i="29"/>
  <c r="G188" i="29"/>
  <c r="G125" i="29"/>
  <c r="G141" i="29"/>
  <c r="G230" i="29"/>
  <c r="G231" i="29"/>
  <c r="H231" i="29" s="1"/>
  <c r="G14" i="29"/>
  <c r="G168" i="29"/>
  <c r="G276" i="29"/>
  <c r="H276" i="29" s="1"/>
  <c r="G114" i="29"/>
  <c r="G177" i="29"/>
  <c r="G44" i="29"/>
  <c r="G158" i="29"/>
  <c r="G143" i="29"/>
  <c r="G197" i="29"/>
  <c r="G26" i="29"/>
  <c r="G35" i="29"/>
  <c r="G62" i="29"/>
  <c r="G178" i="29"/>
  <c r="G15" i="29"/>
  <c r="G86" i="29"/>
  <c r="H86" i="29" s="1"/>
  <c r="G106" i="29"/>
  <c r="G25" i="29"/>
  <c r="G124" i="29"/>
  <c r="G224" i="29"/>
  <c r="H224" i="29" s="1"/>
  <c r="G215" i="29"/>
  <c r="H215" i="29" s="1"/>
  <c r="G179" i="29"/>
  <c r="G268" i="29"/>
  <c r="G42" i="29"/>
  <c r="G239" i="29"/>
  <c r="G115" i="29"/>
  <c r="H115" i="29" s="1"/>
  <c r="G161" i="29"/>
  <c r="G277" i="29"/>
  <c r="G97" i="29"/>
  <c r="G78" i="29"/>
  <c r="H78" i="29" s="1"/>
  <c r="G232" i="29"/>
  <c r="G267" i="29"/>
  <c r="G187" i="29"/>
  <c r="G107" i="29"/>
  <c r="H107" i="29" s="1"/>
  <c r="G266" i="29"/>
  <c r="G116" i="29"/>
  <c r="G133" i="29"/>
  <c r="G170" i="29"/>
  <c r="G32" i="29"/>
  <c r="J32" i="29" s="1"/>
  <c r="AH32" i="29" s="1"/>
  <c r="Q16" i="29"/>
  <c r="Q210" i="29"/>
  <c r="M149" i="29"/>
  <c r="S264" i="29"/>
  <c r="P16" i="29"/>
  <c r="S201" i="29"/>
  <c r="T32" i="29"/>
  <c r="J30" i="29"/>
  <c r="N30" i="29" s="1"/>
  <c r="J253" i="29"/>
  <c r="R113" i="29"/>
  <c r="P136" i="29"/>
  <c r="G6" i="29"/>
  <c r="G121" i="29"/>
  <c r="Q219" i="29"/>
  <c r="Q177" i="29"/>
  <c r="P194" i="29"/>
  <c r="N164" i="29"/>
  <c r="H128" i="29"/>
  <c r="J128" i="29"/>
  <c r="T59" i="29"/>
  <c r="P59" i="29"/>
  <c r="R59" i="29"/>
  <c r="R129" i="29"/>
  <c r="T129" i="29"/>
  <c r="R210" i="29"/>
  <c r="P210" i="29"/>
  <c r="Q231" i="29"/>
  <c r="R231" i="29"/>
  <c r="T231" i="29"/>
  <c r="T248" i="29"/>
  <c r="S248" i="29"/>
  <c r="T270" i="29"/>
  <c r="S270" i="29"/>
  <c r="R270" i="29"/>
  <c r="N100" i="29"/>
  <c r="L100" i="29"/>
  <c r="J248" i="29"/>
  <c r="C248" i="29" s="1"/>
  <c r="H93" i="29"/>
  <c r="R70" i="29"/>
  <c r="Q70" i="29"/>
  <c r="S70" i="29"/>
  <c r="R95" i="29"/>
  <c r="S95" i="29"/>
  <c r="P95" i="29"/>
  <c r="S97" i="29"/>
  <c r="P97" i="29"/>
  <c r="R120" i="29"/>
  <c r="T120" i="29"/>
  <c r="T143" i="29"/>
  <c r="R143" i="29"/>
  <c r="P161" i="29"/>
  <c r="Q161" i="29"/>
  <c r="T161" i="29"/>
  <c r="T190" i="29"/>
  <c r="R190" i="29"/>
  <c r="Q190" i="29"/>
  <c r="S202" i="29"/>
  <c r="P202" i="29"/>
  <c r="T202" i="29"/>
  <c r="P215" i="29"/>
  <c r="Q215" i="29"/>
  <c r="Q265" i="29"/>
  <c r="P265" i="29"/>
  <c r="J31" i="29"/>
  <c r="AH31" i="29" s="1"/>
  <c r="R219" i="29"/>
  <c r="P129" i="29"/>
  <c r="G5" i="29"/>
  <c r="G112" i="29"/>
  <c r="J112" i="29" s="1"/>
  <c r="AH112" i="29" s="1"/>
  <c r="G202" i="29"/>
  <c r="J202" i="29" s="1"/>
  <c r="H58" i="29"/>
  <c r="R16" i="29"/>
  <c r="S16" i="29"/>
  <c r="P42" i="29"/>
  <c r="S42" i="29"/>
  <c r="J208" i="29"/>
  <c r="O208" i="29" s="1"/>
  <c r="T44" i="29"/>
  <c r="Q44" i="29"/>
  <c r="S51" i="29"/>
  <c r="R51" i="29"/>
  <c r="P51" i="29"/>
  <c r="Q53" i="29"/>
  <c r="T104" i="29"/>
  <c r="R104" i="29"/>
  <c r="R117" i="29"/>
  <c r="Q138" i="29"/>
  <c r="R138" i="29"/>
  <c r="T158" i="29"/>
  <c r="S178" i="29"/>
  <c r="T178" i="29"/>
  <c r="P178" i="29"/>
  <c r="R197" i="29"/>
  <c r="P197" i="29"/>
  <c r="R212" i="29"/>
  <c r="Q212" i="29"/>
  <c r="T220" i="29"/>
  <c r="S220" i="29"/>
  <c r="Q220" i="29"/>
  <c r="R220" i="29"/>
  <c r="S254" i="29"/>
  <c r="P254" i="29"/>
  <c r="Q258" i="29"/>
  <c r="T258" i="29"/>
  <c r="R258" i="29"/>
  <c r="S274" i="29"/>
  <c r="Q274" i="29"/>
  <c r="P274" i="29"/>
  <c r="S281" i="29"/>
  <c r="R281" i="29"/>
  <c r="T281" i="29"/>
  <c r="S146" i="29"/>
  <c r="S231" i="29"/>
  <c r="O149" i="29"/>
  <c r="P146" i="29"/>
  <c r="P237" i="29"/>
  <c r="S143" i="29"/>
  <c r="G9" i="29"/>
  <c r="J9" i="29" s="1"/>
  <c r="N9" i="29" s="1"/>
  <c r="G85" i="29"/>
  <c r="T177" i="29"/>
  <c r="T113" i="29"/>
  <c r="J45" i="29"/>
  <c r="N45" i="29" s="1"/>
  <c r="R47" i="29"/>
  <c r="Q47" i="29"/>
  <c r="S47" i="29"/>
  <c r="P47" i="29"/>
  <c r="AH64" i="29"/>
  <c r="R64" i="29"/>
  <c r="Q64" i="29"/>
  <c r="S113" i="29"/>
  <c r="Q113" i="29"/>
  <c r="R185" i="29"/>
  <c r="P185" i="29"/>
  <c r="T185" i="29"/>
  <c r="Q185" i="29"/>
  <c r="S277" i="29"/>
  <c r="P277" i="29"/>
  <c r="Q277" i="29"/>
  <c r="T27" i="29"/>
  <c r="R27" i="29"/>
  <c r="Q27" i="29"/>
  <c r="Q74" i="29"/>
  <c r="R133" i="29"/>
  <c r="T133" i="29"/>
  <c r="S133" i="29"/>
  <c r="P145" i="29"/>
  <c r="T145" i="29"/>
  <c r="Q145" i="29"/>
  <c r="R165" i="29"/>
  <c r="S165" i="29"/>
  <c r="Q165" i="29"/>
  <c r="P175" i="29"/>
  <c r="Q175" i="29"/>
  <c r="T194" i="29"/>
  <c r="S194" i="29"/>
  <c r="P247" i="29"/>
  <c r="S247" i="29"/>
  <c r="R262" i="29"/>
  <c r="S262" i="29"/>
  <c r="P262" i="29"/>
  <c r="G19" i="29"/>
  <c r="G110" i="29"/>
  <c r="G109" i="29"/>
  <c r="J109" i="29" s="1"/>
  <c r="G163" i="29"/>
  <c r="G243" i="29"/>
  <c r="G263" i="29"/>
  <c r="G82" i="29"/>
  <c r="J82" i="29" s="1"/>
  <c r="G99" i="29"/>
  <c r="G190" i="29"/>
  <c r="H190" i="29" s="1"/>
  <c r="G147" i="29"/>
  <c r="G75" i="29"/>
  <c r="G144" i="29"/>
  <c r="H144" i="29" s="1"/>
  <c r="G210" i="29"/>
  <c r="G37" i="29"/>
  <c r="G72" i="29"/>
  <c r="J72" i="29" s="1"/>
  <c r="G218" i="29"/>
  <c r="G180" i="29"/>
  <c r="H180" i="29" s="1"/>
  <c r="G47" i="29"/>
  <c r="G245" i="29"/>
  <c r="G201" i="29"/>
  <c r="G46" i="29"/>
  <c r="J46" i="29" s="1"/>
  <c r="G155" i="29"/>
  <c r="G279" i="29"/>
  <c r="G117" i="29"/>
  <c r="G272" i="29"/>
  <c r="H272" i="29" s="1"/>
  <c r="G29" i="29"/>
  <c r="J29" i="29" s="1"/>
  <c r="AH29" i="29" s="1"/>
  <c r="G198" i="29"/>
  <c r="G281" i="29"/>
  <c r="G66" i="29"/>
  <c r="G226" i="29"/>
  <c r="G237" i="29"/>
  <c r="G48" i="29"/>
  <c r="G63" i="29"/>
  <c r="G10" i="29"/>
  <c r="G173" i="29"/>
  <c r="G145" i="29"/>
  <c r="G219" i="29"/>
  <c r="G55" i="29"/>
  <c r="G54" i="29"/>
  <c r="G135" i="29"/>
  <c r="J135" i="29" s="1"/>
  <c r="N135" i="29" s="1"/>
  <c r="G138" i="29"/>
  <c r="H138" i="29" s="1"/>
  <c r="G228" i="29"/>
  <c r="G255" i="29"/>
  <c r="G101" i="29"/>
  <c r="G192" i="29"/>
  <c r="G20" i="29"/>
  <c r="Q59" i="29"/>
  <c r="T64" i="29"/>
  <c r="S237" i="29"/>
  <c r="R10" i="29"/>
  <c r="J235" i="29"/>
  <c r="H164" i="29"/>
  <c r="R146" i="29"/>
  <c r="R88" i="29"/>
  <c r="G175" i="29"/>
  <c r="T277" i="29"/>
  <c r="R277" i="29"/>
  <c r="R38" i="29"/>
  <c r="T77" i="29"/>
  <c r="R62" i="29"/>
  <c r="T57" i="29"/>
  <c r="R252" i="29"/>
  <c r="T108" i="29"/>
  <c r="R179" i="29"/>
  <c r="P250" i="29"/>
  <c r="K38" i="29"/>
  <c r="AH38" i="29"/>
  <c r="C38" i="29"/>
  <c r="N38" i="29"/>
  <c r="O38" i="29"/>
  <c r="C119" i="29"/>
  <c r="O119" i="29"/>
  <c r="L90" i="29"/>
  <c r="M140" i="29"/>
  <c r="R115" i="29"/>
  <c r="Q115" i="29"/>
  <c r="J154" i="29"/>
  <c r="H154" i="29"/>
  <c r="H236" i="29"/>
  <c r="H225" i="29"/>
  <c r="J225" i="29"/>
  <c r="H270" i="29"/>
  <c r="P4" i="29"/>
  <c r="Q4" i="29"/>
  <c r="S92" i="29"/>
  <c r="Q92" i="29"/>
  <c r="Q114" i="29"/>
  <c r="R114" i="29"/>
  <c r="S114" i="29"/>
  <c r="P116" i="29"/>
  <c r="R116" i="29"/>
  <c r="Q116" i="29"/>
  <c r="S148" i="29"/>
  <c r="T148" i="29"/>
  <c r="Q148" i="29"/>
  <c r="R148" i="29"/>
  <c r="R150" i="29"/>
  <c r="S150" i="29"/>
  <c r="R152" i="29"/>
  <c r="T152" i="29"/>
  <c r="Q152" i="29"/>
  <c r="S152" i="29"/>
  <c r="P188" i="29"/>
  <c r="R224" i="29"/>
  <c r="T224" i="29"/>
  <c r="P224" i="29"/>
  <c r="T226" i="29"/>
  <c r="Q226" i="29"/>
  <c r="R226" i="29"/>
  <c r="S226" i="29"/>
  <c r="R245" i="29"/>
  <c r="Q245" i="29"/>
  <c r="P245" i="29"/>
  <c r="S245" i="29"/>
  <c r="Q12" i="29"/>
  <c r="T12" i="29"/>
  <c r="S12" i="29"/>
  <c r="R44" i="29"/>
  <c r="P44" i="29"/>
  <c r="S44" i="29"/>
  <c r="R52" i="29"/>
  <c r="S52" i="29"/>
  <c r="S61" i="29"/>
  <c r="Q61" i="29"/>
  <c r="Q88" i="29"/>
  <c r="T88" i="29"/>
  <c r="P88" i="29"/>
  <c r="Q131" i="29"/>
  <c r="P131" i="29"/>
  <c r="S131" i="29"/>
  <c r="T157" i="29"/>
  <c r="P157" i="29"/>
  <c r="Q157" i="29"/>
  <c r="R157" i="29"/>
  <c r="S230" i="29"/>
  <c r="T230" i="29"/>
  <c r="T256" i="29"/>
  <c r="R256" i="29"/>
  <c r="P275" i="29"/>
  <c r="S275" i="29"/>
  <c r="N182" i="29"/>
  <c r="R191" i="29"/>
  <c r="C217" i="29"/>
  <c r="Q188" i="29"/>
  <c r="S105" i="29"/>
  <c r="P114" i="29"/>
  <c r="Q118" i="29"/>
  <c r="Q195" i="29"/>
  <c r="P257" i="29"/>
  <c r="Q122" i="29"/>
  <c r="R158" i="29"/>
  <c r="Q198" i="29"/>
  <c r="T221" i="29"/>
  <c r="T191" i="29"/>
  <c r="P184" i="29"/>
  <c r="Q25" i="29"/>
  <c r="S6" i="29"/>
  <c r="S79" i="29"/>
  <c r="H83" i="29"/>
  <c r="J127" i="29"/>
  <c r="J234" i="29"/>
  <c r="M83" i="29"/>
  <c r="H119" i="29"/>
  <c r="P149" i="29"/>
  <c r="T15" i="29"/>
  <c r="Q103" i="29"/>
  <c r="T257" i="29"/>
  <c r="P282" i="29"/>
  <c r="Q224" i="29"/>
  <c r="R241" i="29"/>
  <c r="S36" i="29"/>
  <c r="T92" i="29"/>
  <c r="Q241" i="29"/>
  <c r="J7" i="29"/>
  <c r="T35" i="29"/>
  <c r="P35" i="29"/>
  <c r="S35" i="29"/>
  <c r="H21" i="29"/>
  <c r="J167" i="29"/>
  <c r="S34" i="29"/>
  <c r="R34" i="29"/>
  <c r="T34" i="29"/>
  <c r="J136" i="29"/>
  <c r="H275" i="29"/>
  <c r="Q48" i="29"/>
  <c r="P48" i="29"/>
  <c r="T48" i="29"/>
  <c r="T54" i="29"/>
  <c r="P54" i="29"/>
  <c r="S54" i="29"/>
  <c r="Q56" i="29"/>
  <c r="S56" i="29"/>
  <c r="T78" i="29"/>
  <c r="P78" i="29"/>
  <c r="T80" i="29"/>
  <c r="S80" i="29"/>
  <c r="R80" i="29"/>
  <c r="P80" i="29"/>
  <c r="Q80" i="29"/>
  <c r="T110" i="29"/>
  <c r="P110" i="29"/>
  <c r="S136" i="29"/>
  <c r="T136" i="29"/>
  <c r="T140" i="29"/>
  <c r="R140" i="29"/>
  <c r="Q140" i="29"/>
  <c r="P144" i="29"/>
  <c r="T144" i="29"/>
  <c r="R144" i="29"/>
  <c r="R172" i="29"/>
  <c r="T172" i="29"/>
  <c r="S172" i="29"/>
  <c r="Q172" i="29"/>
  <c r="P176" i="29"/>
  <c r="R176" i="29"/>
  <c r="S176" i="29"/>
  <c r="S207" i="29"/>
  <c r="R207" i="29"/>
  <c r="T211" i="29"/>
  <c r="R211" i="29"/>
  <c r="R213" i="29"/>
  <c r="T213" i="29"/>
  <c r="P213" i="29"/>
  <c r="P195" i="29"/>
  <c r="P25" i="29"/>
  <c r="H38" i="29"/>
  <c r="S149" i="29"/>
  <c r="R66" i="29"/>
  <c r="K217" i="29"/>
  <c r="P255" i="29"/>
  <c r="P150" i="29"/>
  <c r="R118" i="29"/>
  <c r="T241" i="29"/>
  <c r="S39" i="29"/>
  <c r="S221" i="29"/>
  <c r="S191" i="29"/>
  <c r="R60" i="29"/>
  <c r="T184" i="29"/>
  <c r="S25" i="29"/>
  <c r="Q79" i="29"/>
  <c r="AH83" i="29"/>
  <c r="S116" i="29"/>
  <c r="S158" i="29"/>
  <c r="P152" i="29"/>
  <c r="P246" i="29"/>
  <c r="Q246" i="29"/>
  <c r="R234" i="29"/>
  <c r="L113" i="29"/>
  <c r="O113" i="29"/>
  <c r="K113" i="29"/>
  <c r="M113" i="29"/>
  <c r="AH113" i="29"/>
  <c r="T11" i="29"/>
  <c r="P11" i="29"/>
  <c r="R15" i="29"/>
  <c r="P15" i="29"/>
  <c r="P29" i="29"/>
  <c r="S31" i="29"/>
  <c r="T31" i="29"/>
  <c r="Q31" i="29"/>
  <c r="Q33" i="29"/>
  <c r="T33" i="29"/>
  <c r="P39" i="29"/>
  <c r="Q39" i="29"/>
  <c r="R41" i="29"/>
  <c r="P41" i="29"/>
  <c r="Q41" i="29"/>
  <c r="T41" i="29"/>
  <c r="T43" i="29"/>
  <c r="S43" i="29"/>
  <c r="S45" i="29"/>
  <c r="Q45" i="29"/>
  <c r="S64" i="29"/>
  <c r="P64" i="29"/>
  <c r="S66" i="29"/>
  <c r="Q66" i="29"/>
  <c r="T66" i="29"/>
  <c r="P87" i="29"/>
  <c r="T87" i="29"/>
  <c r="T164" i="29"/>
  <c r="P164" i="29"/>
  <c r="R166" i="29"/>
  <c r="Q166" i="29"/>
  <c r="AH166" i="29"/>
  <c r="P168" i="29"/>
  <c r="Q168" i="29"/>
  <c r="T168" i="29"/>
  <c r="P187" i="29"/>
  <c r="R187" i="29"/>
  <c r="Q264" i="29"/>
  <c r="T264" i="29"/>
  <c r="R264" i="29"/>
  <c r="R268" i="29"/>
  <c r="T268" i="29"/>
  <c r="S268" i="29"/>
  <c r="M50" i="29"/>
  <c r="C50" i="29"/>
  <c r="O120" i="29"/>
  <c r="C120" i="29"/>
  <c r="L108" i="29"/>
  <c r="H102" i="29"/>
  <c r="P7" i="29"/>
  <c r="S7" i="29"/>
  <c r="T7" i="29"/>
  <c r="R7" i="29"/>
  <c r="P9" i="29"/>
  <c r="S9" i="29"/>
  <c r="S55" i="29"/>
  <c r="Q55" i="29"/>
  <c r="P55" i="29"/>
  <c r="T55" i="29"/>
  <c r="Q85" i="29"/>
  <c r="P85" i="29"/>
  <c r="T85" i="29"/>
  <c r="S85" i="29"/>
  <c r="P93" i="29"/>
  <c r="R93" i="29"/>
  <c r="Q93" i="29"/>
  <c r="R97" i="29"/>
  <c r="Q97" i="29"/>
  <c r="S141" i="29"/>
  <c r="P141" i="29"/>
  <c r="T173" i="29"/>
  <c r="Q173" i="29"/>
  <c r="R181" i="29"/>
  <c r="Q181" i="29"/>
  <c r="P181" i="29"/>
  <c r="P206" i="29"/>
  <c r="T240" i="29"/>
  <c r="S240" i="29"/>
  <c r="R240" i="29"/>
  <c r="Q240" i="29"/>
  <c r="S242" i="29"/>
  <c r="Q242" i="29"/>
  <c r="T242" i="29"/>
  <c r="R242" i="29"/>
  <c r="AH140" i="29"/>
  <c r="T195" i="29"/>
  <c r="P115" i="29"/>
  <c r="R35" i="29"/>
  <c r="T115" i="29"/>
  <c r="R149" i="29"/>
  <c r="P33" i="29"/>
  <c r="S257" i="29"/>
  <c r="Q29" i="29"/>
  <c r="S184" i="29"/>
  <c r="R32" i="29"/>
  <c r="N271" i="29"/>
  <c r="K140" i="29"/>
  <c r="R195" i="29"/>
  <c r="R168" i="29"/>
  <c r="P207" i="29"/>
  <c r="Q54" i="29"/>
  <c r="Q34" i="29"/>
  <c r="R78" i="29"/>
  <c r="Q136" i="29"/>
  <c r="S115" i="29"/>
  <c r="Q123" i="29"/>
  <c r="S33" i="29"/>
  <c r="Q268" i="29"/>
  <c r="S11" i="29"/>
  <c r="Q158" i="29"/>
  <c r="T275" i="29"/>
  <c r="R257" i="29"/>
  <c r="P230" i="29"/>
  <c r="T245" i="29"/>
  <c r="Q232" i="29"/>
  <c r="P56" i="29"/>
  <c r="P34" i="29"/>
  <c r="R11" i="29"/>
  <c r="R45" i="29"/>
  <c r="Q87" i="29"/>
  <c r="Q58" i="29"/>
  <c r="P58" i="29"/>
  <c r="R58" i="29"/>
  <c r="AH23" i="29"/>
  <c r="O23" i="29"/>
  <c r="K23" i="29"/>
  <c r="N23" i="29"/>
  <c r="K282" i="29"/>
  <c r="T103" i="29"/>
  <c r="S103" i="29"/>
  <c r="P103" i="29"/>
  <c r="T105" i="29"/>
  <c r="Q105" i="29"/>
  <c r="S107" i="29"/>
  <c r="Q107" i="29"/>
  <c r="T107" i="29"/>
  <c r="P107" i="29"/>
  <c r="S122" i="29"/>
  <c r="R122" i="29"/>
  <c r="Q124" i="29"/>
  <c r="T124" i="29"/>
  <c r="P124" i="29"/>
  <c r="S124" i="29"/>
  <c r="Q126" i="29"/>
  <c r="P126" i="29"/>
  <c r="P156" i="29"/>
  <c r="R156" i="29"/>
  <c r="T156" i="29"/>
  <c r="Q156" i="29"/>
  <c r="S156" i="29"/>
  <c r="R160" i="29"/>
  <c r="T160" i="29"/>
  <c r="T200" i="29"/>
  <c r="Q200" i="29"/>
  <c r="R200" i="29"/>
  <c r="Q204" i="29"/>
  <c r="S204" i="29"/>
  <c r="P231" i="29"/>
  <c r="T259" i="29"/>
  <c r="R259" i="29"/>
  <c r="Q259" i="29"/>
  <c r="S259" i="29"/>
  <c r="R261" i="29"/>
  <c r="S261" i="29"/>
  <c r="S276" i="29"/>
  <c r="T276" i="29"/>
  <c r="P276" i="29"/>
  <c r="Q282" i="29"/>
  <c r="T282" i="29"/>
  <c r="H203" i="29"/>
  <c r="J203" i="29"/>
  <c r="L166" i="29"/>
  <c r="P20" i="29"/>
  <c r="R20" i="29"/>
  <c r="S20" i="29"/>
  <c r="S22" i="29"/>
  <c r="R22" i="29"/>
  <c r="Q24" i="29"/>
  <c r="P24" i="29"/>
  <c r="S26" i="29"/>
  <c r="Q26" i="29"/>
  <c r="T26" i="29"/>
  <c r="Q69" i="29"/>
  <c r="T69" i="29"/>
  <c r="R69" i="29"/>
  <c r="S69" i="29"/>
  <c r="R135" i="29"/>
  <c r="T135" i="29"/>
  <c r="S135" i="29"/>
  <c r="P135" i="29"/>
  <c r="T137" i="29"/>
  <c r="Q137" i="29"/>
  <c r="P137" i="29"/>
  <c r="S214" i="29"/>
  <c r="Q214" i="29"/>
  <c r="S216" i="29"/>
  <c r="R216" i="29"/>
  <c r="P216" i="29"/>
  <c r="T216" i="29"/>
  <c r="P233" i="29"/>
  <c r="T233" i="29"/>
  <c r="S233" i="29"/>
  <c r="P235" i="29"/>
  <c r="T235" i="29"/>
  <c r="S235" i="29"/>
  <c r="Q235" i="29"/>
  <c r="Q251" i="29"/>
  <c r="R251" i="29"/>
  <c r="Q263" i="29"/>
  <c r="R263" i="29"/>
  <c r="P263" i="29"/>
  <c r="S263" i="29"/>
  <c r="Q278" i="29"/>
  <c r="S278" i="29"/>
  <c r="Q191" i="29"/>
  <c r="O140" i="29"/>
  <c r="N140" i="29"/>
  <c r="Q35" i="29"/>
  <c r="T204" i="29"/>
  <c r="T29" i="29"/>
  <c r="R43" i="29"/>
  <c r="T114" i="29"/>
  <c r="P191" i="29"/>
  <c r="R25" i="29"/>
  <c r="J204" i="29"/>
  <c r="AH204" i="29" s="1"/>
  <c r="O83" i="29"/>
  <c r="C23" i="29"/>
  <c r="C140" i="29"/>
  <c r="S164" i="29"/>
  <c r="S144" i="29"/>
  <c r="S232" i="29"/>
  <c r="P160" i="29"/>
  <c r="T61" i="29"/>
  <c r="P92" i="29"/>
  <c r="P70" i="29"/>
  <c r="R131" i="29"/>
  <c r="P61" i="29"/>
  <c r="Q256" i="29"/>
  <c r="Q149" i="29"/>
  <c r="Q43" i="29"/>
  <c r="S224" i="29"/>
  <c r="S168" i="29"/>
  <c r="T58" i="29"/>
  <c r="S273" i="29"/>
  <c r="R273" i="29"/>
  <c r="T273" i="29"/>
  <c r="S4" i="16"/>
  <c r="T4" i="16"/>
  <c r="G4" i="16"/>
  <c r="J4" i="16" s="1"/>
  <c r="E4" i="16"/>
  <c r="F4" i="16" s="1"/>
  <c r="P4" i="16"/>
  <c r="R4" i="16"/>
  <c r="G5" i="16"/>
  <c r="H5" i="16" s="1"/>
  <c r="T143" i="16"/>
  <c r="T80" i="16"/>
  <c r="T17" i="16"/>
  <c r="T59" i="16"/>
  <c r="T103" i="16"/>
  <c r="T33" i="16"/>
  <c r="T71" i="16"/>
  <c r="H221" i="29" l="1"/>
  <c r="H91" i="29"/>
  <c r="J105" i="29"/>
  <c r="AH105" i="29" s="1"/>
  <c r="H166" i="29"/>
  <c r="N77" i="29"/>
  <c r="M9" i="16"/>
  <c r="H77" i="29"/>
  <c r="M166" i="29"/>
  <c r="J156" i="29"/>
  <c r="AH156" i="29" s="1"/>
  <c r="N119" i="29"/>
  <c r="K164" i="29"/>
  <c r="M77" i="29"/>
  <c r="J81" i="29"/>
  <c r="O81" i="29" s="1"/>
  <c r="J92" i="29"/>
  <c r="C92" i="29" s="1"/>
  <c r="AH217" i="29"/>
  <c r="AH119" i="29"/>
  <c r="C273" i="29"/>
  <c r="J153" i="29"/>
  <c r="O153" i="29" s="1"/>
  <c r="O217" i="29"/>
  <c r="J185" i="29"/>
  <c r="C185" i="29" s="1"/>
  <c r="C9" i="16"/>
  <c r="J146" i="29"/>
  <c r="C146" i="29" s="1"/>
  <c r="O273" i="29"/>
  <c r="J12" i="29"/>
  <c r="L12" i="29" s="1"/>
  <c r="J65" i="29"/>
  <c r="AH273" i="29"/>
  <c r="J28" i="29"/>
  <c r="J200" i="29"/>
  <c r="AH200" i="29" s="1"/>
  <c r="H217" i="29"/>
  <c r="AH164" i="29"/>
  <c r="L119" i="29"/>
  <c r="H174" i="29"/>
  <c r="AH264" i="29"/>
  <c r="L77" i="29"/>
  <c r="K166" i="29"/>
  <c r="M271" i="29"/>
  <c r="L217" i="29"/>
  <c r="N217" i="29"/>
  <c r="O9" i="16"/>
  <c r="L273" i="29"/>
  <c r="K119" i="29"/>
  <c r="N9" i="16"/>
  <c r="N273" i="29"/>
  <c r="M273" i="29"/>
  <c r="C77" i="29"/>
  <c r="C166" i="29"/>
  <c r="H273" i="29"/>
  <c r="C182" i="29"/>
  <c r="O50" i="29"/>
  <c r="AH100" i="29"/>
  <c r="H50" i="29"/>
  <c r="AH282" i="29"/>
  <c r="M282" i="29"/>
  <c r="J76" i="29"/>
  <c r="AH76" i="29" s="1"/>
  <c r="M120" i="29"/>
  <c r="AH149" i="29"/>
  <c r="J194" i="29"/>
  <c r="N50" i="29"/>
  <c r="J207" i="29"/>
  <c r="L207" i="29" s="1"/>
  <c r="C282" i="29"/>
  <c r="L95" i="29"/>
  <c r="L212" i="29"/>
  <c r="H100" i="29"/>
  <c r="M246" i="29"/>
  <c r="H182" i="29"/>
  <c r="AH50" i="29"/>
  <c r="P49" i="16"/>
  <c r="H36" i="29"/>
  <c r="AH120" i="29"/>
  <c r="J84" i="29"/>
  <c r="C84" i="29" s="1"/>
  <c r="K120" i="29"/>
  <c r="C64" i="29"/>
  <c r="N282" i="29"/>
  <c r="N95" i="29"/>
  <c r="H64" i="29"/>
  <c r="C113" i="29"/>
  <c r="H244" i="29"/>
  <c r="AH212" i="29"/>
  <c r="H165" i="29"/>
  <c r="H171" i="29"/>
  <c r="K149" i="29"/>
  <c r="N149" i="29"/>
  <c r="H149" i="29"/>
  <c r="J129" i="29"/>
  <c r="O129" i="29" s="1"/>
  <c r="J172" i="29"/>
  <c r="K172" i="29" s="1"/>
  <c r="L149" i="29"/>
  <c r="N120" i="29"/>
  <c r="H126" i="29"/>
  <c r="AH182" i="29"/>
  <c r="C212" i="29"/>
  <c r="H113" i="29"/>
  <c r="O100" i="29"/>
  <c r="J157" i="29"/>
  <c r="L157" i="29" s="1"/>
  <c r="J104" i="29"/>
  <c r="N104" i="29" s="1"/>
  <c r="J40" i="29"/>
  <c r="M40" i="29" s="1"/>
  <c r="H118" i="29"/>
  <c r="L282" i="29"/>
  <c r="H212" i="29"/>
  <c r="O182" i="29"/>
  <c r="J257" i="29"/>
  <c r="N257" i="29" s="1"/>
  <c r="M100" i="29"/>
  <c r="O271" i="29"/>
  <c r="O246" i="29"/>
  <c r="N90" i="29"/>
  <c r="L164" i="29"/>
  <c r="H108" i="29"/>
  <c r="J27" i="29"/>
  <c r="K27" i="29" s="1"/>
  <c r="AH271" i="29"/>
  <c r="C108" i="29"/>
  <c r="O264" i="29"/>
  <c r="J122" i="29"/>
  <c r="M122" i="29" s="1"/>
  <c r="H95" i="29"/>
  <c r="J18" i="29"/>
  <c r="L18" i="29" s="1"/>
  <c r="H140" i="29"/>
  <c r="AH246" i="29"/>
  <c r="C246" i="29"/>
  <c r="C90" i="29"/>
  <c r="M38" i="29"/>
  <c r="K95" i="29"/>
  <c r="AH95" i="29"/>
  <c r="O95" i="29"/>
  <c r="J17" i="29"/>
  <c r="AH17" i="29" s="1"/>
  <c r="AH130" i="29"/>
  <c r="C130" i="29"/>
  <c r="K108" i="29"/>
  <c r="K261" i="29"/>
  <c r="J57" i="29"/>
  <c r="C57" i="29" s="1"/>
  <c r="J59" i="29"/>
  <c r="L59" i="29" s="1"/>
  <c r="N64" i="29"/>
  <c r="H261" i="29"/>
  <c r="N264" i="29"/>
  <c r="O90" i="29"/>
  <c r="J254" i="29"/>
  <c r="K254" i="29" s="1"/>
  <c r="J216" i="29"/>
  <c r="AH216" i="29" s="1"/>
  <c r="K90" i="29"/>
  <c r="O130" i="29"/>
  <c r="H22" i="29"/>
  <c r="H98" i="29"/>
  <c r="J11" i="29"/>
  <c r="AH11" i="29" s="1"/>
  <c r="H73" i="29"/>
  <c r="M130" i="29"/>
  <c r="K264" i="29"/>
  <c r="N261" i="29"/>
  <c r="O261" i="29"/>
  <c r="M264" i="29"/>
  <c r="N246" i="29"/>
  <c r="J137" i="29"/>
  <c r="N137" i="29" s="1"/>
  <c r="L182" i="29"/>
  <c r="AH90" i="29"/>
  <c r="K130" i="29"/>
  <c r="C164" i="29"/>
  <c r="J49" i="29"/>
  <c r="AH49" i="29" s="1"/>
  <c r="H130" i="29"/>
  <c r="K271" i="29"/>
  <c r="C264" i="29"/>
  <c r="J227" i="29"/>
  <c r="K227" i="29" s="1"/>
  <c r="O108" i="29"/>
  <c r="C271" i="29"/>
  <c r="H246" i="29"/>
  <c r="H264" i="29"/>
  <c r="J191" i="29"/>
  <c r="N191" i="29" s="1"/>
  <c r="H90" i="29"/>
  <c r="L246" i="29"/>
  <c r="H271" i="29"/>
  <c r="J183" i="29"/>
  <c r="N183" i="29" s="1"/>
  <c r="K182" i="29"/>
  <c r="M95" i="29"/>
  <c r="L64" i="29"/>
  <c r="M164" i="29"/>
  <c r="J74" i="29"/>
  <c r="AH74" i="29" s="1"/>
  <c r="M64" i="29"/>
  <c r="N108" i="29"/>
  <c r="J162" i="29"/>
  <c r="N162" i="29" s="1"/>
  <c r="J39" i="29"/>
  <c r="C39" i="29" s="1"/>
  <c r="N130" i="29"/>
  <c r="J131" i="29"/>
  <c r="C131" i="29" s="1"/>
  <c r="J41" i="29"/>
  <c r="N41" i="29" s="1"/>
  <c r="J189" i="29"/>
  <c r="M189" i="29" s="1"/>
  <c r="K157" i="29"/>
  <c r="R44" i="16"/>
  <c r="P28" i="16"/>
  <c r="Q185" i="16"/>
  <c r="P213" i="16"/>
  <c r="J205" i="16"/>
  <c r="L205" i="16" s="1"/>
  <c r="T23" i="16"/>
  <c r="Q197" i="16"/>
  <c r="P21" i="16"/>
  <c r="P40" i="16"/>
  <c r="J196" i="16"/>
  <c r="M196" i="16" s="1"/>
  <c r="P52" i="16"/>
  <c r="S194" i="16"/>
  <c r="P210" i="16"/>
  <c r="R213" i="16"/>
  <c r="AH210" i="16"/>
  <c r="R81" i="16"/>
  <c r="R195" i="16"/>
  <c r="T194" i="16"/>
  <c r="P25" i="16"/>
  <c r="Q40" i="16"/>
  <c r="AH174" i="16"/>
  <c r="S214" i="16"/>
  <c r="S205" i="16"/>
  <c r="R56" i="16"/>
  <c r="K197" i="16"/>
  <c r="M197" i="16"/>
  <c r="C197" i="16"/>
  <c r="O197" i="16"/>
  <c r="S197" i="16"/>
  <c r="S163" i="16"/>
  <c r="S185" i="16"/>
  <c r="T197" i="16"/>
  <c r="T218" i="16"/>
  <c r="AH197" i="16"/>
  <c r="Q44" i="16"/>
  <c r="N197" i="16"/>
  <c r="R196" i="16"/>
  <c r="Q196" i="16"/>
  <c r="T196" i="16"/>
  <c r="R185" i="16"/>
  <c r="R197" i="16"/>
  <c r="R9" i="16"/>
  <c r="P201" i="16"/>
  <c r="R192" i="16"/>
  <c r="S196" i="16"/>
  <c r="H197" i="16"/>
  <c r="C252" i="29"/>
  <c r="K137" i="29"/>
  <c r="C199" i="29"/>
  <c r="L252" i="29"/>
  <c r="N92" i="29"/>
  <c r="AH252" i="29"/>
  <c r="C189" i="29"/>
  <c r="O252" i="29"/>
  <c r="K252" i="29"/>
  <c r="L131" i="29"/>
  <c r="AH92" i="29"/>
  <c r="N252" i="29"/>
  <c r="K92" i="29"/>
  <c r="J276" i="29"/>
  <c r="AH276" i="29" s="1"/>
  <c r="AH257" i="29"/>
  <c r="H109" i="29"/>
  <c r="H213" i="29"/>
  <c r="L280" i="29"/>
  <c r="H179" i="16"/>
  <c r="O41" i="29"/>
  <c r="N112" i="29"/>
  <c r="M280" i="29"/>
  <c r="AH126" i="29"/>
  <c r="J60" i="29"/>
  <c r="K60" i="29" s="1"/>
  <c r="J213" i="16"/>
  <c r="O213" i="16" s="1"/>
  <c r="M92" i="29"/>
  <c r="AH68" i="29"/>
  <c r="C208" i="29"/>
  <c r="J144" i="29"/>
  <c r="O144" i="29" s="1"/>
  <c r="K59" i="29"/>
  <c r="H112" i="29"/>
  <c r="K129" i="16"/>
  <c r="M205" i="16"/>
  <c r="AH208" i="29"/>
  <c r="C112" i="29"/>
  <c r="H135" i="29"/>
  <c r="M112" i="29"/>
  <c r="K112" i="29"/>
  <c r="C158" i="16"/>
  <c r="S157" i="16"/>
  <c r="R199" i="16"/>
  <c r="S193" i="16"/>
  <c r="P214" i="16"/>
  <c r="Q214" i="16"/>
  <c r="Q156" i="16"/>
  <c r="P193" i="16"/>
  <c r="P190" i="16"/>
  <c r="J193" i="16"/>
  <c r="L193" i="16" s="1"/>
  <c r="R205" i="16"/>
  <c r="R198" i="16"/>
  <c r="R157" i="16"/>
  <c r="AH157" i="16"/>
  <c r="T157" i="16"/>
  <c r="J169" i="16"/>
  <c r="K169" i="16" s="1"/>
  <c r="R166" i="16"/>
  <c r="P167" i="16"/>
  <c r="S218" i="16"/>
  <c r="Q205" i="16"/>
  <c r="Q218" i="16"/>
  <c r="S211" i="16"/>
  <c r="Q96" i="16"/>
  <c r="P157" i="16"/>
  <c r="S96" i="16"/>
  <c r="T205" i="16"/>
  <c r="P211" i="16"/>
  <c r="R218" i="16"/>
  <c r="C65" i="29"/>
  <c r="M65" i="29"/>
  <c r="O65" i="29"/>
  <c r="N65" i="29"/>
  <c r="L65" i="29"/>
  <c r="AH65" i="29"/>
  <c r="K65" i="29"/>
  <c r="C191" i="29"/>
  <c r="H32" i="29"/>
  <c r="L81" i="29"/>
  <c r="M158" i="16"/>
  <c r="C244" i="29"/>
  <c r="L9" i="29"/>
  <c r="M244" i="29"/>
  <c r="C9" i="29"/>
  <c r="L68" i="29"/>
  <c r="J185" i="16"/>
  <c r="L185" i="16" s="1"/>
  <c r="J201" i="16"/>
  <c r="K201" i="16" s="1"/>
  <c r="K244" i="29"/>
  <c r="O105" i="29"/>
  <c r="N244" i="29"/>
  <c r="N262" i="29"/>
  <c r="C135" i="29"/>
  <c r="O158" i="16"/>
  <c r="M59" i="29"/>
  <c r="J78" i="29"/>
  <c r="AH78" i="29" s="1"/>
  <c r="H202" i="29"/>
  <c r="C96" i="29"/>
  <c r="K104" i="29"/>
  <c r="O220" i="29"/>
  <c r="C262" i="29"/>
  <c r="AH131" i="29"/>
  <c r="L185" i="29"/>
  <c r="N61" i="16"/>
  <c r="J203" i="16"/>
  <c r="N203" i="16" s="1"/>
  <c r="K45" i="29"/>
  <c r="J24" i="29"/>
  <c r="N24" i="29" s="1"/>
  <c r="L88" i="29"/>
  <c r="J86" i="29"/>
  <c r="O86" i="29" s="1"/>
  <c r="O88" i="29"/>
  <c r="N165" i="29"/>
  <c r="O184" i="29"/>
  <c r="O191" i="29"/>
  <c r="K185" i="29"/>
  <c r="M69" i="16"/>
  <c r="H184" i="29"/>
  <c r="L32" i="29"/>
  <c r="K81" i="29"/>
  <c r="AH184" i="29"/>
  <c r="C184" i="29"/>
  <c r="M262" i="29"/>
  <c r="AH165" i="29"/>
  <c r="L184" i="29"/>
  <c r="O185" i="29"/>
  <c r="M185" i="29"/>
  <c r="L61" i="16"/>
  <c r="O77" i="16"/>
  <c r="AH185" i="29"/>
  <c r="AH191" i="29"/>
  <c r="N185" i="29"/>
  <c r="N78" i="16"/>
  <c r="H96" i="29"/>
  <c r="AH262" i="29"/>
  <c r="L146" i="29"/>
  <c r="H72" i="29"/>
  <c r="AH81" i="29"/>
  <c r="M165" i="29"/>
  <c r="L129" i="16"/>
  <c r="K199" i="16"/>
  <c r="H190" i="16"/>
  <c r="L199" i="16"/>
  <c r="N146" i="29"/>
  <c r="K43" i="29"/>
  <c r="J206" i="16"/>
  <c r="N206" i="16" s="1"/>
  <c r="H46" i="29"/>
  <c r="AH27" i="29"/>
  <c r="AH39" i="29"/>
  <c r="K165" i="29"/>
  <c r="AH220" i="29"/>
  <c r="H158" i="16"/>
  <c r="O92" i="29"/>
  <c r="O227" i="29"/>
  <c r="O45" i="29"/>
  <c r="L208" i="29"/>
  <c r="K146" i="29"/>
  <c r="AH146" i="29"/>
  <c r="K22" i="29"/>
  <c r="O165" i="29"/>
  <c r="C220" i="29"/>
  <c r="N227" i="29"/>
  <c r="K158" i="16"/>
  <c r="N158" i="16"/>
  <c r="H43" i="29"/>
  <c r="O43" i="29"/>
  <c r="O22" i="29"/>
  <c r="K208" i="29"/>
  <c r="C22" i="29"/>
  <c r="M45" i="29"/>
  <c r="L22" i="29"/>
  <c r="C165" i="29"/>
  <c r="L220" i="29"/>
  <c r="AH187" i="16"/>
  <c r="K205" i="16"/>
  <c r="J207" i="16"/>
  <c r="C207" i="16" s="1"/>
  <c r="M146" i="29"/>
  <c r="L45" i="29"/>
  <c r="O9" i="29"/>
  <c r="AH22" i="29"/>
  <c r="M43" i="29"/>
  <c r="J211" i="16"/>
  <c r="M211" i="16" s="1"/>
  <c r="H88" i="29"/>
  <c r="C45" i="29"/>
  <c r="O146" i="29"/>
  <c r="K111" i="29"/>
  <c r="L41" i="29"/>
  <c r="O73" i="29"/>
  <c r="N22" i="29"/>
  <c r="O94" i="29"/>
  <c r="L92" i="29"/>
  <c r="J217" i="16"/>
  <c r="L217" i="16" s="1"/>
  <c r="O280" i="29"/>
  <c r="L213" i="29"/>
  <c r="M68" i="29"/>
  <c r="O117" i="16"/>
  <c r="J138" i="29"/>
  <c r="AH138" i="29" s="1"/>
  <c r="N58" i="29"/>
  <c r="J8" i="29"/>
  <c r="M8" i="29" s="1"/>
  <c r="J107" i="29"/>
  <c r="AH107" i="29" s="1"/>
  <c r="M213" i="29"/>
  <c r="L43" i="29"/>
  <c r="M94" i="29"/>
  <c r="O257" i="29"/>
  <c r="H61" i="16"/>
  <c r="C117" i="16"/>
  <c r="K174" i="16"/>
  <c r="J180" i="16"/>
  <c r="O180" i="16" s="1"/>
  <c r="C68" i="29"/>
  <c r="O68" i="29"/>
  <c r="C162" i="29"/>
  <c r="O262" i="29"/>
  <c r="K262" i="29"/>
  <c r="J180" i="29"/>
  <c r="C180" i="29" s="1"/>
  <c r="C77" i="16"/>
  <c r="N280" i="29"/>
  <c r="M174" i="16"/>
  <c r="H265" i="29"/>
  <c r="AH43" i="29"/>
  <c r="C58" i="29"/>
  <c r="J274" i="29"/>
  <c r="L274" i="29" s="1"/>
  <c r="N153" i="29"/>
  <c r="O213" i="29"/>
  <c r="J215" i="29"/>
  <c r="K215" i="29" s="1"/>
  <c r="AH9" i="29"/>
  <c r="M61" i="16"/>
  <c r="L153" i="29"/>
  <c r="C43" i="29"/>
  <c r="M153" i="29"/>
  <c r="AH153" i="29"/>
  <c r="C213" i="29"/>
  <c r="N68" i="29"/>
  <c r="O58" i="29"/>
  <c r="N213" i="29"/>
  <c r="K105" i="29"/>
  <c r="K280" i="29"/>
  <c r="AH280" i="29"/>
  <c r="H29" i="29"/>
  <c r="M9" i="29"/>
  <c r="N69" i="16"/>
  <c r="L69" i="16"/>
  <c r="J182" i="16"/>
  <c r="N182" i="16" s="1"/>
  <c r="J175" i="16"/>
  <c r="M175" i="16" s="1"/>
  <c r="H192" i="16"/>
  <c r="J195" i="16"/>
  <c r="N195" i="16" s="1"/>
  <c r="K213" i="29"/>
  <c r="M58" i="29"/>
  <c r="M111" i="29"/>
  <c r="H9" i="29"/>
  <c r="H94" i="29"/>
  <c r="K9" i="29"/>
  <c r="H69" i="16"/>
  <c r="N53" i="16"/>
  <c r="O69" i="16"/>
  <c r="O61" i="16"/>
  <c r="K200" i="16"/>
  <c r="O200" i="16"/>
  <c r="H106" i="16"/>
  <c r="Q182" i="16"/>
  <c r="T49" i="16"/>
  <c r="S174" i="16"/>
  <c r="M194" i="16"/>
  <c r="Q216" i="16"/>
  <c r="P117" i="16"/>
  <c r="Q28" i="16"/>
  <c r="Q81" i="16"/>
  <c r="P171" i="16"/>
  <c r="L166" i="16"/>
  <c r="R167" i="16"/>
  <c r="Q176" i="16"/>
  <c r="S203" i="16"/>
  <c r="K202" i="16"/>
  <c r="H177" i="16"/>
  <c r="S195" i="16"/>
  <c r="T210" i="16"/>
  <c r="Q201" i="16"/>
  <c r="R182" i="16"/>
  <c r="J209" i="16"/>
  <c r="AH209" i="16" s="1"/>
  <c r="R201" i="16"/>
  <c r="R184" i="16"/>
  <c r="T208" i="16"/>
  <c r="P182" i="16"/>
  <c r="S208" i="16"/>
  <c r="T153" i="16"/>
  <c r="T136" i="16"/>
  <c r="P208" i="16"/>
  <c r="S182" i="16"/>
  <c r="H214" i="16"/>
  <c r="K121" i="16"/>
  <c r="Q167" i="16"/>
  <c r="T174" i="16"/>
  <c r="J215" i="16"/>
  <c r="K215" i="16" s="1"/>
  <c r="H200" i="16"/>
  <c r="R21" i="16"/>
  <c r="R28" i="16"/>
  <c r="O53" i="16"/>
  <c r="C69" i="16"/>
  <c r="Q163" i="16"/>
  <c r="R186" i="16"/>
  <c r="J172" i="16"/>
  <c r="AH172" i="16" s="1"/>
  <c r="K218" i="16"/>
  <c r="S210" i="16"/>
  <c r="P200" i="16"/>
  <c r="R174" i="16"/>
  <c r="J212" i="16"/>
  <c r="K212" i="16" s="1"/>
  <c r="Q213" i="16"/>
  <c r="T215" i="16"/>
  <c r="M210" i="16"/>
  <c r="AH202" i="16"/>
  <c r="J198" i="16"/>
  <c r="O198" i="16" s="1"/>
  <c r="R210" i="16"/>
  <c r="S213" i="16"/>
  <c r="O166" i="16"/>
  <c r="T16" i="16"/>
  <c r="J28" i="16"/>
  <c r="C28" i="16" s="1"/>
  <c r="M33" i="16"/>
  <c r="Q174" i="16"/>
  <c r="M190" i="16"/>
  <c r="C190" i="16"/>
  <c r="L190" i="16"/>
  <c r="O190" i="16"/>
  <c r="N190" i="16"/>
  <c r="K190" i="16"/>
  <c r="L177" i="16"/>
  <c r="AH177" i="16"/>
  <c r="K177" i="16"/>
  <c r="M177" i="16"/>
  <c r="O177" i="16"/>
  <c r="N177" i="16"/>
  <c r="C177" i="16"/>
  <c r="C214" i="16"/>
  <c r="M214" i="16"/>
  <c r="L214" i="16"/>
  <c r="N214" i="16"/>
  <c r="K214" i="16"/>
  <c r="O214" i="16"/>
  <c r="T217" i="16"/>
  <c r="T209" i="16"/>
  <c r="P215" i="16"/>
  <c r="P207" i="16"/>
  <c r="AH199" i="16"/>
  <c r="P199" i="16"/>
  <c r="AH191" i="16"/>
  <c r="P191" i="16"/>
  <c r="L196" i="16"/>
  <c r="T206" i="16"/>
  <c r="T201" i="16"/>
  <c r="T214" i="16"/>
  <c r="AH214" i="16"/>
  <c r="Q217" i="16"/>
  <c r="J76" i="16"/>
  <c r="N76" i="16" s="1"/>
  <c r="K191" i="16"/>
  <c r="S137" i="16"/>
  <c r="N33" i="16"/>
  <c r="O65" i="16"/>
  <c r="R170" i="16"/>
  <c r="R168" i="16"/>
  <c r="P189" i="16"/>
  <c r="Q189" i="16"/>
  <c r="J189" i="16"/>
  <c r="N189" i="16" s="1"/>
  <c r="P209" i="16"/>
  <c r="M192" i="16"/>
  <c r="J208" i="16"/>
  <c r="N200" i="16"/>
  <c r="S191" i="16"/>
  <c r="R209" i="16"/>
  <c r="C191" i="16"/>
  <c r="R206" i="16"/>
  <c r="R176" i="16"/>
  <c r="T70" i="16"/>
  <c r="J44" i="16"/>
  <c r="C44" i="16" s="1"/>
  <c r="C130" i="16"/>
  <c r="K106" i="16"/>
  <c r="Q32" i="16"/>
  <c r="P168" i="16"/>
  <c r="S170" i="16"/>
  <c r="M166" i="16"/>
  <c r="J176" i="16"/>
  <c r="K176" i="16" s="1"/>
  <c r="J186" i="16"/>
  <c r="N186" i="16" s="1"/>
  <c r="R189" i="16"/>
  <c r="C200" i="16"/>
  <c r="C192" i="16"/>
  <c r="J216" i="16"/>
  <c r="K210" i="16"/>
  <c r="P206" i="16"/>
  <c r="R217" i="16"/>
  <c r="Q206" i="16"/>
  <c r="AH194" i="16"/>
  <c r="S209" i="16"/>
  <c r="K192" i="16"/>
  <c r="Q191" i="16"/>
  <c r="Q199" i="16"/>
  <c r="P181" i="16"/>
  <c r="N106" i="16"/>
  <c r="J107" i="16"/>
  <c r="O107" i="16" s="1"/>
  <c r="M191" i="16"/>
  <c r="O191" i="16"/>
  <c r="N191" i="16"/>
  <c r="T190" i="16"/>
  <c r="AH190" i="16"/>
  <c r="S190" i="16"/>
  <c r="T198" i="16"/>
  <c r="T211" i="16"/>
  <c r="T203" i="16"/>
  <c r="T193" i="16"/>
  <c r="T195" i="16"/>
  <c r="Q179" i="16"/>
  <c r="Q168" i="16"/>
  <c r="Q181" i="16"/>
  <c r="S173" i="16"/>
  <c r="P217" i="16"/>
  <c r="M200" i="16"/>
  <c r="T216" i="16"/>
  <c r="L142" i="16"/>
  <c r="H87" i="16"/>
  <c r="C106" i="16"/>
  <c r="P165" i="16"/>
  <c r="L200" i="16"/>
  <c r="L192" i="16"/>
  <c r="AH192" i="16"/>
  <c r="S215" i="16"/>
  <c r="R216" i="16"/>
  <c r="S198" i="16"/>
  <c r="J16" i="16"/>
  <c r="L16" i="16" s="1"/>
  <c r="R40" i="16"/>
  <c r="J95" i="16"/>
  <c r="O95" i="16" s="1"/>
  <c r="H78" i="16"/>
  <c r="N82" i="16"/>
  <c r="N110" i="16"/>
  <c r="R138" i="16"/>
  <c r="C37" i="16"/>
  <c r="Q170" i="16"/>
  <c r="Q171" i="16"/>
  <c r="K166" i="16"/>
  <c r="R215" i="16"/>
  <c r="S176" i="16"/>
  <c r="S192" i="16"/>
  <c r="S207" i="16"/>
  <c r="S206" i="16"/>
  <c r="T199" i="16"/>
  <c r="P216" i="16"/>
  <c r="N204" i="16"/>
  <c r="O204" i="16"/>
  <c r="L204" i="16"/>
  <c r="C204" i="16"/>
  <c r="M204" i="16"/>
  <c r="AH204" i="16"/>
  <c r="O218" i="16"/>
  <c r="L218" i="16"/>
  <c r="C218" i="16"/>
  <c r="N218" i="16"/>
  <c r="L210" i="16"/>
  <c r="C210" i="16"/>
  <c r="N210" i="16"/>
  <c r="O210" i="16"/>
  <c r="L202" i="16"/>
  <c r="C202" i="16"/>
  <c r="N202" i="16"/>
  <c r="O202" i="16"/>
  <c r="O194" i="16"/>
  <c r="L194" i="16"/>
  <c r="C194" i="16"/>
  <c r="N194" i="16"/>
  <c r="M199" i="16"/>
  <c r="N199" i="16"/>
  <c r="O199" i="16"/>
  <c r="AH200" i="16"/>
  <c r="Q209" i="16"/>
  <c r="Q200" i="16"/>
  <c r="Q190" i="16"/>
  <c r="R165" i="16"/>
  <c r="J170" i="16"/>
  <c r="L170" i="16" s="1"/>
  <c r="T170" i="16"/>
  <c r="N192" i="16"/>
  <c r="T191" i="16"/>
  <c r="T176" i="16"/>
  <c r="S200" i="16"/>
  <c r="J79" i="16"/>
  <c r="K79" i="16" s="1"/>
  <c r="R96" i="16"/>
  <c r="J42" i="16"/>
  <c r="N42" i="16" s="1"/>
  <c r="Q137" i="16"/>
  <c r="S166" i="16"/>
  <c r="H178" i="16"/>
  <c r="R181" i="16"/>
  <c r="T166" i="16"/>
  <c r="R207" i="16"/>
  <c r="P198" i="16"/>
  <c r="Q193" i="16"/>
  <c r="P192" i="16"/>
  <c r="AH218" i="16"/>
  <c r="T207" i="16"/>
  <c r="P203" i="16"/>
  <c r="Q195" i="16"/>
  <c r="R211" i="16"/>
  <c r="R208" i="16"/>
  <c r="T192" i="16"/>
  <c r="T200" i="16"/>
  <c r="M181" i="16"/>
  <c r="C181" i="16"/>
  <c r="L181" i="16"/>
  <c r="N181" i="16"/>
  <c r="K181" i="16"/>
  <c r="O181" i="16"/>
  <c r="O167" i="16"/>
  <c r="K167" i="16"/>
  <c r="L167" i="16"/>
  <c r="C167" i="16"/>
  <c r="N167" i="16"/>
  <c r="AH167" i="16"/>
  <c r="M167" i="16"/>
  <c r="C173" i="16"/>
  <c r="L173" i="16"/>
  <c r="M173" i="16"/>
  <c r="N173" i="16"/>
  <c r="K173" i="16"/>
  <c r="O173" i="16"/>
  <c r="L178" i="16"/>
  <c r="C178" i="16"/>
  <c r="M178" i="16"/>
  <c r="N178" i="16"/>
  <c r="O178" i="16"/>
  <c r="K178" i="16"/>
  <c r="N168" i="16"/>
  <c r="K168" i="16"/>
  <c r="O168" i="16"/>
  <c r="AH178" i="16"/>
  <c r="T178" i="16"/>
  <c r="M179" i="16"/>
  <c r="N179" i="16"/>
  <c r="O179" i="16"/>
  <c r="T183" i="16"/>
  <c r="T158" i="16"/>
  <c r="R158" i="16"/>
  <c r="AH179" i="16"/>
  <c r="P179" i="16"/>
  <c r="AH184" i="16"/>
  <c r="L184" i="16"/>
  <c r="C184" i="16"/>
  <c r="N184" i="16"/>
  <c r="M184" i="16"/>
  <c r="O184" i="16"/>
  <c r="T175" i="16"/>
  <c r="H125" i="16"/>
  <c r="Q178" i="16"/>
  <c r="P9" i="16"/>
  <c r="P81" i="16"/>
  <c r="Q113" i="16"/>
  <c r="R180" i="16"/>
  <c r="P178" i="16"/>
  <c r="C179" i="16"/>
  <c r="H117" i="16"/>
  <c r="Q146" i="16"/>
  <c r="N125" i="16"/>
  <c r="M117" i="16"/>
  <c r="M78" i="16"/>
  <c r="S104" i="16"/>
  <c r="H168" i="16"/>
  <c r="C166" i="16"/>
  <c r="P180" i="16"/>
  <c r="S178" i="16"/>
  <c r="H167" i="16"/>
  <c r="K179" i="16"/>
  <c r="L179" i="16"/>
  <c r="Q172" i="16"/>
  <c r="T189" i="16"/>
  <c r="R134" i="16"/>
  <c r="M125" i="16"/>
  <c r="L117" i="16"/>
  <c r="H33" i="16"/>
  <c r="Q132" i="16"/>
  <c r="R67" i="16"/>
  <c r="Q125" i="16"/>
  <c r="P153" i="16"/>
  <c r="Q158" i="16"/>
  <c r="P134" i="16"/>
  <c r="P137" i="16"/>
  <c r="C61" i="16"/>
  <c r="H166" i="16"/>
  <c r="H163" i="16"/>
  <c r="AH166" i="16"/>
  <c r="J183" i="16"/>
  <c r="AH183" i="16" s="1"/>
  <c r="S179" i="16"/>
  <c r="P166" i="16"/>
  <c r="T179" i="16"/>
  <c r="P175" i="16"/>
  <c r="Q175" i="16"/>
  <c r="R175" i="16"/>
  <c r="S167" i="16"/>
  <c r="AH173" i="16"/>
  <c r="T173" i="16"/>
  <c r="T186" i="16"/>
  <c r="R178" i="16"/>
  <c r="C85" i="16"/>
  <c r="L78" i="16"/>
  <c r="N117" i="16"/>
  <c r="T9" i="16"/>
  <c r="T125" i="16"/>
  <c r="P125" i="16"/>
  <c r="J111" i="16"/>
  <c r="C111" i="16" s="1"/>
  <c r="R104" i="16"/>
  <c r="C46" i="16"/>
  <c r="O33" i="16"/>
  <c r="AH158" i="16"/>
  <c r="Q104" i="16"/>
  <c r="P156" i="16"/>
  <c r="R117" i="16"/>
  <c r="S158" i="16"/>
  <c r="Q183" i="16"/>
  <c r="AH188" i="16"/>
  <c r="H181" i="16"/>
  <c r="P183" i="16"/>
  <c r="Q180" i="16"/>
  <c r="L106" i="16"/>
  <c r="C33" i="16"/>
  <c r="C109" i="16"/>
  <c r="L130" i="16"/>
  <c r="Q117" i="16"/>
  <c r="P158" i="16"/>
  <c r="S171" i="16"/>
  <c r="S180" i="16"/>
  <c r="H173" i="16"/>
  <c r="P172" i="16"/>
  <c r="S183" i="16"/>
  <c r="K184" i="16"/>
  <c r="R183" i="16"/>
  <c r="R172" i="16"/>
  <c r="N174" i="16"/>
  <c r="L174" i="16"/>
  <c r="C174" i="16"/>
  <c r="O174" i="16"/>
  <c r="T181" i="16"/>
  <c r="AH181" i="16"/>
  <c r="S134" i="16"/>
  <c r="K78" i="16"/>
  <c r="H139" i="16"/>
  <c r="L33" i="16"/>
  <c r="L89" i="16"/>
  <c r="Q9" i="16"/>
  <c r="M106" i="16"/>
  <c r="P173" i="16"/>
  <c r="P186" i="16"/>
  <c r="R173" i="16"/>
  <c r="S186" i="16"/>
  <c r="T172" i="16"/>
  <c r="L165" i="16"/>
  <c r="C165" i="16"/>
  <c r="N165" i="16"/>
  <c r="M165" i="16"/>
  <c r="O165" i="16"/>
  <c r="K165" i="16"/>
  <c r="L171" i="16"/>
  <c r="N171" i="16"/>
  <c r="M171" i="16"/>
  <c r="C171" i="16"/>
  <c r="O171" i="16"/>
  <c r="K171" i="16"/>
  <c r="L163" i="16"/>
  <c r="C163" i="16"/>
  <c r="M163" i="16"/>
  <c r="N163" i="16"/>
  <c r="O163" i="16"/>
  <c r="K163" i="16"/>
  <c r="R45" i="16"/>
  <c r="N65" i="16"/>
  <c r="M65" i="16"/>
  <c r="S77" i="16"/>
  <c r="K164" i="16"/>
  <c r="L164" i="16"/>
  <c r="M164" i="16"/>
  <c r="T46" i="16"/>
  <c r="J20" i="16"/>
  <c r="N20" i="16" s="1"/>
  <c r="H65" i="16"/>
  <c r="R126" i="16"/>
  <c r="S131" i="16"/>
  <c r="M126" i="16"/>
  <c r="L125" i="16"/>
  <c r="K37" i="16"/>
  <c r="R145" i="16"/>
  <c r="C78" i="16"/>
  <c r="R169" i="16"/>
  <c r="H165" i="16"/>
  <c r="Q169" i="16"/>
  <c r="AH165" i="16"/>
  <c r="T165" i="16"/>
  <c r="L168" i="16"/>
  <c r="C168" i="16"/>
  <c r="M168" i="16"/>
  <c r="Q20" i="16"/>
  <c r="Q45" i="16"/>
  <c r="P105" i="16"/>
  <c r="K125" i="16"/>
  <c r="C21" i="16"/>
  <c r="O13" i="16"/>
  <c r="H45" i="16"/>
  <c r="S112" i="16"/>
  <c r="H171" i="16"/>
  <c r="Q165" i="16"/>
  <c r="T171" i="16"/>
  <c r="AH171" i="16"/>
  <c r="L65" i="16"/>
  <c r="C131" i="16"/>
  <c r="S105" i="16"/>
  <c r="P142" i="16"/>
  <c r="C65" i="16"/>
  <c r="S169" i="16"/>
  <c r="P136" i="16"/>
  <c r="R105" i="16"/>
  <c r="J8" i="16"/>
  <c r="L8" i="16" s="1"/>
  <c r="J48" i="16"/>
  <c r="M48" i="16" s="1"/>
  <c r="P93" i="16"/>
  <c r="L84" i="16"/>
  <c r="N46" i="16"/>
  <c r="R142" i="16"/>
  <c r="O125" i="16"/>
  <c r="M131" i="16"/>
  <c r="H119" i="16"/>
  <c r="M21" i="16"/>
  <c r="R97" i="16"/>
  <c r="P145" i="16"/>
  <c r="N101" i="16"/>
  <c r="Q112" i="16"/>
  <c r="P169" i="16"/>
  <c r="N164" i="16"/>
  <c r="O164" i="16"/>
  <c r="C164" i="16"/>
  <c r="T163" i="16"/>
  <c r="AH163" i="16"/>
  <c r="T168" i="16"/>
  <c r="AH168" i="16"/>
  <c r="J56" i="16"/>
  <c r="O56" i="16" s="1"/>
  <c r="H131" i="16"/>
  <c r="P45" i="16"/>
  <c r="P44" i="16"/>
  <c r="N131" i="16"/>
  <c r="S58" i="16"/>
  <c r="N104" i="16"/>
  <c r="H129" i="16"/>
  <c r="S142" i="16"/>
  <c r="C97" i="16"/>
  <c r="R93" i="16"/>
  <c r="O45" i="16"/>
  <c r="R163" i="16"/>
  <c r="O121" i="16"/>
  <c r="R84" i="16"/>
  <c r="C121" i="16"/>
  <c r="R88" i="16"/>
  <c r="C147" i="16"/>
  <c r="N37" i="16"/>
  <c r="R119" i="16"/>
  <c r="N121" i="16"/>
  <c r="J155" i="16"/>
  <c r="K155" i="16" s="1"/>
  <c r="T30" i="16"/>
  <c r="T131" i="16"/>
  <c r="J36" i="16"/>
  <c r="M36" i="16" s="1"/>
  <c r="R112" i="16"/>
  <c r="P70" i="16"/>
  <c r="M25" i="16"/>
  <c r="H121" i="16"/>
  <c r="R70" i="16"/>
  <c r="C81" i="16"/>
  <c r="R69" i="16"/>
  <c r="P38" i="16"/>
  <c r="O147" i="16"/>
  <c r="M37" i="16"/>
  <c r="Q119" i="16"/>
  <c r="Q51" i="16"/>
  <c r="M121" i="16"/>
  <c r="Q97" i="16"/>
  <c r="H77" i="16"/>
  <c r="C25" i="16"/>
  <c r="Q153" i="16"/>
  <c r="N13" i="16"/>
  <c r="S88" i="16"/>
  <c r="H7" i="16"/>
  <c r="M41" i="16"/>
  <c r="O17" i="16"/>
  <c r="K147" i="16"/>
  <c r="Q38" i="16"/>
  <c r="T18" i="16"/>
  <c r="T56" i="16"/>
  <c r="R16" i="16"/>
  <c r="N25" i="16"/>
  <c r="J115" i="16"/>
  <c r="C115" i="16" s="1"/>
  <c r="H11" i="16"/>
  <c r="H37" i="16"/>
  <c r="Q58" i="16"/>
  <c r="H55" i="16"/>
  <c r="J150" i="16"/>
  <c r="N150" i="16" s="1"/>
  <c r="S61" i="16"/>
  <c r="K132" i="16"/>
  <c r="S56" i="16"/>
  <c r="N129" i="16"/>
  <c r="R109" i="16"/>
  <c r="P141" i="16"/>
  <c r="P127" i="16"/>
  <c r="N77" i="16"/>
  <c r="S84" i="16"/>
  <c r="Q130" i="16"/>
  <c r="N45" i="16"/>
  <c r="Q160" i="16"/>
  <c r="Q154" i="16"/>
  <c r="P130" i="16"/>
  <c r="L113" i="16"/>
  <c r="J52" i="16"/>
  <c r="C52" i="16" s="1"/>
  <c r="O81" i="16"/>
  <c r="L101" i="16"/>
  <c r="R32" i="16"/>
  <c r="P69" i="16"/>
  <c r="H25" i="16"/>
  <c r="L45" i="16"/>
  <c r="R100" i="16"/>
  <c r="H72" i="16"/>
  <c r="M132" i="16"/>
  <c r="L25" i="16"/>
  <c r="R61" i="16"/>
  <c r="N135" i="16"/>
  <c r="Q56" i="16"/>
  <c r="C129" i="16"/>
  <c r="Q109" i="16"/>
  <c r="S101" i="16"/>
  <c r="O25" i="16"/>
  <c r="L77" i="16"/>
  <c r="H159" i="16"/>
  <c r="P132" i="16"/>
  <c r="P16" i="16"/>
  <c r="T160" i="16"/>
  <c r="H97" i="16"/>
  <c r="L37" i="16"/>
  <c r="M147" i="16"/>
  <c r="N147" i="16"/>
  <c r="Q21" i="16"/>
  <c r="T112" i="16"/>
  <c r="R25" i="16"/>
  <c r="P61" i="16"/>
  <c r="P109" i="16"/>
  <c r="C101" i="16"/>
  <c r="O135" i="16"/>
  <c r="M129" i="16"/>
  <c r="R46" i="16"/>
  <c r="S145" i="16"/>
  <c r="Q84" i="16"/>
  <c r="P131" i="16"/>
  <c r="S154" i="16"/>
  <c r="R161" i="16"/>
  <c r="H113" i="16"/>
  <c r="M45" i="16"/>
  <c r="C45" i="16"/>
  <c r="C72" i="16"/>
  <c r="L72" i="16"/>
  <c r="M72" i="16"/>
  <c r="K113" i="16"/>
  <c r="N113" i="16"/>
  <c r="M113" i="16"/>
  <c r="P13" i="16"/>
  <c r="R24" i="16"/>
  <c r="J92" i="16"/>
  <c r="M92" i="16" s="1"/>
  <c r="P62" i="16"/>
  <c r="S24" i="16"/>
  <c r="M105" i="16"/>
  <c r="T114" i="16"/>
  <c r="T82" i="16"/>
  <c r="R12" i="16"/>
  <c r="J24" i="16"/>
  <c r="M24" i="16" s="1"/>
  <c r="R48" i="16"/>
  <c r="P65" i="16"/>
  <c r="P101" i="16"/>
  <c r="R92" i="16"/>
  <c r="C30" i="16"/>
  <c r="H6" i="16"/>
  <c r="S62" i="16"/>
  <c r="Q147" i="16"/>
  <c r="O101" i="16"/>
  <c r="R150" i="16"/>
  <c r="Q24" i="16"/>
  <c r="J35" i="16"/>
  <c r="L35" i="16" s="1"/>
  <c r="O131" i="16"/>
  <c r="H152" i="16"/>
  <c r="S47" i="16"/>
  <c r="Q88" i="16"/>
  <c r="C41" i="16"/>
  <c r="Q65" i="16"/>
  <c r="S92" i="16"/>
  <c r="P150" i="16"/>
  <c r="L105" i="16"/>
  <c r="S52" i="16"/>
  <c r="Q52" i="16"/>
  <c r="T124" i="16"/>
  <c r="J66" i="16"/>
  <c r="N66" i="16" s="1"/>
  <c r="H94" i="16"/>
  <c r="Q150" i="16"/>
  <c r="Q47" i="16"/>
  <c r="S159" i="16"/>
  <c r="P146" i="16"/>
  <c r="T113" i="16"/>
  <c r="R20" i="16"/>
  <c r="R76" i="16"/>
  <c r="H21" i="16"/>
  <c r="L94" i="16"/>
  <c r="S10" i="16"/>
  <c r="L131" i="16"/>
  <c r="P58" i="16"/>
  <c r="O97" i="16"/>
  <c r="Q138" i="16"/>
  <c r="S69" i="16"/>
  <c r="P149" i="16"/>
  <c r="S93" i="16"/>
  <c r="J123" i="16"/>
  <c r="M123" i="16" s="1"/>
  <c r="K21" i="16"/>
  <c r="R160" i="16"/>
  <c r="N81" i="16"/>
  <c r="C57" i="16"/>
  <c r="H85" i="16"/>
  <c r="Q133" i="16"/>
  <c r="H81" i="16"/>
  <c r="H156" i="16"/>
  <c r="L109" i="16"/>
  <c r="Q16" i="16"/>
  <c r="R125" i="16"/>
  <c r="Q92" i="16"/>
  <c r="M101" i="16"/>
  <c r="J32" i="16"/>
  <c r="M32" i="16" s="1"/>
  <c r="P90" i="16"/>
  <c r="N94" i="16"/>
  <c r="N14" i="16"/>
  <c r="O105" i="16"/>
  <c r="R18" i="16"/>
  <c r="Q76" i="16"/>
  <c r="T65" i="16"/>
  <c r="R53" i="16"/>
  <c r="P53" i="16"/>
  <c r="N41" i="16"/>
  <c r="M84" i="16"/>
  <c r="Q70" i="16"/>
  <c r="P12" i="16"/>
  <c r="R139" i="16"/>
  <c r="N88" i="16"/>
  <c r="C113" i="16"/>
  <c r="S65" i="16"/>
  <c r="L120" i="16"/>
  <c r="S113" i="16"/>
  <c r="K130" i="16"/>
  <c r="R77" i="16"/>
  <c r="H19" i="16"/>
  <c r="R101" i="16"/>
  <c r="O21" i="16"/>
  <c r="K53" i="16"/>
  <c r="S38" i="16"/>
  <c r="Q48" i="16"/>
  <c r="H101" i="16"/>
  <c r="M13" i="16"/>
  <c r="J151" i="16"/>
  <c r="M151" i="16" s="1"/>
  <c r="M77" i="16"/>
  <c r="K105" i="16"/>
  <c r="N105" i="16"/>
  <c r="N130" i="16"/>
  <c r="H130" i="16"/>
  <c r="Q25" i="16"/>
  <c r="T48" i="16"/>
  <c r="P77" i="16"/>
  <c r="P113" i="16"/>
  <c r="Q12" i="16"/>
  <c r="H41" i="16"/>
  <c r="C84" i="16"/>
  <c r="M130" i="16"/>
  <c r="R147" i="16"/>
  <c r="S149" i="16"/>
  <c r="Q8" i="16"/>
  <c r="S87" i="16"/>
  <c r="N30" i="16"/>
  <c r="P47" i="16"/>
  <c r="K84" i="16"/>
  <c r="K94" i="16"/>
  <c r="K112" i="16"/>
  <c r="R146" i="16"/>
  <c r="Q149" i="16"/>
  <c r="M136" i="16"/>
  <c r="C94" i="16"/>
  <c r="M94" i="16"/>
  <c r="S119" i="16"/>
  <c r="J51" i="16"/>
  <c r="M51" i="16" s="1"/>
  <c r="L21" i="16"/>
  <c r="C53" i="16"/>
  <c r="M97" i="16"/>
  <c r="H105" i="16"/>
  <c r="L159" i="16"/>
  <c r="C159" i="16"/>
  <c r="M159" i="16"/>
  <c r="O159" i="16"/>
  <c r="N159" i="16"/>
  <c r="K159" i="16"/>
  <c r="K161" i="16"/>
  <c r="O161" i="16"/>
  <c r="N161" i="16"/>
  <c r="L161" i="16"/>
  <c r="M161" i="16"/>
  <c r="C161" i="16"/>
  <c r="L119" i="16"/>
  <c r="N119" i="16"/>
  <c r="K119" i="16"/>
  <c r="L156" i="16"/>
  <c r="C156" i="16"/>
  <c r="O156" i="16"/>
  <c r="M156" i="16"/>
  <c r="K156" i="16"/>
  <c r="N156" i="16"/>
  <c r="M162" i="16"/>
  <c r="C162" i="16"/>
  <c r="L162" i="16"/>
  <c r="N162" i="16"/>
  <c r="K162" i="16"/>
  <c r="O162" i="16"/>
  <c r="N62" i="16"/>
  <c r="C62" i="16"/>
  <c r="M55" i="16"/>
  <c r="C55" i="16"/>
  <c r="O23" i="16"/>
  <c r="N23" i="16"/>
  <c r="M23" i="16"/>
  <c r="L139" i="16"/>
  <c r="C139" i="16"/>
  <c r="M139" i="16"/>
  <c r="N139" i="16"/>
  <c r="O139" i="16"/>
  <c r="K139" i="16"/>
  <c r="AH162" i="16"/>
  <c r="T162" i="16"/>
  <c r="K29" i="16"/>
  <c r="O29" i="16"/>
  <c r="N29" i="16"/>
  <c r="K85" i="16"/>
  <c r="N85" i="16"/>
  <c r="M85" i="16"/>
  <c r="L85" i="16"/>
  <c r="T154" i="16"/>
  <c r="P72" i="16"/>
  <c r="O70" i="16"/>
  <c r="S75" i="16"/>
  <c r="M89" i="16"/>
  <c r="T106" i="16"/>
  <c r="S72" i="16"/>
  <c r="K100" i="16"/>
  <c r="L135" i="16"/>
  <c r="S108" i="16"/>
  <c r="J99" i="16"/>
  <c r="M99" i="16" s="1"/>
  <c r="R72" i="16"/>
  <c r="P152" i="16"/>
  <c r="T115" i="16"/>
  <c r="T72" i="16"/>
  <c r="T133" i="16"/>
  <c r="R8" i="16"/>
  <c r="O34" i="16"/>
  <c r="P98" i="16"/>
  <c r="H27" i="16"/>
  <c r="M57" i="16"/>
  <c r="N112" i="16"/>
  <c r="Q139" i="16"/>
  <c r="Q75" i="16"/>
  <c r="C11" i="16"/>
  <c r="C27" i="16"/>
  <c r="L43" i="16"/>
  <c r="C49" i="16"/>
  <c r="C118" i="16"/>
  <c r="R148" i="16"/>
  <c r="R141" i="16"/>
  <c r="C110" i="16"/>
  <c r="O104" i="16"/>
  <c r="C135" i="16"/>
  <c r="M53" i="16"/>
  <c r="H127" i="16"/>
  <c r="S148" i="16"/>
  <c r="M29" i="16"/>
  <c r="H162" i="16"/>
  <c r="P20" i="16"/>
  <c r="P48" i="16"/>
  <c r="C29" i="16"/>
  <c r="M81" i="16"/>
  <c r="R154" i="16"/>
  <c r="Q100" i="16"/>
  <c r="L81" i="16"/>
  <c r="M109" i="16"/>
  <c r="K41" i="16"/>
  <c r="O41" i="16"/>
  <c r="T159" i="16"/>
  <c r="AH159" i="16"/>
  <c r="S49" i="16"/>
  <c r="Q49" i="16"/>
  <c r="AH156" i="16"/>
  <c r="T156" i="16"/>
  <c r="H62" i="16"/>
  <c r="L160" i="16"/>
  <c r="J12" i="16"/>
  <c r="K12" i="16" s="1"/>
  <c r="O18" i="16"/>
  <c r="J10" i="16"/>
  <c r="L10" i="16" s="1"/>
  <c r="T127" i="16"/>
  <c r="T107" i="16"/>
  <c r="T123" i="16"/>
  <c r="R13" i="16"/>
  <c r="J40" i="16"/>
  <c r="AH40" i="16" s="1"/>
  <c r="P97" i="16"/>
  <c r="J58" i="16"/>
  <c r="N58" i="16" s="1"/>
  <c r="N18" i="16"/>
  <c r="M100" i="16"/>
  <c r="M124" i="16"/>
  <c r="J26" i="16"/>
  <c r="M26" i="16" s="1"/>
  <c r="L98" i="16"/>
  <c r="L11" i="16"/>
  <c r="L27" i="16"/>
  <c r="P133" i="16"/>
  <c r="R64" i="16"/>
  <c r="P8" i="16"/>
  <c r="Q64" i="16"/>
  <c r="M98" i="16"/>
  <c r="J54" i="16"/>
  <c r="S141" i="16"/>
  <c r="J38" i="16"/>
  <c r="O38" i="16" s="1"/>
  <c r="R127" i="16"/>
  <c r="C13" i="16"/>
  <c r="P162" i="16"/>
  <c r="N109" i="16"/>
  <c r="H89" i="16"/>
  <c r="Q13" i="16"/>
  <c r="L49" i="16"/>
  <c r="Q108" i="16"/>
  <c r="R162" i="16"/>
  <c r="M49" i="16"/>
  <c r="S76" i="16"/>
  <c r="Q53" i="16"/>
  <c r="M160" i="16"/>
  <c r="O160" i="16"/>
  <c r="N160" i="16"/>
  <c r="K89" i="16"/>
  <c r="N89" i="16"/>
  <c r="S29" i="16"/>
  <c r="Q29" i="16"/>
  <c r="S36" i="16"/>
  <c r="P36" i="16"/>
  <c r="Q36" i="16"/>
  <c r="K97" i="16"/>
  <c r="N97" i="16"/>
  <c r="T128" i="16"/>
  <c r="H23" i="16"/>
  <c r="R79" i="16"/>
  <c r="L128" i="16"/>
  <c r="Q162" i="16"/>
  <c r="H98" i="16"/>
  <c r="K128" i="16"/>
  <c r="Q79" i="16"/>
  <c r="C43" i="16"/>
  <c r="K98" i="16"/>
  <c r="H49" i="16"/>
  <c r="H109" i="16"/>
  <c r="P32" i="16"/>
  <c r="T32" i="16"/>
  <c r="R29" i="16"/>
  <c r="N57" i="16"/>
  <c r="J83" i="16"/>
  <c r="O83" i="16" s="1"/>
  <c r="N34" i="16"/>
  <c r="N98" i="16"/>
  <c r="C100" i="16"/>
  <c r="J108" i="16"/>
  <c r="N108" i="16" s="1"/>
  <c r="C68" i="16"/>
  <c r="L57" i="16"/>
  <c r="L82" i="16"/>
  <c r="N96" i="16"/>
  <c r="L110" i="16"/>
  <c r="R133" i="16"/>
  <c r="R62" i="16"/>
  <c r="K82" i="16"/>
  <c r="C89" i="16"/>
  <c r="K110" i="16"/>
  <c r="R115" i="16"/>
  <c r="J146" i="16"/>
  <c r="M146" i="16" s="1"/>
  <c r="M82" i="16"/>
  <c r="S153" i="16"/>
  <c r="Q127" i="16"/>
  <c r="H161" i="16"/>
  <c r="H13" i="16"/>
  <c r="H29" i="16"/>
  <c r="Q159" i="16"/>
  <c r="P67" i="16"/>
  <c r="C82" i="16"/>
  <c r="P138" i="16"/>
  <c r="S57" i="16"/>
  <c r="Q57" i="16"/>
  <c r="S130" i="16"/>
  <c r="R130" i="16"/>
  <c r="AH160" i="16"/>
  <c r="P160" i="16"/>
  <c r="K17" i="16"/>
  <c r="M17" i="16"/>
  <c r="N17" i="16"/>
  <c r="L17" i="16"/>
  <c r="AH161" i="16"/>
  <c r="T161" i="16"/>
  <c r="J138" i="16"/>
  <c r="O138" i="16" s="1"/>
  <c r="R34" i="16"/>
  <c r="O49" i="16"/>
  <c r="C70" i="16"/>
  <c r="M110" i="16"/>
  <c r="J154" i="16"/>
  <c r="AH154" i="16" s="1"/>
  <c r="T19" i="16"/>
  <c r="T141" i="16"/>
  <c r="R36" i="16"/>
  <c r="P57" i="16"/>
  <c r="L13" i="16"/>
  <c r="H57" i="16"/>
  <c r="H118" i="16"/>
  <c r="H82" i="16"/>
  <c r="L100" i="16"/>
  <c r="R108" i="16"/>
  <c r="H110" i="16"/>
  <c r="H64" i="16"/>
  <c r="R151" i="16"/>
  <c r="H53" i="16"/>
  <c r="S79" i="16"/>
  <c r="K120" i="16"/>
  <c r="R132" i="16"/>
  <c r="K88" i="16"/>
  <c r="O109" i="16"/>
  <c r="P139" i="16"/>
  <c r="P10" i="16"/>
  <c r="H22" i="16"/>
  <c r="K135" i="16"/>
  <c r="H39" i="16"/>
  <c r="N49" i="16"/>
  <c r="P161" i="16"/>
  <c r="S161" i="16"/>
  <c r="H17" i="16"/>
  <c r="S100" i="16"/>
  <c r="S162" i="16"/>
  <c r="C160" i="16"/>
  <c r="S67" i="16"/>
  <c r="R159" i="16"/>
  <c r="R156" i="16"/>
  <c r="Q131" i="16"/>
  <c r="C98" i="16"/>
  <c r="O57" i="16"/>
  <c r="M148" i="16"/>
  <c r="O148" i="16"/>
  <c r="L148" i="16"/>
  <c r="K148" i="16"/>
  <c r="N148" i="16"/>
  <c r="C148" i="16"/>
  <c r="O64" i="16"/>
  <c r="K64" i="16"/>
  <c r="N64" i="16"/>
  <c r="M64" i="16"/>
  <c r="L64" i="16"/>
  <c r="C64" i="16"/>
  <c r="M39" i="16"/>
  <c r="O39" i="16"/>
  <c r="N39" i="16"/>
  <c r="K39" i="16"/>
  <c r="L39" i="16"/>
  <c r="C39" i="16"/>
  <c r="C22" i="16"/>
  <c r="M22" i="16"/>
  <c r="N22" i="16"/>
  <c r="K22" i="16"/>
  <c r="O22" i="16"/>
  <c r="L22" i="16"/>
  <c r="O127" i="16"/>
  <c r="L127" i="16"/>
  <c r="C127" i="16"/>
  <c r="M127" i="16"/>
  <c r="K127" i="16"/>
  <c r="N127" i="16"/>
  <c r="M91" i="16"/>
  <c r="K91" i="16"/>
  <c r="L91" i="16"/>
  <c r="C91" i="16"/>
  <c r="O91" i="16"/>
  <c r="N91" i="16"/>
  <c r="M7" i="16"/>
  <c r="O7" i="16"/>
  <c r="C7" i="16"/>
  <c r="N7" i="16"/>
  <c r="K7" i="16"/>
  <c r="L7" i="16"/>
  <c r="M87" i="16"/>
  <c r="K87" i="16"/>
  <c r="Q99" i="16"/>
  <c r="P99" i="16"/>
  <c r="K83" i="16"/>
  <c r="S102" i="16"/>
  <c r="R102" i="16"/>
  <c r="S110" i="16"/>
  <c r="R110" i="16"/>
  <c r="Q95" i="16"/>
  <c r="P95" i="16"/>
  <c r="O68" i="16"/>
  <c r="N68" i="16"/>
  <c r="K68" i="16"/>
  <c r="J15" i="16"/>
  <c r="H15" i="16"/>
  <c r="J31" i="16"/>
  <c r="H31" i="16"/>
  <c r="N132" i="16"/>
  <c r="L132" i="16"/>
  <c r="O132" i="16"/>
  <c r="Q124" i="16"/>
  <c r="S124" i="16"/>
  <c r="P124" i="16"/>
  <c r="R136" i="16"/>
  <c r="S136" i="16"/>
  <c r="R152" i="16"/>
  <c r="S152" i="16"/>
  <c r="S68" i="16"/>
  <c r="P122" i="16"/>
  <c r="T66" i="16"/>
  <c r="L55" i="16"/>
  <c r="R60" i="16"/>
  <c r="S66" i="16"/>
  <c r="Q66" i="16"/>
  <c r="C126" i="16"/>
  <c r="Q78" i="16"/>
  <c r="Q86" i="16"/>
  <c r="Q94" i="16"/>
  <c r="Q102" i="16"/>
  <c r="Q110" i="16"/>
  <c r="J75" i="16"/>
  <c r="AH75" i="16" s="1"/>
  <c r="S126" i="16"/>
  <c r="Q42" i="16"/>
  <c r="P6" i="16"/>
  <c r="S95" i="16"/>
  <c r="P66" i="16"/>
  <c r="K6" i="16"/>
  <c r="Q148" i="16"/>
  <c r="K23" i="16"/>
  <c r="K55" i="16"/>
  <c r="J103" i="16"/>
  <c r="H126" i="16"/>
  <c r="Q87" i="16"/>
  <c r="Q18" i="16"/>
  <c r="Q34" i="16"/>
  <c r="M88" i="16"/>
  <c r="M96" i="16"/>
  <c r="P102" i="16"/>
  <c r="M104" i="16"/>
  <c r="P110" i="16"/>
  <c r="M112" i="16"/>
  <c r="L6" i="16"/>
  <c r="H43" i="16"/>
  <c r="R118" i="16"/>
  <c r="S64" i="16"/>
  <c r="N84" i="16"/>
  <c r="P126" i="16"/>
  <c r="H14" i="16"/>
  <c r="H30" i="16"/>
  <c r="H46" i="16"/>
  <c r="Q60" i="16"/>
  <c r="Q68" i="16"/>
  <c r="R87" i="16"/>
  <c r="K104" i="16"/>
  <c r="P147" i="16"/>
  <c r="S6" i="16"/>
  <c r="C23" i="16"/>
  <c r="S140" i="16"/>
  <c r="O136" i="16"/>
  <c r="H148" i="16"/>
  <c r="Q19" i="16"/>
  <c r="Q91" i="16"/>
  <c r="P91" i="16"/>
  <c r="S26" i="16"/>
  <c r="R26" i="16"/>
  <c r="S128" i="16"/>
  <c r="Q128" i="16"/>
  <c r="P128" i="16"/>
  <c r="N124" i="16"/>
  <c r="O124" i="16"/>
  <c r="C124" i="16"/>
  <c r="M62" i="16"/>
  <c r="O62" i="16"/>
  <c r="L62" i="16"/>
  <c r="K62" i="16"/>
  <c r="M70" i="16"/>
  <c r="L70" i="16"/>
  <c r="K70" i="16"/>
  <c r="J59" i="16"/>
  <c r="AH59" i="16" s="1"/>
  <c r="H59" i="16"/>
  <c r="S74" i="16"/>
  <c r="R74" i="16"/>
  <c r="R82" i="16"/>
  <c r="S82" i="16"/>
  <c r="R90" i="16"/>
  <c r="S90" i="16"/>
  <c r="S98" i="16"/>
  <c r="R98" i="16"/>
  <c r="R106" i="16"/>
  <c r="S106" i="16"/>
  <c r="S114" i="16"/>
  <c r="R114" i="16"/>
  <c r="L118" i="16"/>
  <c r="K118" i="16"/>
  <c r="M142" i="16"/>
  <c r="K142" i="16"/>
  <c r="O142" i="16"/>
  <c r="N142" i="16"/>
  <c r="C19" i="16"/>
  <c r="T60" i="16"/>
  <c r="T135" i="16"/>
  <c r="R68" i="16"/>
  <c r="N122" i="16"/>
  <c r="O27" i="16"/>
  <c r="R140" i="16"/>
  <c r="L19" i="16"/>
  <c r="M6" i="16"/>
  <c r="S122" i="16"/>
  <c r="H18" i="16"/>
  <c r="H34" i="16"/>
  <c r="C88" i="16"/>
  <c r="C96" i="16"/>
  <c r="C104" i="16"/>
  <c r="C112" i="16"/>
  <c r="P26" i="16"/>
  <c r="N55" i="16"/>
  <c r="M60" i="16"/>
  <c r="O6" i="16"/>
  <c r="M122" i="16"/>
  <c r="N11" i="16"/>
  <c r="P14" i="16"/>
  <c r="N27" i="16"/>
  <c r="P30" i="16"/>
  <c r="N43" i="16"/>
  <c r="P46" i="16"/>
  <c r="O87" i="16"/>
  <c r="N126" i="16"/>
  <c r="R75" i="16"/>
  <c r="O122" i="16"/>
  <c r="L23" i="16"/>
  <c r="N118" i="16"/>
  <c r="O100" i="16"/>
  <c r="O119" i="16"/>
  <c r="O88" i="16"/>
  <c r="R14" i="16"/>
  <c r="O19" i="16"/>
  <c r="R123" i="16"/>
  <c r="N152" i="16"/>
  <c r="S42" i="16"/>
  <c r="R42" i="16"/>
  <c r="R23" i="16"/>
  <c r="Q23" i="16"/>
  <c r="P23" i="16"/>
  <c r="S116" i="16"/>
  <c r="Q116" i="16"/>
  <c r="P116" i="16"/>
  <c r="N116" i="16"/>
  <c r="O116" i="16"/>
  <c r="C116" i="16"/>
  <c r="M14" i="16"/>
  <c r="L14" i="16"/>
  <c r="K14" i="16"/>
  <c r="L30" i="16"/>
  <c r="M30" i="16"/>
  <c r="K30" i="16"/>
  <c r="L46" i="16"/>
  <c r="M46" i="16"/>
  <c r="K46" i="16"/>
  <c r="O72" i="16"/>
  <c r="N72" i="16"/>
  <c r="K72" i="16"/>
  <c r="R22" i="16"/>
  <c r="S22" i="16"/>
  <c r="R122" i="16"/>
  <c r="C6" i="16"/>
  <c r="Q26" i="16"/>
  <c r="P118" i="16"/>
  <c r="O11" i="16"/>
  <c r="Q30" i="16"/>
  <c r="Q46" i="16"/>
  <c r="S123" i="16"/>
  <c r="O152" i="16"/>
  <c r="T147" i="16"/>
  <c r="T102" i="16"/>
  <c r="T91" i="16"/>
  <c r="H122" i="16"/>
  <c r="P18" i="16"/>
  <c r="P34" i="16"/>
  <c r="Q74" i="16"/>
  <c r="Q82" i="16"/>
  <c r="Q90" i="16"/>
  <c r="L96" i="16"/>
  <c r="Q98" i="16"/>
  <c r="Q106" i="16"/>
  <c r="L112" i="16"/>
  <c r="Q114" i="16"/>
  <c r="R135" i="16"/>
  <c r="M118" i="16"/>
  <c r="S91" i="16"/>
  <c r="K116" i="16"/>
  <c r="Q151" i="16"/>
  <c r="Q115" i="16"/>
  <c r="R91" i="16"/>
  <c r="P135" i="16"/>
  <c r="P151" i="16"/>
  <c r="L116" i="16"/>
  <c r="N136" i="16"/>
  <c r="C136" i="16"/>
  <c r="H91" i="16"/>
  <c r="Q35" i="16"/>
  <c r="C119" i="16"/>
  <c r="J140" i="16"/>
  <c r="K19" i="16"/>
  <c r="Q123" i="16"/>
  <c r="M152" i="16"/>
  <c r="P11" i="16"/>
  <c r="S11" i="16"/>
  <c r="Q11" i="16"/>
  <c r="P27" i="16"/>
  <c r="Q27" i="16"/>
  <c r="S27" i="16"/>
  <c r="P43" i="16"/>
  <c r="Q43" i="16"/>
  <c r="S43" i="16"/>
  <c r="O60" i="16"/>
  <c r="K60" i="16"/>
  <c r="N60" i="16"/>
  <c r="R54" i="16"/>
  <c r="S54" i="16"/>
  <c r="J67" i="16"/>
  <c r="H67" i="16"/>
  <c r="S78" i="16"/>
  <c r="R78" i="16"/>
  <c r="S86" i="16"/>
  <c r="R86" i="16"/>
  <c r="S94" i="16"/>
  <c r="R94" i="16"/>
  <c r="L126" i="16"/>
  <c r="K126" i="16"/>
  <c r="M134" i="16"/>
  <c r="K134" i="16"/>
  <c r="O134" i="16"/>
  <c r="N134" i="16"/>
  <c r="J47" i="16"/>
  <c r="AH47" i="16" s="1"/>
  <c r="H47" i="16"/>
  <c r="J71" i="16"/>
  <c r="H71" i="16"/>
  <c r="L122" i="16"/>
  <c r="K122" i="16"/>
  <c r="M18" i="16"/>
  <c r="K18" i="16"/>
  <c r="C18" i="16"/>
  <c r="K34" i="16"/>
  <c r="M34" i="16"/>
  <c r="C34" i="16"/>
  <c r="J63" i="16"/>
  <c r="AH63" i="16" s="1"/>
  <c r="H63" i="16"/>
  <c r="N120" i="16"/>
  <c r="C120" i="16"/>
  <c r="O120" i="16"/>
  <c r="N128" i="16"/>
  <c r="C128" i="16"/>
  <c r="O128" i="16"/>
  <c r="R7" i="16"/>
  <c r="Q7" i="16"/>
  <c r="P7" i="16"/>
  <c r="R39" i="16"/>
  <c r="Q39" i="16"/>
  <c r="P39" i="16"/>
  <c r="Q120" i="16"/>
  <c r="S120" i="16"/>
  <c r="P120" i="16"/>
  <c r="S19" i="16"/>
  <c r="R19" i="16"/>
  <c r="S51" i="16"/>
  <c r="R51" i="16"/>
  <c r="C87" i="16"/>
  <c r="R43" i="16"/>
  <c r="Q6" i="16"/>
  <c r="S60" i="16"/>
  <c r="L87" i="16"/>
  <c r="R11" i="16"/>
  <c r="M19" i="16"/>
  <c r="T78" i="16"/>
  <c r="O55" i="16"/>
  <c r="Q14" i="16"/>
  <c r="O43" i="16"/>
  <c r="R99" i="16"/>
  <c r="Q118" i="16"/>
  <c r="P54" i="16"/>
  <c r="R30" i="16"/>
  <c r="Q140" i="16"/>
  <c r="T27" i="16"/>
  <c r="AH23" i="16"/>
  <c r="L134" i="16"/>
  <c r="Q107" i="16"/>
  <c r="L60" i="16"/>
  <c r="M68" i="16"/>
  <c r="S99" i="16"/>
  <c r="S107" i="16"/>
  <c r="S115" i="16"/>
  <c r="K124" i="16"/>
  <c r="Q135" i="16"/>
  <c r="M11" i="16"/>
  <c r="O14" i="16"/>
  <c r="M27" i="16"/>
  <c r="M43" i="16"/>
  <c r="N87" i="16"/>
  <c r="K96" i="16"/>
  <c r="R107" i="16"/>
  <c r="Q10" i="16"/>
  <c r="R35" i="16"/>
  <c r="Q22" i="16"/>
  <c r="L136" i="16"/>
  <c r="H136" i="16"/>
  <c r="M119" i="16"/>
  <c r="P35" i="16"/>
  <c r="R27" i="16"/>
  <c r="C152" i="16"/>
  <c r="L152" i="16"/>
  <c r="T13" i="16"/>
  <c r="T139" i="16"/>
  <c r="T6" i="16"/>
  <c r="T38" i="16"/>
  <c r="T43" i="16"/>
  <c r="AH43" i="16"/>
  <c r="J226" i="29"/>
  <c r="H226" i="29"/>
  <c r="O128" i="29"/>
  <c r="N128" i="29"/>
  <c r="J239" i="29"/>
  <c r="H239" i="29"/>
  <c r="H169" i="29"/>
  <c r="J169" i="29"/>
  <c r="J237" i="29"/>
  <c r="H237" i="29"/>
  <c r="C253" i="29"/>
  <c r="N253" i="29"/>
  <c r="K253" i="29"/>
  <c r="L253" i="29"/>
  <c r="AH253" i="29"/>
  <c r="O253" i="29"/>
  <c r="M253" i="29"/>
  <c r="J197" i="29"/>
  <c r="H197" i="29"/>
  <c r="H222" i="29"/>
  <c r="J222" i="29"/>
  <c r="J51" i="29"/>
  <c r="H51" i="29"/>
  <c r="H99" i="29"/>
  <c r="J99" i="29"/>
  <c r="AH174" i="29"/>
  <c r="M174" i="29"/>
  <c r="L174" i="29"/>
  <c r="O174" i="29"/>
  <c r="K174" i="29"/>
  <c r="N174" i="29"/>
  <c r="C174" i="29"/>
  <c r="H266" i="29"/>
  <c r="J266" i="29"/>
  <c r="AH96" i="29"/>
  <c r="K96" i="29"/>
  <c r="O96" i="29"/>
  <c r="O74" i="29"/>
  <c r="H277" i="29"/>
  <c r="J277" i="29"/>
  <c r="J80" i="29"/>
  <c r="H80" i="29"/>
  <c r="J260" i="29"/>
  <c r="H260" i="29"/>
  <c r="J228" i="29"/>
  <c r="H228" i="29"/>
  <c r="H10" i="29"/>
  <c r="J10" i="29"/>
  <c r="J47" i="29"/>
  <c r="H47" i="29"/>
  <c r="J147" i="29"/>
  <c r="H147" i="29"/>
  <c r="H110" i="29"/>
  <c r="J110" i="29"/>
  <c r="O112" i="29"/>
  <c r="L112" i="29"/>
  <c r="J121" i="29"/>
  <c r="H121" i="29"/>
  <c r="H133" i="29"/>
  <c r="J133" i="29"/>
  <c r="J97" i="29"/>
  <c r="H97" i="29"/>
  <c r="J62" i="29"/>
  <c r="H62" i="29"/>
  <c r="J114" i="29"/>
  <c r="H114" i="29"/>
  <c r="J188" i="29"/>
  <c r="H188" i="29"/>
  <c r="H247" i="29"/>
  <c r="J247" i="29"/>
  <c r="H139" i="29"/>
  <c r="J139" i="29"/>
  <c r="C153" i="29"/>
  <c r="K153" i="29"/>
  <c r="H142" i="29"/>
  <c r="J142" i="29"/>
  <c r="J241" i="29"/>
  <c r="H241" i="29"/>
  <c r="J134" i="29"/>
  <c r="H134" i="29"/>
  <c r="H196" i="29"/>
  <c r="J196" i="29"/>
  <c r="C186" i="29"/>
  <c r="O186" i="29"/>
  <c r="N186" i="29"/>
  <c r="K186" i="29"/>
  <c r="L186" i="29"/>
  <c r="AH186" i="29"/>
  <c r="M186" i="29"/>
  <c r="J259" i="29"/>
  <c r="H259" i="29"/>
  <c r="L171" i="29"/>
  <c r="K171" i="29"/>
  <c r="C171" i="29"/>
  <c r="M171" i="29"/>
  <c r="AH171" i="29"/>
  <c r="N171" i="29"/>
  <c r="AH62" i="16"/>
  <c r="T81" i="16"/>
  <c r="L135" i="29"/>
  <c r="K248" i="29"/>
  <c r="K128" i="29"/>
  <c r="J272" i="29"/>
  <c r="AH272" i="29" s="1"/>
  <c r="O135" i="29"/>
  <c r="N96" i="29"/>
  <c r="AH128" i="29"/>
  <c r="AH135" i="29"/>
  <c r="AH30" i="29"/>
  <c r="M248" i="29"/>
  <c r="AH94" i="29"/>
  <c r="K184" i="29"/>
  <c r="M220" i="29"/>
  <c r="AH45" i="29"/>
  <c r="AH73" i="29"/>
  <c r="H20" i="29"/>
  <c r="J20" i="29"/>
  <c r="J37" i="29"/>
  <c r="H37" i="29"/>
  <c r="J242" i="29"/>
  <c r="H242" i="29"/>
  <c r="H206" i="29"/>
  <c r="J206" i="29"/>
  <c r="H279" i="29"/>
  <c r="J279" i="29"/>
  <c r="H25" i="29"/>
  <c r="J25" i="29"/>
  <c r="H238" i="29"/>
  <c r="J238" i="29"/>
  <c r="M176" i="29"/>
  <c r="K176" i="29"/>
  <c r="L176" i="29"/>
  <c r="O176" i="29"/>
  <c r="AH176" i="29"/>
  <c r="C176" i="29"/>
  <c r="N176" i="29"/>
  <c r="H123" i="29"/>
  <c r="J123" i="29"/>
  <c r="M209" i="29"/>
  <c r="C209" i="29"/>
  <c r="K209" i="29"/>
  <c r="N209" i="29"/>
  <c r="L209" i="29"/>
  <c r="O209" i="29"/>
  <c r="J117" i="29"/>
  <c r="H117" i="29"/>
  <c r="J168" i="29"/>
  <c r="H168" i="29"/>
  <c r="J52" i="29"/>
  <c r="H52" i="29"/>
  <c r="H19" i="29"/>
  <c r="J19" i="29"/>
  <c r="H35" i="29"/>
  <c r="J35" i="29"/>
  <c r="J211" i="29"/>
  <c r="H211" i="29"/>
  <c r="N105" i="29"/>
  <c r="M105" i="29"/>
  <c r="C105" i="29"/>
  <c r="L105" i="29"/>
  <c r="J175" i="29"/>
  <c r="H175" i="29"/>
  <c r="J255" i="29"/>
  <c r="H255" i="29"/>
  <c r="J173" i="29"/>
  <c r="H173" i="29"/>
  <c r="H198" i="29"/>
  <c r="J198" i="29"/>
  <c r="J245" i="29"/>
  <c r="H245" i="29"/>
  <c r="H75" i="29"/>
  <c r="J75" i="29"/>
  <c r="AH12" i="29"/>
  <c r="H170" i="29"/>
  <c r="J170" i="29"/>
  <c r="H179" i="29"/>
  <c r="J179" i="29"/>
  <c r="H178" i="29"/>
  <c r="J178" i="29"/>
  <c r="H177" i="29"/>
  <c r="J177" i="29"/>
  <c r="J125" i="29"/>
  <c r="H125" i="29"/>
  <c r="N265" i="29"/>
  <c r="AH265" i="29"/>
  <c r="O265" i="29"/>
  <c r="C265" i="29"/>
  <c r="K265" i="29"/>
  <c r="M265" i="29"/>
  <c r="L265" i="29"/>
  <c r="J195" i="29"/>
  <c r="H195" i="29"/>
  <c r="H233" i="29"/>
  <c r="J233" i="29"/>
  <c r="H89" i="29"/>
  <c r="J89" i="29"/>
  <c r="N111" i="29"/>
  <c r="L111" i="29"/>
  <c r="C111" i="29"/>
  <c r="AH111" i="29"/>
  <c r="L11" i="29"/>
  <c r="M11" i="29"/>
  <c r="C11" i="29"/>
  <c r="K11" i="29"/>
  <c r="O11" i="29"/>
  <c r="N11" i="29"/>
  <c r="C88" i="29"/>
  <c r="N88" i="29"/>
  <c r="M88" i="29"/>
  <c r="K88" i="29"/>
  <c r="C94" i="29"/>
  <c r="M135" i="29"/>
  <c r="L96" i="29"/>
  <c r="N73" i="29"/>
  <c r="N17" i="29"/>
  <c r="M208" i="29"/>
  <c r="J16" i="29"/>
  <c r="M16" i="29" s="1"/>
  <c r="K135" i="29"/>
  <c r="J224" i="29"/>
  <c r="K224" i="29" s="1"/>
  <c r="M30" i="29"/>
  <c r="H82" i="29"/>
  <c r="L248" i="29"/>
  <c r="L94" i="29"/>
  <c r="N220" i="29"/>
  <c r="N235" i="29"/>
  <c r="C235" i="29"/>
  <c r="L235" i="29"/>
  <c r="AH235" i="29"/>
  <c r="O235" i="29"/>
  <c r="M235" i="29"/>
  <c r="K235" i="29"/>
  <c r="J155" i="29"/>
  <c r="H155" i="29"/>
  <c r="C30" i="29"/>
  <c r="K30" i="29"/>
  <c r="J106" i="29"/>
  <c r="H106" i="29"/>
  <c r="H61" i="29"/>
  <c r="J61" i="29"/>
  <c r="K181" i="29"/>
  <c r="C181" i="29"/>
  <c r="O181" i="29"/>
  <c r="M181" i="29"/>
  <c r="N181" i="29"/>
  <c r="L181" i="29"/>
  <c r="J54" i="29"/>
  <c r="H54" i="29"/>
  <c r="H48" i="29"/>
  <c r="J48" i="29"/>
  <c r="J124" i="29"/>
  <c r="H124" i="29"/>
  <c r="H269" i="29"/>
  <c r="J269" i="29"/>
  <c r="H151" i="29"/>
  <c r="J151" i="29"/>
  <c r="J63" i="29"/>
  <c r="H63" i="29"/>
  <c r="N126" i="29"/>
  <c r="M126" i="29"/>
  <c r="K126" i="29"/>
  <c r="O126" i="29"/>
  <c r="H205" i="29"/>
  <c r="J205" i="29"/>
  <c r="H87" i="29"/>
  <c r="J87" i="29"/>
  <c r="H101" i="29"/>
  <c r="J101" i="29"/>
  <c r="J145" i="29"/>
  <c r="H145" i="29"/>
  <c r="H281" i="29"/>
  <c r="J281" i="29"/>
  <c r="J201" i="29"/>
  <c r="H201" i="29"/>
  <c r="J163" i="29"/>
  <c r="H163" i="29"/>
  <c r="J85" i="29"/>
  <c r="H85" i="29"/>
  <c r="L58" i="29"/>
  <c r="K58" i="29"/>
  <c r="L93" i="29"/>
  <c r="K93" i="29"/>
  <c r="C93" i="29"/>
  <c r="N93" i="29"/>
  <c r="M93" i="29"/>
  <c r="O93" i="29"/>
  <c r="C32" i="29"/>
  <c r="K32" i="29"/>
  <c r="M32" i="29"/>
  <c r="N32" i="29"/>
  <c r="O32" i="29"/>
  <c r="J232" i="29"/>
  <c r="H232" i="29"/>
  <c r="J268" i="29"/>
  <c r="H268" i="29"/>
  <c r="H15" i="29"/>
  <c r="J15" i="29"/>
  <c r="J44" i="29"/>
  <c r="H44" i="29"/>
  <c r="J141" i="29"/>
  <c r="H141" i="29"/>
  <c r="J4" i="29"/>
  <c r="H4" i="29"/>
  <c r="H229" i="29"/>
  <c r="J229" i="29"/>
  <c r="J256" i="29"/>
  <c r="H256" i="29"/>
  <c r="J223" i="29"/>
  <c r="H223" i="29"/>
  <c r="J150" i="29"/>
  <c r="H150" i="29"/>
  <c r="J69" i="29"/>
  <c r="H69" i="29"/>
  <c r="H214" i="29"/>
  <c r="J214" i="29"/>
  <c r="C56" i="29"/>
  <c r="M56" i="29"/>
  <c r="AH56" i="29"/>
  <c r="K56" i="29"/>
  <c r="O56" i="29"/>
  <c r="L56" i="29"/>
  <c r="N56" i="29"/>
  <c r="O244" i="29"/>
  <c r="L244" i="29"/>
  <c r="J231" i="29"/>
  <c r="AH231" i="29" s="1"/>
  <c r="H79" i="29"/>
  <c r="N94" i="29"/>
  <c r="H220" i="29"/>
  <c r="J103" i="29"/>
  <c r="AH103" i="29" s="1"/>
  <c r="J115" i="29"/>
  <c r="AH115" i="29" s="1"/>
  <c r="J190" i="29"/>
  <c r="N190" i="29" s="1"/>
  <c r="M128" i="29"/>
  <c r="L30" i="29"/>
  <c r="AH181" i="29"/>
  <c r="H55" i="29"/>
  <c r="J55" i="29"/>
  <c r="H263" i="29"/>
  <c r="J263" i="29"/>
  <c r="L172" i="29"/>
  <c r="H187" i="29"/>
  <c r="J187" i="29"/>
  <c r="H143" i="29"/>
  <c r="J143" i="29"/>
  <c r="H67" i="29"/>
  <c r="J67" i="29"/>
  <c r="J258" i="29"/>
  <c r="H258" i="29"/>
  <c r="J160" i="29"/>
  <c r="H160" i="29"/>
  <c r="O251" i="29"/>
  <c r="C251" i="29"/>
  <c r="N251" i="29"/>
  <c r="AH251" i="29"/>
  <c r="M251" i="29"/>
  <c r="L251" i="29"/>
  <c r="J14" i="29"/>
  <c r="H14" i="29"/>
  <c r="M199" i="29"/>
  <c r="AH199" i="29"/>
  <c r="L199" i="29"/>
  <c r="O199" i="29"/>
  <c r="H33" i="29"/>
  <c r="J33" i="29"/>
  <c r="H278" i="29"/>
  <c r="J278" i="29"/>
  <c r="H34" i="29"/>
  <c r="J34" i="29"/>
  <c r="J218" i="29"/>
  <c r="H218" i="29"/>
  <c r="N248" i="29"/>
  <c r="O248" i="29"/>
  <c r="L104" i="29"/>
  <c r="C104" i="29"/>
  <c r="J161" i="29"/>
  <c r="H161" i="29"/>
  <c r="J26" i="29"/>
  <c r="H26" i="29"/>
  <c r="J13" i="29"/>
  <c r="H13" i="29"/>
  <c r="J132" i="29"/>
  <c r="H132" i="29"/>
  <c r="C73" i="29"/>
  <c r="M73" i="29"/>
  <c r="K73" i="29"/>
  <c r="K207" i="29"/>
  <c r="M207" i="29"/>
  <c r="O207" i="29"/>
  <c r="C207" i="29"/>
  <c r="H5" i="29"/>
  <c r="J5" i="29"/>
  <c r="L27" i="29"/>
  <c r="O27" i="29"/>
  <c r="C27" i="29"/>
  <c r="H6" i="29"/>
  <c r="J6" i="29"/>
  <c r="H116" i="29"/>
  <c r="J116" i="29"/>
  <c r="H70" i="29"/>
  <c r="J70" i="29"/>
  <c r="H192" i="29"/>
  <c r="J192" i="29"/>
  <c r="H219" i="29"/>
  <c r="J219" i="29"/>
  <c r="J66" i="29"/>
  <c r="H66" i="29"/>
  <c r="H210" i="29"/>
  <c r="J210" i="29"/>
  <c r="H243" i="29"/>
  <c r="J243" i="29"/>
  <c r="M31" i="29"/>
  <c r="L31" i="29"/>
  <c r="C31" i="29"/>
  <c r="K31" i="29"/>
  <c r="O31" i="29"/>
  <c r="N31" i="29"/>
  <c r="H267" i="29"/>
  <c r="J267" i="29"/>
  <c r="J42" i="29"/>
  <c r="H42" i="29"/>
  <c r="H158" i="29"/>
  <c r="J158" i="29"/>
  <c r="J230" i="29"/>
  <c r="H230" i="29"/>
  <c r="AH91" i="29"/>
  <c r="M91" i="29"/>
  <c r="L91" i="29"/>
  <c r="K91" i="29"/>
  <c r="N91" i="29"/>
  <c r="C91" i="29"/>
  <c r="O91" i="29"/>
  <c r="J148" i="29"/>
  <c r="H148" i="29"/>
  <c r="J193" i="29"/>
  <c r="H193" i="29"/>
  <c r="H249" i="29"/>
  <c r="J249" i="29"/>
  <c r="H159" i="29"/>
  <c r="J159" i="29"/>
  <c r="H71" i="29"/>
  <c r="J71" i="29"/>
  <c r="J250" i="29"/>
  <c r="H250" i="29"/>
  <c r="H152" i="29"/>
  <c r="J152" i="29"/>
  <c r="O98" i="29"/>
  <c r="M98" i="29"/>
  <c r="C98" i="29"/>
  <c r="N98" i="29"/>
  <c r="AH98" i="29"/>
  <c r="K98" i="29"/>
  <c r="L98" i="29"/>
  <c r="J240" i="29"/>
  <c r="H240" i="29"/>
  <c r="J53" i="29"/>
  <c r="H53" i="29"/>
  <c r="O30" i="29"/>
  <c r="L128" i="29"/>
  <c r="AH248" i="29"/>
  <c r="K199" i="29"/>
  <c r="M184" i="29"/>
  <c r="AH207" i="29"/>
  <c r="C126" i="29"/>
  <c r="C128" i="29"/>
  <c r="N208" i="29"/>
  <c r="AH93" i="29"/>
  <c r="AH209" i="29"/>
  <c r="C21" i="29"/>
  <c r="O21" i="29"/>
  <c r="AH21" i="29"/>
  <c r="N21" i="29"/>
  <c r="M21" i="29"/>
  <c r="K21" i="29"/>
  <c r="L21" i="29"/>
  <c r="L46" i="29"/>
  <c r="M46" i="29"/>
  <c r="K46" i="29"/>
  <c r="C46" i="29"/>
  <c r="AH46" i="29"/>
  <c r="N46" i="29"/>
  <c r="O46" i="29"/>
  <c r="L7" i="29"/>
  <c r="C7" i="29"/>
  <c r="M7" i="29"/>
  <c r="N7" i="29"/>
  <c r="AH7" i="29"/>
  <c r="O7" i="29"/>
  <c r="K7" i="29"/>
  <c r="O167" i="29"/>
  <c r="M167" i="29"/>
  <c r="C167" i="29"/>
  <c r="N167" i="29"/>
  <c r="AH167" i="29"/>
  <c r="L167" i="29"/>
  <c r="K167" i="29"/>
  <c r="O216" i="29"/>
  <c r="L216" i="29"/>
  <c r="AH225" i="29"/>
  <c r="K225" i="29"/>
  <c r="L225" i="29"/>
  <c r="O225" i="29"/>
  <c r="N225" i="29"/>
  <c r="C225" i="29"/>
  <c r="M225" i="29"/>
  <c r="O79" i="29"/>
  <c r="C79" i="29"/>
  <c r="L79" i="29"/>
  <c r="M79" i="29"/>
  <c r="AH79" i="29"/>
  <c r="N79" i="29"/>
  <c r="K79" i="29"/>
  <c r="C203" i="29"/>
  <c r="K203" i="29"/>
  <c r="L203" i="29"/>
  <c r="N203" i="29"/>
  <c r="O203" i="29"/>
  <c r="AH203" i="29"/>
  <c r="M203" i="29"/>
  <c r="L221" i="29"/>
  <c r="N221" i="29"/>
  <c r="K221" i="29"/>
  <c r="O221" i="29"/>
  <c r="C221" i="29"/>
  <c r="M221" i="29"/>
  <c r="M202" i="29"/>
  <c r="AH202" i="29"/>
  <c r="C202" i="29"/>
  <c r="N202" i="29"/>
  <c r="O202" i="29"/>
  <c r="L202" i="29"/>
  <c r="K202" i="29"/>
  <c r="C129" i="29"/>
  <c r="K129" i="29"/>
  <c r="M129" i="29"/>
  <c r="L129" i="29"/>
  <c r="N129" i="29"/>
  <c r="N156" i="29"/>
  <c r="L156" i="29"/>
  <c r="M156" i="29"/>
  <c r="K156" i="29"/>
  <c r="C156" i="29"/>
  <c r="O156" i="29"/>
  <c r="O76" i="29"/>
  <c r="K194" i="29"/>
  <c r="M194" i="29"/>
  <c r="L194" i="29"/>
  <c r="O194" i="29"/>
  <c r="C194" i="29"/>
  <c r="N194" i="29"/>
  <c r="AH194" i="29"/>
  <c r="C275" i="29"/>
  <c r="O275" i="29"/>
  <c r="K275" i="29"/>
  <c r="N275" i="29"/>
  <c r="M275" i="29"/>
  <c r="AH275" i="29"/>
  <c r="L275" i="29"/>
  <c r="AH154" i="29"/>
  <c r="M154" i="29"/>
  <c r="K154" i="29"/>
  <c r="N154" i="29"/>
  <c r="L154" i="29"/>
  <c r="O154" i="29"/>
  <c r="C154" i="29"/>
  <c r="M72" i="29"/>
  <c r="L72" i="29"/>
  <c r="O72" i="29"/>
  <c r="C72" i="29"/>
  <c r="K72" i="29"/>
  <c r="N72" i="29"/>
  <c r="AH72" i="29"/>
  <c r="AH84" i="29"/>
  <c r="M84" i="29"/>
  <c r="M82" i="29"/>
  <c r="AH82" i="29"/>
  <c r="C82" i="29"/>
  <c r="L82" i="29"/>
  <c r="O82" i="29"/>
  <c r="K82" i="29"/>
  <c r="N82" i="29"/>
  <c r="L127" i="29"/>
  <c r="M127" i="29"/>
  <c r="O127" i="29"/>
  <c r="C127" i="29"/>
  <c r="N127" i="29"/>
  <c r="AH127" i="29"/>
  <c r="K127" i="29"/>
  <c r="L200" i="29"/>
  <c r="O200" i="29"/>
  <c r="C200" i="29"/>
  <c r="N200" i="29"/>
  <c r="M200" i="29"/>
  <c r="K200" i="29"/>
  <c r="C102" i="29"/>
  <c r="M102" i="29"/>
  <c r="N102" i="29"/>
  <c r="O102" i="29"/>
  <c r="AH102" i="29"/>
  <c r="L102" i="29"/>
  <c r="K102" i="29"/>
  <c r="K28" i="29"/>
  <c r="C28" i="29"/>
  <c r="N28" i="29"/>
  <c r="AH28" i="29"/>
  <c r="O28" i="29"/>
  <c r="L28" i="29"/>
  <c r="M28" i="29"/>
  <c r="AH270" i="29"/>
  <c r="O270" i="29"/>
  <c r="L270" i="29"/>
  <c r="K270" i="29"/>
  <c r="M270" i="29"/>
  <c r="N270" i="29"/>
  <c r="C270" i="29"/>
  <c r="AH221" i="29"/>
  <c r="K204" i="29"/>
  <c r="N204" i="29"/>
  <c r="M204" i="29"/>
  <c r="O204" i="29"/>
  <c r="C204" i="29"/>
  <c r="L204" i="29"/>
  <c r="M29" i="29"/>
  <c r="L29" i="29"/>
  <c r="K29" i="29"/>
  <c r="O29" i="29"/>
  <c r="N29" i="29"/>
  <c r="C29" i="29"/>
  <c r="L118" i="29"/>
  <c r="N118" i="29"/>
  <c r="K118" i="29"/>
  <c r="C118" i="29"/>
  <c r="AH118" i="29"/>
  <c r="O118" i="29"/>
  <c r="M118" i="29"/>
  <c r="O36" i="29"/>
  <c r="L36" i="29"/>
  <c r="C36" i="29"/>
  <c r="K36" i="29"/>
  <c r="N36" i="29"/>
  <c r="M36" i="29"/>
  <c r="N236" i="29"/>
  <c r="L236" i="29"/>
  <c r="AH236" i="29"/>
  <c r="O236" i="29"/>
  <c r="M236" i="29"/>
  <c r="C236" i="29"/>
  <c r="K236" i="29"/>
  <c r="N18" i="29"/>
  <c r="C18" i="29"/>
  <c r="O18" i="29"/>
  <c r="K18" i="29"/>
  <c r="AH18" i="29"/>
  <c r="C136" i="29"/>
  <c r="AH136" i="29"/>
  <c r="L136" i="29"/>
  <c r="O136" i="29"/>
  <c r="N136" i="29"/>
  <c r="M136" i="29"/>
  <c r="K136" i="29"/>
  <c r="M234" i="29"/>
  <c r="AH234" i="29"/>
  <c r="L234" i="29"/>
  <c r="K234" i="29"/>
  <c r="N234" i="29"/>
  <c r="C234" i="29"/>
  <c r="O234" i="29"/>
  <c r="K109" i="29"/>
  <c r="AH109" i="29"/>
  <c r="O109" i="29"/>
  <c r="N109" i="29"/>
  <c r="L109" i="29"/>
  <c r="M109" i="29"/>
  <c r="C109" i="29"/>
  <c r="AH45" i="16"/>
  <c r="T111" i="16"/>
  <c r="AH9" i="16"/>
  <c r="T126" i="16"/>
  <c r="T86" i="16"/>
  <c r="T146" i="16"/>
  <c r="H4" i="16"/>
  <c r="AH70" i="16"/>
  <c r="AH130" i="16"/>
  <c r="T25" i="16"/>
  <c r="AH137" i="16"/>
  <c r="T67" i="16"/>
  <c r="T76" i="16"/>
  <c r="T137" i="16"/>
  <c r="T108" i="16"/>
  <c r="T119" i="16"/>
  <c r="T144" i="16"/>
  <c r="AH135" i="16"/>
  <c r="T47" i="16"/>
  <c r="T29" i="16"/>
  <c r="T99" i="16"/>
  <c r="T87" i="16"/>
  <c r="T62" i="16"/>
  <c r="AH143" i="16"/>
  <c r="T95" i="16"/>
  <c r="R5" i="16"/>
  <c r="AH112" i="16"/>
  <c r="T40" i="16"/>
  <c r="T58" i="16"/>
  <c r="Q5" i="16"/>
  <c r="AH153" i="16"/>
  <c r="T31" i="16"/>
  <c r="T77" i="16"/>
  <c r="J5" i="16"/>
  <c r="AH5" i="16" s="1"/>
  <c r="AH145" i="16"/>
  <c r="T54" i="16"/>
  <c r="T5" i="16"/>
  <c r="AH50" i="16"/>
  <c r="T74" i="16"/>
  <c r="T110" i="16"/>
  <c r="T50" i="16"/>
  <c r="S5" i="16"/>
  <c r="T42" i="16"/>
  <c r="AH119" i="16"/>
  <c r="T152" i="16"/>
  <c r="AH90" i="16"/>
  <c r="T8" i="16"/>
  <c r="T151" i="16"/>
  <c r="T55" i="16"/>
  <c r="T100" i="16"/>
  <c r="AH49" i="16"/>
  <c r="T41" i="16"/>
  <c r="AH25" i="16"/>
  <c r="AH152" i="16"/>
  <c r="AH109" i="16"/>
  <c r="T7" i="16"/>
  <c r="T104" i="16"/>
  <c r="T73" i="16"/>
  <c r="T68" i="16"/>
  <c r="T45" i="16"/>
  <c r="AH30" i="16"/>
  <c r="AH93" i="16"/>
  <c r="T109" i="16"/>
  <c r="T97" i="16"/>
  <c r="AH73" i="16"/>
  <c r="AH148" i="16"/>
  <c r="T148" i="16"/>
  <c r="AH131" i="16"/>
  <c r="T61" i="16"/>
  <c r="T24" i="16"/>
  <c r="T145" i="16"/>
  <c r="T53" i="16"/>
  <c r="AH53" i="16"/>
  <c r="AH141" i="16"/>
  <c r="T10" i="16"/>
  <c r="T92" i="16"/>
  <c r="AH134" i="16"/>
  <c r="AH98" i="16"/>
  <c r="AH139" i="16"/>
  <c r="T117" i="16"/>
  <c r="T134" i="16"/>
  <c r="AH96" i="16"/>
  <c r="T83" i="16"/>
  <c r="T28" i="16"/>
  <c r="AH29" i="16"/>
  <c r="AH11" i="16"/>
  <c r="AH19" i="16"/>
  <c r="T94" i="16"/>
  <c r="AH94" i="16"/>
  <c r="T93" i="16"/>
  <c r="T132" i="16"/>
  <c r="T36" i="16"/>
  <c r="T138" i="16"/>
  <c r="AH113" i="16"/>
  <c r="T101" i="16"/>
  <c r="AH124" i="16"/>
  <c r="T140" i="16"/>
  <c r="T75" i="16"/>
  <c r="AH121" i="16"/>
  <c r="T121" i="16"/>
  <c r="T79" i="16"/>
  <c r="T116" i="16"/>
  <c r="T21" i="16"/>
  <c r="AH136" i="16"/>
  <c r="AH147" i="16"/>
  <c r="AH37" i="16"/>
  <c r="AH69" i="16"/>
  <c r="AH85" i="16"/>
  <c r="T64" i="16"/>
  <c r="AH64" i="16"/>
  <c r="T35" i="16"/>
  <c r="AH120" i="16"/>
  <c r="AH132" i="16"/>
  <c r="AH41" i="16"/>
  <c r="T12" i="16"/>
  <c r="T118" i="16"/>
  <c r="AH78" i="16"/>
  <c r="T122" i="16"/>
  <c r="AH122" i="16"/>
  <c r="AH142" i="16"/>
  <c r="T142" i="16"/>
  <c r="AH39" i="16"/>
  <c r="T39" i="16"/>
  <c r="T11" i="16"/>
  <c r="T34" i="16"/>
  <c r="AH34" i="16"/>
  <c r="AH61" i="16"/>
  <c r="T85" i="16"/>
  <c r="T96" i="16"/>
  <c r="AH77" i="16"/>
  <c r="AH88" i="16"/>
  <c r="T129" i="16"/>
  <c r="AH129" i="16"/>
  <c r="AH82" i="16"/>
  <c r="AH14" i="16"/>
  <c r="T57" i="16"/>
  <c r="AH57" i="16"/>
  <c r="AH81" i="16"/>
  <c r="AH7" i="16"/>
  <c r="AH65" i="16"/>
  <c r="T120" i="16"/>
  <c r="T22" i="16"/>
  <c r="T51" i="16"/>
  <c r="T69" i="16"/>
  <c r="T52" i="16"/>
  <c r="T14" i="16"/>
  <c r="T37" i="16"/>
  <c r="T150" i="16"/>
  <c r="T89" i="16"/>
  <c r="AH89" i="16"/>
  <c r="T44" i="16"/>
  <c r="T20" i="16"/>
  <c r="AH80" i="16"/>
  <c r="T63" i="16"/>
  <c r="T84" i="16"/>
  <c r="AH116" i="16"/>
  <c r="T15" i="16"/>
  <c r="AH27" i="16"/>
  <c r="M4" i="16"/>
  <c r="AH4" i="16"/>
  <c r="C4" i="16"/>
  <c r="N4" i="16"/>
  <c r="K4" i="16"/>
  <c r="O4" i="16"/>
  <c r="L4" i="16"/>
  <c r="T88" i="16"/>
  <c r="T105" i="16"/>
  <c r="T149" i="16"/>
  <c r="AH105" i="16"/>
  <c r="L49" i="29" l="1"/>
  <c r="O49" i="29"/>
  <c r="C59" i="29"/>
  <c r="N59" i="29"/>
  <c r="N81" i="29"/>
  <c r="K12" i="29"/>
  <c r="C49" i="29"/>
  <c r="M49" i="29"/>
  <c r="AH196" i="16"/>
  <c r="C81" i="29"/>
  <c r="M131" i="29"/>
  <c r="O59" i="29"/>
  <c r="O162" i="29"/>
  <c r="C137" i="29"/>
  <c r="M172" i="29"/>
  <c r="O12" i="29"/>
  <c r="N49" i="29"/>
  <c r="AH59" i="29"/>
  <c r="O131" i="29"/>
  <c r="O137" i="29"/>
  <c r="M157" i="29"/>
  <c r="N12" i="29"/>
  <c r="C12" i="29"/>
  <c r="K49" i="29"/>
  <c r="M81" i="29"/>
  <c r="C157" i="29"/>
  <c r="M12" i="29"/>
  <c r="L40" i="29"/>
  <c r="N131" i="29"/>
  <c r="K131" i="29"/>
  <c r="M137" i="29"/>
  <c r="O40" i="29"/>
  <c r="O39" i="29"/>
  <c r="N40" i="29"/>
  <c r="K122" i="29"/>
  <c r="L57" i="29"/>
  <c r="N157" i="29"/>
  <c r="O84" i="29"/>
  <c r="N76" i="29"/>
  <c r="AH172" i="29"/>
  <c r="L84" i="29"/>
  <c r="N172" i="29"/>
  <c r="AH122" i="29"/>
  <c r="K57" i="29"/>
  <c r="K216" i="29"/>
  <c r="AH104" i="29"/>
  <c r="C216" i="29"/>
  <c r="M76" i="29"/>
  <c r="N216" i="29"/>
  <c r="L257" i="29"/>
  <c r="K257" i="29"/>
  <c r="M39" i="29"/>
  <c r="L227" i="29"/>
  <c r="M257" i="29"/>
  <c r="O157" i="29"/>
  <c r="C183" i="29"/>
  <c r="C254" i="29"/>
  <c r="C76" i="29"/>
  <c r="M27" i="29"/>
  <c r="C172" i="29"/>
  <c r="C257" i="29"/>
  <c r="M227" i="29"/>
  <c r="N27" i="29"/>
  <c r="N57" i="29"/>
  <c r="K40" i="29"/>
  <c r="K191" i="29"/>
  <c r="L137" i="29"/>
  <c r="L122" i="29"/>
  <c r="C40" i="29"/>
  <c r="K76" i="29"/>
  <c r="K39" i="29"/>
  <c r="N84" i="29"/>
  <c r="AH183" i="29"/>
  <c r="K84" i="29"/>
  <c r="L76" i="29"/>
  <c r="AH129" i="29"/>
  <c r="O172" i="29"/>
  <c r="AH40" i="29"/>
  <c r="M57" i="29"/>
  <c r="L39" i="29"/>
  <c r="AH254" i="29"/>
  <c r="M216" i="29"/>
  <c r="O104" i="29"/>
  <c r="M104" i="29"/>
  <c r="N39" i="29"/>
  <c r="AH227" i="29"/>
  <c r="N207" i="29"/>
  <c r="K162" i="29"/>
  <c r="AH137" i="29"/>
  <c r="AH157" i="29"/>
  <c r="K189" i="29"/>
  <c r="M254" i="29"/>
  <c r="L17" i="29"/>
  <c r="C74" i="29"/>
  <c r="AH205" i="16"/>
  <c r="L191" i="29"/>
  <c r="O189" i="29"/>
  <c r="K41" i="29"/>
  <c r="M18" i="29"/>
  <c r="M183" i="29"/>
  <c r="O254" i="29"/>
  <c r="K74" i="29"/>
  <c r="C17" i="29"/>
  <c r="AH162" i="29"/>
  <c r="C227" i="29"/>
  <c r="M191" i="29"/>
  <c r="O122" i="29"/>
  <c r="N122" i="29"/>
  <c r="AH57" i="29"/>
  <c r="M41" i="29"/>
  <c r="L162" i="29"/>
  <c r="M162" i="29"/>
  <c r="O183" i="29"/>
  <c r="M74" i="29"/>
  <c r="C122" i="29"/>
  <c r="O57" i="29"/>
  <c r="AH189" i="29"/>
  <c r="C41" i="29"/>
  <c r="N189" i="29"/>
  <c r="L183" i="29"/>
  <c r="L254" i="29"/>
  <c r="M17" i="29"/>
  <c r="K183" i="29"/>
  <c r="N254" i="29"/>
  <c r="K17" i="29"/>
  <c r="L74" i="29"/>
  <c r="O17" i="29"/>
  <c r="N74" i="29"/>
  <c r="L189" i="29"/>
  <c r="AH41" i="29"/>
  <c r="N196" i="16"/>
  <c r="K196" i="16"/>
  <c r="O196" i="16"/>
  <c r="C196" i="16"/>
  <c r="N205" i="16"/>
  <c r="C205" i="16"/>
  <c r="O205" i="16"/>
  <c r="K86" i="29"/>
  <c r="K276" i="29"/>
  <c r="K180" i="16"/>
  <c r="O60" i="29"/>
  <c r="N86" i="29"/>
  <c r="M86" i="29"/>
  <c r="N274" i="29"/>
  <c r="L276" i="29"/>
  <c r="AH182" i="16"/>
  <c r="L169" i="16"/>
  <c r="K231" i="29"/>
  <c r="L272" i="29"/>
  <c r="L175" i="16"/>
  <c r="C276" i="29"/>
  <c r="K213" i="16"/>
  <c r="N276" i="29"/>
  <c r="M213" i="16"/>
  <c r="M276" i="29"/>
  <c r="L213" i="16"/>
  <c r="O276" i="29"/>
  <c r="N213" i="16"/>
  <c r="C213" i="16"/>
  <c r="M274" i="29"/>
  <c r="C224" i="29"/>
  <c r="L144" i="29"/>
  <c r="O169" i="16"/>
  <c r="M60" i="29"/>
  <c r="AH274" i="29"/>
  <c r="K274" i="29"/>
  <c r="L86" i="29"/>
  <c r="C60" i="29"/>
  <c r="L60" i="29"/>
  <c r="AH215" i="29"/>
  <c r="K78" i="29"/>
  <c r="O272" i="29"/>
  <c r="K206" i="16"/>
  <c r="L203" i="16"/>
  <c r="AH60" i="29"/>
  <c r="M272" i="29"/>
  <c r="M231" i="29"/>
  <c r="C193" i="16"/>
  <c r="N60" i="29"/>
  <c r="N272" i="29"/>
  <c r="M201" i="16"/>
  <c r="N209" i="16"/>
  <c r="C272" i="29"/>
  <c r="AH213" i="16"/>
  <c r="K272" i="29"/>
  <c r="O201" i="16"/>
  <c r="K144" i="29"/>
  <c r="M169" i="16"/>
  <c r="O203" i="16"/>
  <c r="AH169" i="16"/>
  <c r="C169" i="16"/>
  <c r="N169" i="16"/>
  <c r="K203" i="16"/>
  <c r="AH203" i="16"/>
  <c r="C201" i="16"/>
  <c r="AH144" i="29"/>
  <c r="C86" i="29"/>
  <c r="L201" i="16"/>
  <c r="AH201" i="16"/>
  <c r="M144" i="29"/>
  <c r="N201" i="16"/>
  <c r="O107" i="29"/>
  <c r="C274" i="29"/>
  <c r="N144" i="29"/>
  <c r="AH86" i="29"/>
  <c r="O26" i="16"/>
  <c r="L26" i="16"/>
  <c r="N107" i="29"/>
  <c r="O274" i="29"/>
  <c r="L24" i="29"/>
  <c r="C144" i="29"/>
  <c r="M203" i="16"/>
  <c r="C107" i="29"/>
  <c r="C170" i="16"/>
  <c r="N180" i="16"/>
  <c r="L180" i="16"/>
  <c r="AH180" i="16"/>
  <c r="C203" i="16"/>
  <c r="M193" i="16"/>
  <c r="O193" i="16"/>
  <c r="N193" i="16"/>
  <c r="C14" i="17"/>
  <c r="K193" i="16"/>
  <c r="C13" i="17"/>
  <c r="C16" i="17"/>
  <c r="AH26" i="16"/>
  <c r="O175" i="16"/>
  <c r="C215" i="16"/>
  <c r="C10" i="17"/>
  <c r="C11" i="17"/>
  <c r="L207" i="16"/>
  <c r="N207" i="16"/>
  <c r="C17" i="17"/>
  <c r="C15" i="17"/>
  <c r="N175" i="16"/>
  <c r="C175" i="16"/>
  <c r="AH193" i="16"/>
  <c r="C12" i="17"/>
  <c r="O8" i="29"/>
  <c r="L107" i="29"/>
  <c r="C215" i="29"/>
  <c r="C182" i="16"/>
  <c r="O212" i="16"/>
  <c r="C206" i="16"/>
  <c r="M217" i="16"/>
  <c r="K146" i="16"/>
  <c r="K182" i="16"/>
  <c r="K115" i="29"/>
  <c r="M215" i="29"/>
  <c r="M78" i="29"/>
  <c r="L182" i="16"/>
  <c r="AH212" i="16"/>
  <c r="C185" i="16"/>
  <c r="K8" i="29"/>
  <c r="K107" i="29"/>
  <c r="O206" i="16"/>
  <c r="L212" i="16"/>
  <c r="L206" i="16"/>
  <c r="C217" i="16"/>
  <c r="K185" i="16"/>
  <c r="C8" i="29"/>
  <c r="M107" i="29"/>
  <c r="K44" i="16"/>
  <c r="C8" i="16"/>
  <c r="AH175" i="16"/>
  <c r="C212" i="16"/>
  <c r="M206" i="16"/>
  <c r="N217" i="16"/>
  <c r="O185" i="16"/>
  <c r="AH185" i="16"/>
  <c r="M185" i="16"/>
  <c r="AH150" i="16"/>
  <c r="C115" i="29"/>
  <c r="O78" i="29"/>
  <c r="O182" i="16"/>
  <c r="L180" i="29"/>
  <c r="M224" i="29"/>
  <c r="K175" i="16"/>
  <c r="M212" i="16"/>
  <c r="AH206" i="16"/>
  <c r="M182" i="16"/>
  <c r="N185" i="16"/>
  <c r="O146" i="16"/>
  <c r="L28" i="16"/>
  <c r="C2" i="17"/>
  <c r="M24" i="29"/>
  <c r="AH190" i="29"/>
  <c r="L150" i="16"/>
  <c r="N146" i="16"/>
  <c r="M207" i="16"/>
  <c r="K207" i="16"/>
  <c r="C9" i="17"/>
  <c r="C3" i="17"/>
  <c r="L16" i="29"/>
  <c r="K52" i="16"/>
  <c r="M150" i="16"/>
  <c r="C8" i="17"/>
  <c r="L52" i="16"/>
  <c r="L78" i="29"/>
  <c r="K24" i="29"/>
  <c r="N16" i="29"/>
  <c r="N52" i="16"/>
  <c r="C150" i="16"/>
  <c r="O150" i="16"/>
  <c r="C107" i="16"/>
  <c r="C180" i="16"/>
  <c r="C195" i="16"/>
  <c r="M215" i="16"/>
  <c r="C6" i="17"/>
  <c r="O24" i="29"/>
  <c r="C24" i="29"/>
  <c r="AH16" i="29"/>
  <c r="O52" i="16"/>
  <c r="K150" i="16"/>
  <c r="M83" i="16"/>
  <c r="O207" i="16"/>
  <c r="AH207" i="16"/>
  <c r="C78" i="29"/>
  <c r="AH24" i="29"/>
  <c r="M180" i="16"/>
  <c r="L211" i="16"/>
  <c r="AH211" i="16"/>
  <c r="C5" i="17"/>
  <c r="L215" i="16"/>
  <c r="N215" i="16"/>
  <c r="C7" i="17"/>
  <c r="N78" i="29"/>
  <c r="O28" i="16"/>
  <c r="M52" i="16"/>
  <c r="C4" i="17"/>
  <c r="O16" i="29"/>
  <c r="AH195" i="16"/>
  <c r="AH95" i="16"/>
  <c r="O138" i="29"/>
  <c r="K16" i="29"/>
  <c r="K190" i="29"/>
  <c r="N211" i="16"/>
  <c r="M195" i="16"/>
  <c r="C16" i="29"/>
  <c r="O44" i="16"/>
  <c r="O211" i="16"/>
  <c r="O195" i="16"/>
  <c r="K195" i="16"/>
  <c r="C211" i="16"/>
  <c r="K28" i="16"/>
  <c r="K189" i="16"/>
  <c r="L195" i="16"/>
  <c r="K211" i="16"/>
  <c r="N44" i="16"/>
  <c r="AH198" i="16"/>
  <c r="AH8" i="29"/>
  <c r="O180" i="29"/>
  <c r="K103" i="29"/>
  <c r="K138" i="29"/>
  <c r="AH224" i="29"/>
  <c r="C231" i="29"/>
  <c r="L215" i="29"/>
  <c r="M190" i="29"/>
  <c r="K198" i="16"/>
  <c r="N198" i="16"/>
  <c r="N38" i="16"/>
  <c r="AH38" i="16"/>
  <c r="L8" i="29"/>
  <c r="AH180" i="29"/>
  <c r="N138" i="29"/>
  <c r="N215" i="29"/>
  <c r="O190" i="29"/>
  <c r="C189" i="16"/>
  <c r="L198" i="16"/>
  <c r="AH217" i="16"/>
  <c r="L138" i="29"/>
  <c r="C138" i="29"/>
  <c r="L190" i="29"/>
  <c r="M138" i="16"/>
  <c r="N8" i="29"/>
  <c r="M180" i="29"/>
  <c r="M138" i="29"/>
  <c r="O215" i="29"/>
  <c r="C190" i="29"/>
  <c r="O32" i="16"/>
  <c r="C176" i="16"/>
  <c r="M189" i="16"/>
  <c r="C198" i="16"/>
  <c r="O217" i="16"/>
  <c r="N180" i="29"/>
  <c r="K180" i="29"/>
  <c r="AH32" i="16"/>
  <c r="O115" i="29"/>
  <c r="N224" i="29"/>
  <c r="N32" i="16"/>
  <c r="M44" i="16"/>
  <c r="N176" i="16"/>
  <c r="AH189" i="16"/>
  <c r="K217" i="16"/>
  <c r="M198" i="16"/>
  <c r="AH186" i="16"/>
  <c r="C186" i="16"/>
  <c r="C209" i="16"/>
  <c r="N28" i="16"/>
  <c r="N79" i="16"/>
  <c r="N95" i="16"/>
  <c r="N16" i="16"/>
  <c r="N48" i="16"/>
  <c r="O76" i="16"/>
  <c r="M28" i="16"/>
  <c r="C95" i="16"/>
  <c r="M16" i="16"/>
  <c r="AH170" i="16"/>
  <c r="K186" i="16"/>
  <c r="N212" i="16"/>
  <c r="K209" i="16"/>
  <c r="O209" i="16"/>
  <c r="C172" i="16"/>
  <c r="N172" i="16"/>
  <c r="L172" i="16"/>
  <c r="K16" i="16"/>
  <c r="K99" i="16"/>
  <c r="M186" i="16"/>
  <c r="O172" i="16"/>
  <c r="O215" i="16"/>
  <c r="AH79" i="16"/>
  <c r="C16" i="16"/>
  <c r="O24" i="16"/>
  <c r="L76" i="16"/>
  <c r="L95" i="16"/>
  <c r="N170" i="16"/>
  <c r="M172" i="16"/>
  <c r="AH215" i="16"/>
  <c r="L186" i="16"/>
  <c r="L209" i="16"/>
  <c r="O16" i="16"/>
  <c r="O79" i="16"/>
  <c r="C79" i="16"/>
  <c r="M95" i="16"/>
  <c r="C42" i="16"/>
  <c r="M79" i="16"/>
  <c r="O170" i="16"/>
  <c r="O189" i="16"/>
  <c r="O186" i="16"/>
  <c r="L189" i="16"/>
  <c r="K172" i="16"/>
  <c r="L79" i="16"/>
  <c r="C76" i="16"/>
  <c r="C36" i="16"/>
  <c r="K95" i="16"/>
  <c r="M8" i="16"/>
  <c r="M209" i="16"/>
  <c r="K208" i="16"/>
  <c r="L208" i="16"/>
  <c r="N208" i="16"/>
  <c r="O208" i="16"/>
  <c r="C208" i="16"/>
  <c r="M208" i="16"/>
  <c r="K216" i="16"/>
  <c r="N216" i="16"/>
  <c r="O216" i="16"/>
  <c r="L216" i="16"/>
  <c r="M216" i="16"/>
  <c r="C216" i="16"/>
  <c r="AH208" i="16"/>
  <c r="N107" i="16"/>
  <c r="K138" i="16"/>
  <c r="M176" i="16"/>
  <c r="AH216" i="16"/>
  <c r="L42" i="16"/>
  <c r="AH42" i="16"/>
  <c r="N138" i="16"/>
  <c r="M107" i="16"/>
  <c r="M76" i="16"/>
  <c r="K42" i="16"/>
  <c r="O176" i="16"/>
  <c r="M170" i="16"/>
  <c r="K170" i="16"/>
  <c r="M42" i="16"/>
  <c r="K107" i="16"/>
  <c r="L107" i="16"/>
  <c r="L176" i="16"/>
  <c r="O42" i="16"/>
  <c r="AH107" i="16"/>
  <c r="K76" i="16"/>
  <c r="L44" i="16"/>
  <c r="AH176" i="16"/>
  <c r="L183" i="16"/>
  <c r="C183" i="16"/>
  <c r="M183" i="16"/>
  <c r="K183" i="16"/>
  <c r="O183" i="16"/>
  <c r="N183" i="16"/>
  <c r="M111" i="16"/>
  <c r="K35" i="16"/>
  <c r="K36" i="16"/>
  <c r="K111" i="16"/>
  <c r="O155" i="16"/>
  <c r="AH35" i="16"/>
  <c r="O20" i="16"/>
  <c r="O36" i="16"/>
  <c r="O111" i="16"/>
  <c r="L111" i="16"/>
  <c r="M20" i="16"/>
  <c r="K20" i="16"/>
  <c r="N111" i="16"/>
  <c r="C35" i="16"/>
  <c r="M35" i="16"/>
  <c r="O123" i="16"/>
  <c r="K24" i="16"/>
  <c r="L36" i="16"/>
  <c r="N24" i="16"/>
  <c r="AH48" i="16"/>
  <c r="O115" i="16"/>
  <c r="C48" i="16"/>
  <c r="K8" i="16"/>
  <c r="K56" i="16"/>
  <c r="L32" i="16"/>
  <c r="M56" i="16"/>
  <c r="O8" i="16"/>
  <c r="N115" i="16"/>
  <c r="N56" i="16"/>
  <c r="L48" i="16"/>
  <c r="N8" i="16"/>
  <c r="K48" i="16"/>
  <c r="L56" i="16"/>
  <c r="C56" i="16"/>
  <c r="C20" i="16"/>
  <c r="L20" i="16"/>
  <c r="N36" i="16"/>
  <c r="AH56" i="16"/>
  <c r="O48" i="16"/>
  <c r="K115" i="16"/>
  <c r="N151" i="16"/>
  <c r="C123" i="16"/>
  <c r="L115" i="16"/>
  <c r="M115" i="16"/>
  <c r="K123" i="16"/>
  <c r="L123" i="16"/>
  <c r="N83" i="16"/>
  <c r="N123" i="16"/>
  <c r="AH155" i="16"/>
  <c r="M155" i="16"/>
  <c r="L155" i="16"/>
  <c r="C155" i="16"/>
  <c r="O10" i="16"/>
  <c r="O58" i="16"/>
  <c r="N155" i="16"/>
  <c r="O35" i="16"/>
  <c r="N35" i="16"/>
  <c r="O92" i="16"/>
  <c r="L51" i="16"/>
  <c r="AH51" i="16"/>
  <c r="O66" i="16"/>
  <c r="K51" i="16"/>
  <c r="K151" i="16"/>
  <c r="O151" i="16"/>
  <c r="N92" i="16"/>
  <c r="M66" i="16"/>
  <c r="N51" i="16"/>
  <c r="C83" i="16"/>
  <c r="C51" i="16"/>
  <c r="C151" i="16"/>
  <c r="C32" i="16"/>
  <c r="O51" i="16"/>
  <c r="L66" i="16"/>
  <c r="L83" i="16"/>
  <c r="C38" i="16"/>
  <c r="C66" i="16"/>
  <c r="K92" i="16"/>
  <c r="C92" i="16"/>
  <c r="L92" i="16"/>
  <c r="C24" i="16"/>
  <c r="L24" i="16"/>
  <c r="K66" i="16"/>
  <c r="K32" i="16"/>
  <c r="L151" i="16"/>
  <c r="L154" i="16"/>
  <c r="C154" i="16"/>
  <c r="M154" i="16"/>
  <c r="N154" i="16"/>
  <c r="K154" i="16"/>
  <c r="O154" i="16"/>
  <c r="M38" i="16"/>
  <c r="K38" i="16"/>
  <c r="L38" i="16"/>
  <c r="O12" i="16"/>
  <c r="N12" i="16"/>
  <c r="M58" i="16"/>
  <c r="L40" i="16"/>
  <c r="C40" i="16"/>
  <c r="M40" i="16"/>
  <c r="C99" i="16"/>
  <c r="N99" i="16"/>
  <c r="L99" i="16"/>
  <c r="C58" i="16"/>
  <c r="K40" i="16"/>
  <c r="L58" i="16"/>
  <c r="C12" i="16"/>
  <c r="L12" i="16"/>
  <c r="M12" i="16"/>
  <c r="K108" i="16"/>
  <c r="M108" i="16"/>
  <c r="O108" i="16"/>
  <c r="L108" i="16"/>
  <c r="C108" i="16"/>
  <c r="O99" i="16"/>
  <c r="O40" i="16"/>
  <c r="K58" i="16"/>
  <c r="N54" i="16"/>
  <c r="K54" i="16"/>
  <c r="L54" i="16"/>
  <c r="C54" i="16"/>
  <c r="M54" i="16"/>
  <c r="N10" i="16"/>
  <c r="K10" i="16"/>
  <c r="C138" i="16"/>
  <c r="L138" i="16"/>
  <c r="C146" i="16"/>
  <c r="L146" i="16"/>
  <c r="C26" i="16"/>
  <c r="N26" i="16"/>
  <c r="K26" i="16"/>
  <c r="AH10" i="16"/>
  <c r="O54" i="16"/>
  <c r="C10" i="16"/>
  <c r="M10" i="16"/>
  <c r="N40" i="16"/>
  <c r="K15" i="16"/>
  <c r="C15" i="16"/>
  <c r="M15" i="16"/>
  <c r="N15" i="16"/>
  <c r="O15" i="16"/>
  <c r="L15" i="16"/>
  <c r="M59" i="16"/>
  <c r="N59" i="16"/>
  <c r="K59" i="16"/>
  <c r="O59" i="16"/>
  <c r="L59" i="16"/>
  <c r="C59" i="16"/>
  <c r="M103" i="16"/>
  <c r="K103" i="16"/>
  <c r="C103" i="16"/>
  <c r="N103" i="16"/>
  <c r="O103" i="16"/>
  <c r="L103" i="16"/>
  <c r="M71" i="16"/>
  <c r="C71" i="16"/>
  <c r="K71" i="16"/>
  <c r="L71" i="16"/>
  <c r="N71" i="16"/>
  <c r="O71" i="16"/>
  <c r="K31" i="16"/>
  <c r="C31" i="16"/>
  <c r="N31" i="16"/>
  <c r="O31" i="16"/>
  <c r="L31" i="16"/>
  <c r="M31" i="16"/>
  <c r="M63" i="16"/>
  <c r="O63" i="16"/>
  <c r="C63" i="16"/>
  <c r="K63" i="16"/>
  <c r="L63" i="16"/>
  <c r="N63" i="16"/>
  <c r="M75" i="16"/>
  <c r="K75" i="16"/>
  <c r="L75" i="16"/>
  <c r="C75" i="16"/>
  <c r="N75" i="16"/>
  <c r="O75" i="16"/>
  <c r="K47" i="16"/>
  <c r="M47" i="16"/>
  <c r="N47" i="16"/>
  <c r="O47" i="16"/>
  <c r="L47" i="16"/>
  <c r="C47" i="16"/>
  <c r="M67" i="16"/>
  <c r="K67" i="16"/>
  <c r="L67" i="16"/>
  <c r="C67" i="16"/>
  <c r="N67" i="16"/>
  <c r="O67" i="16"/>
  <c r="K140" i="16"/>
  <c r="C140" i="16"/>
  <c r="L140" i="16"/>
  <c r="M140" i="16"/>
  <c r="N140" i="16"/>
  <c r="O140" i="16"/>
  <c r="AH68" i="16"/>
  <c r="AH54" i="16"/>
  <c r="AH44" i="16"/>
  <c r="AH24" i="16"/>
  <c r="AH6" i="16"/>
  <c r="AH100" i="16"/>
  <c r="AH110" i="16"/>
  <c r="AH86" i="16"/>
  <c r="AH83" i="16"/>
  <c r="AH20" i="16"/>
  <c r="AH58" i="16"/>
  <c r="AH108" i="16"/>
  <c r="AH84" i="16"/>
  <c r="AH138" i="16"/>
  <c r="AH111" i="16"/>
  <c r="N229" i="29"/>
  <c r="O229" i="29"/>
  <c r="L229" i="29"/>
  <c r="K229" i="29"/>
  <c r="C229" i="29"/>
  <c r="M229" i="29"/>
  <c r="AH229" i="29"/>
  <c r="C201" i="29"/>
  <c r="AH201" i="29"/>
  <c r="N201" i="29"/>
  <c r="L201" i="29"/>
  <c r="M201" i="29"/>
  <c r="K201" i="29"/>
  <c r="O201" i="29"/>
  <c r="N35" i="29"/>
  <c r="O35" i="29"/>
  <c r="M35" i="29"/>
  <c r="L35" i="29"/>
  <c r="AH35" i="29"/>
  <c r="K35" i="29"/>
  <c r="C35" i="29"/>
  <c r="AH62" i="29"/>
  <c r="N62" i="29"/>
  <c r="O62" i="29"/>
  <c r="L62" i="29"/>
  <c r="K62" i="29"/>
  <c r="C62" i="29"/>
  <c r="M62" i="29"/>
  <c r="AH237" i="29"/>
  <c r="O237" i="29"/>
  <c r="C237" i="29"/>
  <c r="N237" i="29"/>
  <c r="M237" i="29"/>
  <c r="L237" i="29"/>
  <c r="K237" i="29"/>
  <c r="N250" i="29"/>
  <c r="L250" i="29"/>
  <c r="M250" i="29"/>
  <c r="O250" i="29"/>
  <c r="C250" i="29"/>
  <c r="K250" i="29"/>
  <c r="AH250" i="29"/>
  <c r="M193" i="29"/>
  <c r="L193" i="29"/>
  <c r="N193" i="29"/>
  <c r="AH193" i="29"/>
  <c r="K193" i="29"/>
  <c r="O193" i="29"/>
  <c r="C193" i="29"/>
  <c r="C267" i="29"/>
  <c r="K267" i="29"/>
  <c r="N267" i="29"/>
  <c r="O267" i="29"/>
  <c r="L267" i="29"/>
  <c r="AH267" i="29"/>
  <c r="M267" i="29"/>
  <c r="M243" i="29"/>
  <c r="K243" i="29"/>
  <c r="AH243" i="29"/>
  <c r="L243" i="29"/>
  <c r="O243" i="29"/>
  <c r="N243" i="29"/>
  <c r="C243" i="29"/>
  <c r="M192" i="29"/>
  <c r="N192" i="29"/>
  <c r="K192" i="29"/>
  <c r="C192" i="29"/>
  <c r="O192" i="29"/>
  <c r="AH192" i="29"/>
  <c r="L192" i="29"/>
  <c r="AH13" i="29"/>
  <c r="M13" i="29"/>
  <c r="C13" i="29"/>
  <c r="N13" i="29"/>
  <c r="O13" i="29"/>
  <c r="K13" i="29"/>
  <c r="L13" i="29"/>
  <c r="K14" i="29"/>
  <c r="O14" i="29"/>
  <c r="M14" i="29"/>
  <c r="AH14" i="29"/>
  <c r="L14" i="29"/>
  <c r="C14" i="29"/>
  <c r="N14" i="29"/>
  <c r="C160" i="29"/>
  <c r="N160" i="29"/>
  <c r="M160" i="29"/>
  <c r="K160" i="29"/>
  <c r="AH160" i="29"/>
  <c r="L160" i="29"/>
  <c r="O160" i="29"/>
  <c r="C263" i="29"/>
  <c r="M263" i="29"/>
  <c r="K263" i="29"/>
  <c r="O263" i="29"/>
  <c r="L263" i="29"/>
  <c r="AH263" i="29"/>
  <c r="N263" i="29"/>
  <c r="O256" i="29"/>
  <c r="N256" i="29"/>
  <c r="M256" i="29"/>
  <c r="K256" i="29"/>
  <c r="AH256" i="29"/>
  <c r="L256" i="29"/>
  <c r="C256" i="29"/>
  <c r="N44" i="29"/>
  <c r="K44" i="29"/>
  <c r="L44" i="29"/>
  <c r="AH44" i="29"/>
  <c r="O44" i="29"/>
  <c r="M44" i="29"/>
  <c r="C44" i="29"/>
  <c r="M87" i="29"/>
  <c r="L87" i="29"/>
  <c r="K87" i="29"/>
  <c r="O87" i="29"/>
  <c r="C87" i="29"/>
  <c r="N87" i="29"/>
  <c r="AH87" i="29"/>
  <c r="N48" i="29"/>
  <c r="O48" i="29"/>
  <c r="C48" i="29"/>
  <c r="AH48" i="29"/>
  <c r="L48" i="29"/>
  <c r="K48" i="29"/>
  <c r="M48" i="29"/>
  <c r="AH177" i="29"/>
  <c r="K177" i="29"/>
  <c r="O177" i="29"/>
  <c r="C177" i="29"/>
  <c r="L177" i="29"/>
  <c r="M177" i="29"/>
  <c r="N177" i="29"/>
  <c r="K255" i="29"/>
  <c r="O255" i="29"/>
  <c r="L255" i="29"/>
  <c r="AH255" i="29"/>
  <c r="C255" i="29"/>
  <c r="M255" i="29"/>
  <c r="N255" i="29"/>
  <c r="C211" i="29"/>
  <c r="O211" i="29"/>
  <c r="L211" i="29"/>
  <c r="N211" i="29"/>
  <c r="M211" i="29"/>
  <c r="K211" i="29"/>
  <c r="AH211" i="29"/>
  <c r="AH168" i="29"/>
  <c r="O168" i="29"/>
  <c r="N168" i="29"/>
  <c r="M168" i="29"/>
  <c r="K168" i="29"/>
  <c r="L168" i="29"/>
  <c r="C168" i="29"/>
  <c r="N206" i="29"/>
  <c r="C206" i="29"/>
  <c r="M206" i="29"/>
  <c r="L206" i="29"/>
  <c r="O206" i="29"/>
  <c r="K206" i="29"/>
  <c r="AH206" i="29"/>
  <c r="C139" i="29"/>
  <c r="AH139" i="29"/>
  <c r="N139" i="29"/>
  <c r="K139" i="29"/>
  <c r="O139" i="29"/>
  <c r="L139" i="29"/>
  <c r="M139" i="29"/>
  <c r="K10" i="29"/>
  <c r="C10" i="29"/>
  <c r="O10" i="29"/>
  <c r="AH10" i="29"/>
  <c r="L10" i="29"/>
  <c r="M10" i="29"/>
  <c r="N10" i="29"/>
  <c r="AH266" i="29"/>
  <c r="C266" i="29"/>
  <c r="L266" i="29"/>
  <c r="O266" i="29"/>
  <c r="N266" i="29"/>
  <c r="M266" i="29"/>
  <c r="K266" i="29"/>
  <c r="L197" i="29"/>
  <c r="M197" i="29"/>
  <c r="K197" i="29"/>
  <c r="N197" i="29"/>
  <c r="O197" i="29"/>
  <c r="C197" i="29"/>
  <c r="AH197" i="29"/>
  <c r="O42" i="29"/>
  <c r="K42" i="29"/>
  <c r="AH42" i="29"/>
  <c r="N42" i="29"/>
  <c r="C42" i="29"/>
  <c r="M42" i="29"/>
  <c r="L42" i="29"/>
  <c r="O278" i="29"/>
  <c r="K278" i="29"/>
  <c r="C278" i="29"/>
  <c r="L278" i="29"/>
  <c r="N278" i="29"/>
  <c r="AH278" i="29"/>
  <c r="M278" i="29"/>
  <c r="K187" i="29"/>
  <c r="N187" i="29"/>
  <c r="C187" i="29"/>
  <c r="L187" i="29"/>
  <c r="M187" i="29"/>
  <c r="O187" i="29"/>
  <c r="AH187" i="29"/>
  <c r="K214" i="29"/>
  <c r="M214" i="29"/>
  <c r="L214" i="29"/>
  <c r="AH214" i="29"/>
  <c r="C214" i="29"/>
  <c r="O214" i="29"/>
  <c r="N214" i="29"/>
  <c r="L163" i="29"/>
  <c r="K163" i="29"/>
  <c r="M163" i="29"/>
  <c r="AH163" i="29"/>
  <c r="N163" i="29"/>
  <c r="C163" i="29"/>
  <c r="O163" i="29"/>
  <c r="K124" i="29"/>
  <c r="N124" i="29"/>
  <c r="O124" i="29"/>
  <c r="L124" i="29"/>
  <c r="M124" i="29"/>
  <c r="C124" i="29"/>
  <c r="AH124" i="29"/>
  <c r="N125" i="29"/>
  <c r="M125" i="29"/>
  <c r="AH125" i="29"/>
  <c r="O125" i="29"/>
  <c r="K125" i="29"/>
  <c r="C125" i="29"/>
  <c r="L125" i="29"/>
  <c r="M75" i="29"/>
  <c r="K75" i="29"/>
  <c r="O75" i="29"/>
  <c r="C75" i="29"/>
  <c r="N75" i="29"/>
  <c r="L75" i="29"/>
  <c r="AH75" i="29"/>
  <c r="K114" i="29"/>
  <c r="N114" i="29"/>
  <c r="C114" i="29"/>
  <c r="M114" i="29"/>
  <c r="O114" i="29"/>
  <c r="L114" i="29"/>
  <c r="AH114" i="29"/>
  <c r="O121" i="29"/>
  <c r="AH121" i="29"/>
  <c r="M121" i="29"/>
  <c r="C121" i="29"/>
  <c r="N121" i="29"/>
  <c r="K121" i="29"/>
  <c r="L121" i="29"/>
  <c r="O47" i="29"/>
  <c r="L47" i="29"/>
  <c r="C47" i="29"/>
  <c r="N47" i="29"/>
  <c r="K47" i="29"/>
  <c r="M47" i="29"/>
  <c r="AH47" i="29"/>
  <c r="O103" i="29"/>
  <c r="N103" i="29"/>
  <c r="M115" i="29"/>
  <c r="L224" i="29"/>
  <c r="C33" i="29"/>
  <c r="O33" i="29"/>
  <c r="L33" i="29"/>
  <c r="M33" i="29"/>
  <c r="K33" i="29"/>
  <c r="N33" i="29"/>
  <c r="AH33" i="29"/>
  <c r="O155" i="29"/>
  <c r="L155" i="29"/>
  <c r="M155" i="29"/>
  <c r="C155" i="29"/>
  <c r="AH155" i="29"/>
  <c r="K155" i="29"/>
  <c r="N155" i="29"/>
  <c r="C219" i="29"/>
  <c r="K219" i="29"/>
  <c r="O219" i="29"/>
  <c r="M219" i="29"/>
  <c r="L219" i="29"/>
  <c r="N219" i="29"/>
  <c r="AH219" i="29"/>
  <c r="O6" i="29"/>
  <c r="M6" i="29"/>
  <c r="K6" i="29"/>
  <c r="N6" i="29"/>
  <c r="C6" i="29"/>
  <c r="L6" i="29"/>
  <c r="AH6" i="29"/>
  <c r="N132" i="29"/>
  <c r="C132" i="29"/>
  <c r="L132" i="29"/>
  <c r="O132" i="29"/>
  <c r="M132" i="29"/>
  <c r="K132" i="29"/>
  <c r="AH132" i="29"/>
  <c r="K223" i="29"/>
  <c r="O223" i="29"/>
  <c r="AH223" i="29"/>
  <c r="L223" i="29"/>
  <c r="M223" i="29"/>
  <c r="N223" i="29"/>
  <c r="C223" i="29"/>
  <c r="O141" i="29"/>
  <c r="C141" i="29"/>
  <c r="N141" i="29"/>
  <c r="M141" i="29"/>
  <c r="K141" i="29"/>
  <c r="AH141" i="29"/>
  <c r="L141" i="29"/>
  <c r="K232" i="29"/>
  <c r="C232" i="29"/>
  <c r="O232" i="29"/>
  <c r="M232" i="29"/>
  <c r="AH232" i="29"/>
  <c r="N232" i="29"/>
  <c r="L232" i="29"/>
  <c r="N101" i="29"/>
  <c r="C101" i="29"/>
  <c r="AH101" i="29"/>
  <c r="L101" i="29"/>
  <c r="K101" i="29"/>
  <c r="M101" i="29"/>
  <c r="O101" i="29"/>
  <c r="N195" i="29"/>
  <c r="O195" i="29"/>
  <c r="K195" i="29"/>
  <c r="C195" i="29"/>
  <c r="L195" i="29"/>
  <c r="M195" i="29"/>
  <c r="AH195" i="29"/>
  <c r="M170" i="29"/>
  <c r="N170" i="29"/>
  <c r="K170" i="29"/>
  <c r="L170" i="29"/>
  <c r="O170" i="29"/>
  <c r="C170" i="29"/>
  <c r="AH170" i="29"/>
  <c r="N173" i="29"/>
  <c r="K173" i="29"/>
  <c r="M173" i="29"/>
  <c r="O173" i="29"/>
  <c r="AH173" i="29"/>
  <c r="L173" i="29"/>
  <c r="C173" i="29"/>
  <c r="AH52" i="29"/>
  <c r="O52" i="29"/>
  <c r="C52" i="29"/>
  <c r="M52" i="29"/>
  <c r="K52" i="29"/>
  <c r="N52" i="29"/>
  <c r="L52" i="29"/>
  <c r="L279" i="29"/>
  <c r="K279" i="29"/>
  <c r="C279" i="29"/>
  <c r="O279" i="29"/>
  <c r="M279" i="29"/>
  <c r="N279" i="29"/>
  <c r="AH279" i="29"/>
  <c r="L20" i="29"/>
  <c r="K20" i="29"/>
  <c r="O20" i="29"/>
  <c r="C20" i="29"/>
  <c r="M20" i="29"/>
  <c r="N20" i="29"/>
  <c r="AH20" i="29"/>
  <c r="M259" i="29"/>
  <c r="K259" i="29"/>
  <c r="L259" i="29"/>
  <c r="N259" i="29"/>
  <c r="C259" i="29"/>
  <c r="O259" i="29"/>
  <c r="AH259" i="29"/>
  <c r="M196" i="29"/>
  <c r="C196" i="29"/>
  <c r="L196" i="29"/>
  <c r="O196" i="29"/>
  <c r="K196" i="29"/>
  <c r="N196" i="29"/>
  <c r="AH196" i="29"/>
  <c r="M240" i="29"/>
  <c r="N240" i="29"/>
  <c r="O240" i="29"/>
  <c r="L240" i="29"/>
  <c r="C240" i="29"/>
  <c r="AH240" i="29"/>
  <c r="K240" i="29"/>
  <c r="M152" i="29"/>
  <c r="K152" i="29"/>
  <c r="N152" i="29"/>
  <c r="AH152" i="29"/>
  <c r="O152" i="29"/>
  <c r="C152" i="29"/>
  <c r="L152" i="29"/>
  <c r="N249" i="29"/>
  <c r="C249" i="29"/>
  <c r="K249" i="29"/>
  <c r="M249" i="29"/>
  <c r="L249" i="29"/>
  <c r="AH249" i="29"/>
  <c r="O249" i="29"/>
  <c r="O66" i="29"/>
  <c r="M66" i="29"/>
  <c r="L66" i="29"/>
  <c r="N66" i="29"/>
  <c r="K66" i="29"/>
  <c r="C66" i="29"/>
  <c r="AH66" i="29"/>
  <c r="L34" i="29"/>
  <c r="M34" i="29"/>
  <c r="N34" i="29"/>
  <c r="O34" i="29"/>
  <c r="C34" i="29"/>
  <c r="AH34" i="29"/>
  <c r="K34" i="29"/>
  <c r="K143" i="29"/>
  <c r="N143" i="29"/>
  <c r="O143" i="29"/>
  <c r="C143" i="29"/>
  <c r="M143" i="29"/>
  <c r="AH143" i="29"/>
  <c r="L143" i="29"/>
  <c r="L85" i="29"/>
  <c r="AH85" i="29"/>
  <c r="K85" i="29"/>
  <c r="N85" i="29"/>
  <c r="O85" i="29"/>
  <c r="C85" i="29"/>
  <c r="M85" i="29"/>
  <c r="K145" i="29"/>
  <c r="O145" i="29"/>
  <c r="M145" i="29"/>
  <c r="N145" i="29"/>
  <c r="C145" i="29"/>
  <c r="L145" i="29"/>
  <c r="AH145" i="29"/>
  <c r="M106" i="29"/>
  <c r="K106" i="29"/>
  <c r="AH106" i="29"/>
  <c r="C106" i="29"/>
  <c r="N106" i="29"/>
  <c r="O106" i="29"/>
  <c r="L106" i="29"/>
  <c r="C37" i="29"/>
  <c r="L37" i="29"/>
  <c r="N37" i="29"/>
  <c r="M37" i="29"/>
  <c r="K37" i="29"/>
  <c r="O37" i="29"/>
  <c r="AH37" i="29"/>
  <c r="C188" i="29"/>
  <c r="M188" i="29"/>
  <c r="K188" i="29"/>
  <c r="N188" i="29"/>
  <c r="L188" i="29"/>
  <c r="O188" i="29"/>
  <c r="AH188" i="29"/>
  <c r="AH147" i="29"/>
  <c r="N147" i="29"/>
  <c r="K147" i="29"/>
  <c r="L147" i="29"/>
  <c r="M147" i="29"/>
  <c r="O147" i="29"/>
  <c r="C147" i="29"/>
  <c r="N277" i="29"/>
  <c r="L277" i="29"/>
  <c r="K277" i="29"/>
  <c r="O277" i="29"/>
  <c r="AH277" i="29"/>
  <c r="C277" i="29"/>
  <c r="M277" i="29"/>
  <c r="AH222" i="29"/>
  <c r="K222" i="29"/>
  <c r="N222" i="29"/>
  <c r="M222" i="29"/>
  <c r="L222" i="29"/>
  <c r="C222" i="29"/>
  <c r="O222" i="29"/>
  <c r="C239" i="29"/>
  <c r="L239" i="29"/>
  <c r="K239" i="29"/>
  <c r="M239" i="29"/>
  <c r="O239" i="29"/>
  <c r="N239" i="29"/>
  <c r="AH239" i="29"/>
  <c r="C103" i="29"/>
  <c r="AH125" i="16"/>
  <c r="AH151" i="16"/>
  <c r="O231" i="29"/>
  <c r="L15" i="29"/>
  <c r="K15" i="29"/>
  <c r="C15" i="29"/>
  <c r="AH15" i="29"/>
  <c r="M15" i="29"/>
  <c r="O15" i="29"/>
  <c r="N15" i="29"/>
  <c r="AH63" i="29"/>
  <c r="N63" i="29"/>
  <c r="C63" i="29"/>
  <c r="L63" i="29"/>
  <c r="M63" i="29"/>
  <c r="K63" i="29"/>
  <c r="O63" i="29"/>
  <c r="AH123" i="29"/>
  <c r="K123" i="29"/>
  <c r="C123" i="29"/>
  <c r="M123" i="29"/>
  <c r="L123" i="29"/>
  <c r="N123" i="29"/>
  <c r="O123" i="29"/>
  <c r="L134" i="29"/>
  <c r="C134" i="29"/>
  <c r="M134" i="29"/>
  <c r="N134" i="29"/>
  <c r="K134" i="29"/>
  <c r="AH134" i="29"/>
  <c r="O134" i="29"/>
  <c r="K226" i="29"/>
  <c r="M226" i="29"/>
  <c r="N226" i="29"/>
  <c r="L226" i="29"/>
  <c r="O226" i="29"/>
  <c r="C226" i="29"/>
  <c r="AH226" i="29"/>
  <c r="N5" i="29"/>
  <c r="K5" i="29"/>
  <c r="O5" i="29"/>
  <c r="M5" i="29"/>
  <c r="C5" i="29"/>
  <c r="L5" i="29"/>
  <c r="AH5" i="29"/>
  <c r="O161" i="29"/>
  <c r="AH161" i="29"/>
  <c r="C161" i="29"/>
  <c r="K161" i="29"/>
  <c r="L161" i="29"/>
  <c r="N161" i="29"/>
  <c r="M161" i="29"/>
  <c r="N4" i="29"/>
  <c r="C4" i="29"/>
  <c r="L4" i="29"/>
  <c r="K4" i="29"/>
  <c r="O4" i="29"/>
  <c r="M4" i="29"/>
  <c r="AH4" i="29"/>
  <c r="C268" i="29"/>
  <c r="M268" i="29"/>
  <c r="K268" i="29"/>
  <c r="N268" i="29"/>
  <c r="L268" i="29"/>
  <c r="O268" i="29"/>
  <c r="AH268" i="29"/>
  <c r="O269" i="29"/>
  <c r="K269" i="29"/>
  <c r="N269" i="29"/>
  <c r="L269" i="29"/>
  <c r="C269" i="29"/>
  <c r="AH269" i="29"/>
  <c r="M269" i="29"/>
  <c r="AH133" i="29"/>
  <c r="L133" i="29"/>
  <c r="K133" i="29"/>
  <c r="O133" i="29"/>
  <c r="M133" i="29"/>
  <c r="C133" i="29"/>
  <c r="N133" i="29"/>
  <c r="K80" i="29"/>
  <c r="M80" i="29"/>
  <c r="L80" i="29"/>
  <c r="C80" i="29"/>
  <c r="N80" i="29"/>
  <c r="AH80" i="29"/>
  <c r="O80" i="29"/>
  <c r="M51" i="29"/>
  <c r="L51" i="29"/>
  <c r="C51" i="29"/>
  <c r="O51" i="29"/>
  <c r="K51" i="29"/>
  <c r="N51" i="29"/>
  <c r="AH51" i="29"/>
  <c r="N53" i="29"/>
  <c r="L53" i="29"/>
  <c r="K53" i="29"/>
  <c r="C53" i="29"/>
  <c r="O53" i="29"/>
  <c r="AH53" i="29"/>
  <c r="M53" i="29"/>
  <c r="M159" i="29"/>
  <c r="O159" i="29"/>
  <c r="L159" i="29"/>
  <c r="N159" i="29"/>
  <c r="AH159" i="29"/>
  <c r="C159" i="29"/>
  <c r="K159" i="29"/>
  <c r="O230" i="29"/>
  <c r="N230" i="29"/>
  <c r="AH230" i="29"/>
  <c r="M230" i="29"/>
  <c r="K230" i="29"/>
  <c r="C230" i="29"/>
  <c r="L230" i="29"/>
  <c r="K67" i="29"/>
  <c r="C67" i="29"/>
  <c r="L67" i="29"/>
  <c r="M67" i="29"/>
  <c r="O67" i="29"/>
  <c r="N67" i="29"/>
  <c r="AH67" i="29"/>
  <c r="M54" i="29"/>
  <c r="AH54" i="29"/>
  <c r="K54" i="29"/>
  <c r="L54" i="29"/>
  <c r="C54" i="29"/>
  <c r="O54" i="29"/>
  <c r="N54" i="29"/>
  <c r="L233" i="29"/>
  <c r="M233" i="29"/>
  <c r="N233" i="29"/>
  <c r="K233" i="29"/>
  <c r="O233" i="29"/>
  <c r="AH233" i="29"/>
  <c r="C233" i="29"/>
  <c r="O198" i="29"/>
  <c r="AH198" i="29"/>
  <c r="M198" i="29"/>
  <c r="L198" i="29"/>
  <c r="C198" i="29"/>
  <c r="K198" i="29"/>
  <c r="N198" i="29"/>
  <c r="AH19" i="29"/>
  <c r="N19" i="29"/>
  <c r="K19" i="29"/>
  <c r="L19" i="29"/>
  <c r="O19" i="29"/>
  <c r="C19" i="29"/>
  <c r="M19" i="29"/>
  <c r="O242" i="29"/>
  <c r="K242" i="29"/>
  <c r="N242" i="29"/>
  <c r="L242" i="29"/>
  <c r="M242" i="29"/>
  <c r="C242" i="29"/>
  <c r="AH242" i="29"/>
  <c r="N241" i="29"/>
  <c r="K241" i="29"/>
  <c r="AH241" i="29"/>
  <c r="O241" i="29"/>
  <c r="L241" i="29"/>
  <c r="C241" i="29"/>
  <c r="M241" i="29"/>
  <c r="O97" i="29"/>
  <c r="N97" i="29"/>
  <c r="AH97" i="29"/>
  <c r="K97" i="29"/>
  <c r="L97" i="29"/>
  <c r="M97" i="29"/>
  <c r="C97" i="29"/>
  <c r="N228" i="29"/>
  <c r="O228" i="29"/>
  <c r="AH228" i="29"/>
  <c r="L228" i="29"/>
  <c r="M228" i="29"/>
  <c r="C228" i="29"/>
  <c r="K228" i="29"/>
  <c r="L103" i="29"/>
  <c r="L115" i="29"/>
  <c r="N231" i="29"/>
  <c r="O224" i="29"/>
  <c r="K71" i="29"/>
  <c r="N71" i="29"/>
  <c r="C71" i="29"/>
  <c r="L71" i="29"/>
  <c r="O71" i="29"/>
  <c r="AH71" i="29"/>
  <c r="M71" i="29"/>
  <c r="K89" i="29"/>
  <c r="C89" i="29"/>
  <c r="M89" i="29"/>
  <c r="L89" i="29"/>
  <c r="N89" i="29"/>
  <c r="AH89" i="29"/>
  <c r="O89" i="29"/>
  <c r="C99" i="29"/>
  <c r="K99" i="29"/>
  <c r="AH99" i="29"/>
  <c r="O99" i="29"/>
  <c r="L99" i="29"/>
  <c r="M99" i="29"/>
  <c r="N99" i="29"/>
  <c r="K158" i="29"/>
  <c r="N158" i="29"/>
  <c r="M158" i="29"/>
  <c r="O158" i="29"/>
  <c r="C158" i="29"/>
  <c r="L158" i="29"/>
  <c r="AH158" i="29"/>
  <c r="K116" i="29"/>
  <c r="N116" i="29"/>
  <c r="M116" i="29"/>
  <c r="AH116" i="29"/>
  <c r="O116" i="29"/>
  <c r="L116" i="29"/>
  <c r="C116" i="29"/>
  <c r="C218" i="29"/>
  <c r="AH218" i="29"/>
  <c r="L218" i="29"/>
  <c r="N218" i="29"/>
  <c r="M218" i="29"/>
  <c r="K218" i="29"/>
  <c r="O218" i="29"/>
  <c r="O150" i="29"/>
  <c r="L150" i="29"/>
  <c r="C150" i="29"/>
  <c r="M150" i="29"/>
  <c r="N150" i="29"/>
  <c r="AH150" i="29"/>
  <c r="K150" i="29"/>
  <c r="K179" i="29"/>
  <c r="O179" i="29"/>
  <c r="C179" i="29"/>
  <c r="M179" i="29"/>
  <c r="L179" i="29"/>
  <c r="N179" i="29"/>
  <c r="AH179" i="29"/>
  <c r="N25" i="29"/>
  <c r="K25" i="29"/>
  <c r="L25" i="29"/>
  <c r="O25" i="29"/>
  <c r="C25" i="29"/>
  <c r="M25" i="29"/>
  <c r="AH25" i="29"/>
  <c r="C142" i="29"/>
  <c r="N142" i="29"/>
  <c r="AH142" i="29"/>
  <c r="L142" i="29"/>
  <c r="O142" i="29"/>
  <c r="K142" i="29"/>
  <c r="M142" i="29"/>
  <c r="O148" i="29"/>
  <c r="AH148" i="29"/>
  <c r="L148" i="29"/>
  <c r="M148" i="29"/>
  <c r="K148" i="29"/>
  <c r="C148" i="29"/>
  <c r="N148" i="29"/>
  <c r="C210" i="29"/>
  <c r="L210" i="29"/>
  <c r="M210" i="29"/>
  <c r="N210" i="29"/>
  <c r="O210" i="29"/>
  <c r="K210" i="29"/>
  <c r="AH210" i="29"/>
  <c r="M70" i="29"/>
  <c r="L70" i="29"/>
  <c r="O70" i="29"/>
  <c r="K70" i="29"/>
  <c r="C70" i="29"/>
  <c r="N70" i="29"/>
  <c r="AH70" i="29"/>
  <c r="L26" i="29"/>
  <c r="K26" i="29"/>
  <c r="C26" i="29"/>
  <c r="O26" i="29"/>
  <c r="M26" i="29"/>
  <c r="N26" i="29"/>
  <c r="AH26" i="29"/>
  <c r="C258" i="29"/>
  <c r="K258" i="29"/>
  <c r="L258" i="29"/>
  <c r="O258" i="29"/>
  <c r="M258" i="29"/>
  <c r="AH258" i="29"/>
  <c r="N258" i="29"/>
  <c r="L55" i="29"/>
  <c r="N55" i="29"/>
  <c r="AH55" i="29"/>
  <c r="K55" i="29"/>
  <c r="O55" i="29"/>
  <c r="C55" i="29"/>
  <c r="M55" i="29"/>
  <c r="K69" i="29"/>
  <c r="AH69" i="29"/>
  <c r="M69" i="29"/>
  <c r="C69" i="29"/>
  <c r="N69" i="29"/>
  <c r="L69" i="29"/>
  <c r="O69" i="29"/>
  <c r="L281" i="29"/>
  <c r="AH281" i="29"/>
  <c r="M281" i="29"/>
  <c r="N281" i="29"/>
  <c r="C281" i="29"/>
  <c r="K281" i="29"/>
  <c r="O281" i="29"/>
  <c r="AH205" i="29"/>
  <c r="O205" i="29"/>
  <c r="K205" i="29"/>
  <c r="M205" i="29"/>
  <c r="N205" i="29"/>
  <c r="L205" i="29"/>
  <c r="C205" i="29"/>
  <c r="L151" i="29"/>
  <c r="K151" i="29"/>
  <c r="AH151" i="29"/>
  <c r="M151" i="29"/>
  <c r="N151" i="29"/>
  <c r="O151" i="29"/>
  <c r="C151" i="29"/>
  <c r="L61" i="29"/>
  <c r="AH61" i="29"/>
  <c r="N61" i="29"/>
  <c r="M61" i="29"/>
  <c r="O61" i="29"/>
  <c r="K61" i="29"/>
  <c r="C61" i="29"/>
  <c r="N178" i="29"/>
  <c r="L178" i="29"/>
  <c r="K178" i="29"/>
  <c r="M178" i="29"/>
  <c r="AH178" i="29"/>
  <c r="C178" i="29"/>
  <c r="O178" i="29"/>
  <c r="O245" i="29"/>
  <c r="N245" i="29"/>
  <c r="M245" i="29"/>
  <c r="C245" i="29"/>
  <c r="L245" i="29"/>
  <c r="K245" i="29"/>
  <c r="AH245" i="29"/>
  <c r="N175" i="29"/>
  <c r="K175" i="29"/>
  <c r="L175" i="29"/>
  <c r="C175" i="29"/>
  <c r="O175" i="29"/>
  <c r="M175" i="29"/>
  <c r="AH175" i="29"/>
  <c r="L117" i="29"/>
  <c r="K117" i="29"/>
  <c r="O117" i="29"/>
  <c r="AH117" i="29"/>
  <c r="N117" i="29"/>
  <c r="M117" i="29"/>
  <c r="C117" i="29"/>
  <c r="L238" i="29"/>
  <c r="N238" i="29"/>
  <c r="O238" i="29"/>
  <c r="M238" i="29"/>
  <c r="K238" i="29"/>
  <c r="C238" i="29"/>
  <c r="AH238" i="29"/>
  <c r="M247" i="29"/>
  <c r="C247" i="29"/>
  <c r="N247" i="29"/>
  <c r="O247" i="29"/>
  <c r="AH247" i="29"/>
  <c r="K247" i="29"/>
  <c r="L247" i="29"/>
  <c r="L110" i="29"/>
  <c r="M110" i="29"/>
  <c r="O110" i="29"/>
  <c r="C110" i="29"/>
  <c r="AH110" i="29"/>
  <c r="N110" i="29"/>
  <c r="K110" i="29"/>
  <c r="C260" i="29"/>
  <c r="L260" i="29"/>
  <c r="M260" i="29"/>
  <c r="O260" i="29"/>
  <c r="K260" i="29"/>
  <c r="AH260" i="29"/>
  <c r="N260" i="29"/>
  <c r="K169" i="29"/>
  <c r="N169" i="29"/>
  <c r="C169" i="29"/>
  <c r="M169" i="29"/>
  <c r="L169" i="29"/>
  <c r="O169" i="29"/>
  <c r="AH169" i="29"/>
  <c r="M103" i="29"/>
  <c r="N115" i="29"/>
  <c r="L231" i="29"/>
  <c r="AH13" i="16"/>
  <c r="AH52" i="16"/>
  <c r="AH60" i="16"/>
  <c r="AH8" i="16"/>
  <c r="AH133" i="16"/>
  <c r="AH144" i="16"/>
  <c r="AH140" i="16"/>
  <c r="AH117" i="16"/>
  <c r="AH101" i="16"/>
  <c r="AH74" i="16"/>
  <c r="AH72" i="16"/>
  <c r="AH126" i="16"/>
  <c r="AH36" i="16"/>
  <c r="AH115" i="16"/>
  <c r="AH97" i="16"/>
  <c r="AH104" i="16"/>
  <c r="AH146" i="16"/>
  <c r="AH31" i="16"/>
  <c r="AH87" i="16"/>
  <c r="AH15" i="16"/>
  <c r="AH114" i="16"/>
  <c r="AH127" i="16"/>
  <c r="N5" i="16"/>
  <c r="C5" i="16"/>
  <c r="L5" i="16"/>
  <c r="K5" i="16"/>
  <c r="O5" i="16"/>
  <c r="M5" i="16"/>
  <c r="AH16" i="16"/>
  <c r="AH118" i="16"/>
  <c r="AH91" i="16"/>
  <c r="AH76" i="16"/>
  <c r="AH149" i="16"/>
  <c r="AH22" i="16"/>
  <c r="AH18" i="16"/>
  <c r="AH12" i="16"/>
  <c r="AH128" i="16"/>
  <c r="AH99" i="16"/>
  <c r="AH92" i="16"/>
  <c r="AH28" i="16"/>
  <c r="AH67" i="16"/>
  <c r="AH46" i="16"/>
  <c r="AH123" i="16"/>
  <c r="AH55" i="16"/>
  <c r="AH102" i="16"/>
  <c r="AH33" i="16"/>
  <c r="AH66" i="16"/>
  <c r="AH106" i="16"/>
  <c r="AH103" i="16"/>
  <c r="AH71" i="16"/>
  <c r="AH17" i="16"/>
  <c r="AH21" i="16"/>
  <c r="C19" i="17" l="1"/>
  <c r="BA16" i="14"/>
  <c r="AJ16" i="14" s="1"/>
  <c r="BA44" i="14"/>
  <c r="AJ44" i="14" s="1"/>
  <c r="BA13" i="14"/>
  <c r="AJ13" i="14" s="1"/>
  <c r="BA17" i="14"/>
  <c r="AJ17" i="14" s="1"/>
  <c r="BA15" i="14"/>
  <c r="AJ15" i="14" s="1"/>
  <c r="BA14" i="14"/>
  <c r="AJ14" i="14" s="1"/>
  <c r="BA12" i="14"/>
  <c r="AJ12" i="14" s="1"/>
  <c r="BA47" i="14"/>
  <c r="AJ47" i="14" s="1"/>
  <c r="BA42" i="14"/>
  <c r="AJ42" i="14" s="1"/>
  <c r="BA43" i="14"/>
  <c r="AJ43" i="14" s="1"/>
  <c r="BA46" i="14"/>
  <c r="AJ46" i="14" s="1"/>
</calcChain>
</file>

<file path=xl/sharedStrings.xml><?xml version="1.0" encoding="utf-8"?>
<sst xmlns="http://schemas.openxmlformats.org/spreadsheetml/2006/main" count="13105" uniqueCount="1977">
  <si>
    <t>DESCRIPTION</t>
  </si>
  <si>
    <t xml:space="preserve"> (FLOOR/ROOM)</t>
  </si>
  <si>
    <t>Valve Schedule</t>
  </si>
  <si>
    <t>DNS Suffix</t>
  </si>
  <si>
    <t>2nd VLV Y/N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</si>
  <si>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</si>
  <si>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Baud Rate</t>
  </si>
  <si>
    <t>38400 kbs</t>
  </si>
  <si>
    <t>FLN Address</t>
  </si>
  <si>
    <t>Comm Protocol</t>
  </si>
  <si>
    <t>AHU1 supply fan VFD</t>
  </si>
  <si>
    <t>BACnet</t>
  </si>
  <si>
    <t>FLN Application Number</t>
  </si>
  <si>
    <t>Vendor</t>
  </si>
  <si>
    <t>Vendor Contact Name</t>
  </si>
  <si>
    <t>Vendor Contact Phone Number</t>
  </si>
  <si>
    <t>Equipment</t>
  </si>
  <si>
    <t>Integration Protocol</t>
  </si>
  <si>
    <t>Rep Contact</t>
  </si>
  <si>
    <t>Rep phone</t>
  </si>
  <si>
    <t>Rep email</t>
  </si>
  <si>
    <t>vendor contact name</t>
  </si>
  <si>
    <t>vendor contact phone</t>
  </si>
  <si>
    <t>vendor contact email</t>
  </si>
  <si>
    <t>VFD Startup Matrix</t>
  </si>
  <si>
    <t>ABB</t>
  </si>
  <si>
    <t>John Smith</t>
  </si>
  <si>
    <t>123-456-7890</t>
  </si>
  <si>
    <t>points list received? Y/N</t>
  </si>
  <si>
    <t>PROJECT INTEGRATIONS</t>
  </si>
  <si>
    <t>siemens270</t>
  </si>
  <si>
    <t>htg size</t>
  </si>
  <si>
    <t>duct area heating</t>
  </si>
  <si>
    <t>2341</t>
  </si>
  <si>
    <t>DISABL</t>
  </si>
  <si>
    <t>NOAUX</t>
  </si>
  <si>
    <t>NCLOSE</t>
  </si>
  <si>
    <t>4.8</t>
  </si>
  <si>
    <t>2218</t>
  </si>
  <si>
    <t>STE</t>
  </si>
  <si>
    <t>ACTIVE</t>
  </si>
  <si>
    <t xml:space="preserve">BE VERY CAREUL CHANGING ANY OF THESE VALUES!  </t>
  </si>
  <si>
    <t>THIS DATA IS WHAT GETS PUT INTO THE POINT INITIAL VALUES.</t>
  </si>
  <si>
    <t>IF YOU MESS IT UP YOUR BLASTER FILES WILL BE MESSED UP.</t>
  </si>
  <si>
    <t>DO NOT! PUT BLANK ROWS IN THE MIDDLE OF THIS LIST, IT WILL</t>
  </si>
  <si>
    <t>CAUSE VERY BAD THINGS TO HAPPEN WITH THE IMPORT FILE.</t>
  </si>
  <si>
    <t>73</t>
  </si>
  <si>
    <t>2503 APP Notes</t>
  </si>
  <si>
    <t>2020 APP Notes</t>
  </si>
  <si>
    <t>2023 APP Notes</t>
  </si>
  <si>
    <t>2030 APP Notes</t>
  </si>
  <si>
    <t>2033 APP Notes</t>
  </si>
  <si>
    <t>2301 APP Notes</t>
  </si>
  <si>
    <t>2464 APP Notes</t>
  </si>
  <si>
    <t>2051 APP Notes</t>
  </si>
  <si>
    <t>701 APP Notes</t>
  </si>
  <si>
    <t>2463 APP Notes</t>
  </si>
  <si>
    <t>2341 APP Notes</t>
  </si>
  <si>
    <t>2218 APP Notes</t>
  </si>
  <si>
    <t>2052 APP Notes</t>
  </si>
  <si>
    <t>14.8</t>
  </si>
  <si>
    <t>0.05</t>
  </si>
  <si>
    <t>2287</t>
  </si>
  <si>
    <t>0.2</t>
  </si>
  <si>
    <t>0.001</t>
  </si>
  <si>
    <t>2287 APP Notes</t>
  </si>
  <si>
    <t>Type</t>
  </si>
  <si>
    <t>INSIGHT1</t>
  </si>
  <si>
    <t>2530</t>
  </si>
  <si>
    <t>2533</t>
  </si>
  <si>
    <t>MSTP Application</t>
  </si>
  <si>
    <t>Point Number</t>
  </si>
  <si>
    <t>Point Name</t>
  </si>
  <si>
    <t>CTLR ADDRESS</t>
  </si>
  <si>
    <t>APPLICATION</t>
  </si>
  <si>
    <t>RMTMP OFFSET</t>
  </si>
  <si>
    <t>ROOM TEMP</t>
  </si>
  <si>
    <t>DAY CLG STPT</t>
  </si>
  <si>
    <t>NGT CLG STPT</t>
  </si>
  <si>
    <t>RM STPT MIN</t>
  </si>
  <si>
    <t>RM STPT MAX</t>
  </si>
  <si>
    <t>RM STPT DIAL</t>
  </si>
  <si>
    <t>STPT DIAL</t>
  </si>
  <si>
    <t>AUX TEMP AI3</t>
  </si>
  <si>
    <t>WALL SWITCH</t>
  </si>
  <si>
    <t>DI OVRD SW</t>
  </si>
  <si>
    <t>OVRD TIME</t>
  </si>
  <si>
    <t>NGT OVRD</t>
  </si>
  <si>
    <t>DI 2</t>
  </si>
  <si>
    <t>DI 3</t>
  </si>
  <si>
    <t>DAY.NGT</t>
  </si>
  <si>
    <t>CLG FLOW MIN</t>
  </si>
  <si>
    <t>CLG FLOW MAX</t>
  </si>
  <si>
    <t>35</t>
  </si>
  <si>
    <t>AIR VOLUME</t>
  </si>
  <si>
    <t>36</t>
  </si>
  <si>
    <t>FLOW COEFF</t>
  </si>
  <si>
    <t>37</t>
  </si>
  <si>
    <t>MTR3 COMD</t>
  </si>
  <si>
    <t>38</t>
  </si>
  <si>
    <t>MTR3 POS</t>
  </si>
  <si>
    <t>39</t>
  </si>
  <si>
    <t>MTR3 TIMING</t>
  </si>
  <si>
    <t>41</t>
  </si>
  <si>
    <t>DO 1</t>
  </si>
  <si>
    <t>42</t>
  </si>
  <si>
    <t>DO 2</t>
  </si>
  <si>
    <t>43</t>
  </si>
  <si>
    <t>DO 3</t>
  </si>
  <si>
    <t>44</t>
  </si>
  <si>
    <t>DO 4</t>
  </si>
  <si>
    <t>DO 5</t>
  </si>
  <si>
    <t>46</t>
  </si>
  <si>
    <t>DO 6</t>
  </si>
  <si>
    <t>48</t>
  </si>
  <si>
    <t>DMPR COMD</t>
  </si>
  <si>
    <t>49</t>
  </si>
  <si>
    <t>DMPR POS</t>
  </si>
  <si>
    <t>51</t>
  </si>
  <si>
    <t>MTR1 TIMING</t>
  </si>
  <si>
    <t>52</t>
  </si>
  <si>
    <t>MTR2 COMD</t>
  </si>
  <si>
    <t>53</t>
  </si>
  <si>
    <t>MTR2 POS</t>
  </si>
  <si>
    <t>55</t>
  </si>
  <si>
    <t>MTR2 TIMING</t>
  </si>
  <si>
    <t>56</t>
  </si>
  <si>
    <t>DMPR ROT ANG</t>
  </si>
  <si>
    <t>58</t>
  </si>
  <si>
    <t>MTR SETUP</t>
  </si>
  <si>
    <t>59</t>
  </si>
  <si>
    <t>DO DIR. REV</t>
  </si>
  <si>
    <t>CLG P GAIN</t>
  </si>
  <si>
    <t>64</t>
  </si>
  <si>
    <t>CLG I GAIN</t>
  </si>
  <si>
    <t>CLG D GAIN</t>
  </si>
  <si>
    <t>71</t>
  </si>
  <si>
    <t>FLOW P GAIN</t>
  </si>
  <si>
    <t>FLOW I GAIN</t>
  </si>
  <si>
    <t>FLOW D GAIN</t>
  </si>
  <si>
    <t>FLOW BIAS</t>
  </si>
  <si>
    <t>76</t>
  </si>
  <si>
    <t>CTL FLOW MIN</t>
  </si>
  <si>
    <t>77</t>
  </si>
  <si>
    <t>CTL FLOW MAX</t>
  </si>
  <si>
    <t>78</t>
  </si>
  <si>
    <t>CTL TEMP</t>
  </si>
  <si>
    <t>79</t>
  </si>
  <si>
    <t>CLG LOOPOUT</t>
  </si>
  <si>
    <t>84</t>
  </si>
  <si>
    <t>DMPR STATUS</t>
  </si>
  <si>
    <t>87</t>
  </si>
  <si>
    <t>CAL MODULE</t>
  </si>
  <si>
    <t>92</t>
  </si>
  <si>
    <t>CTL STPT</t>
  </si>
  <si>
    <t>93</t>
  </si>
  <si>
    <t>FLOW STPT</t>
  </si>
  <si>
    <t>94</t>
  </si>
  <si>
    <t>CAL AIR</t>
  </si>
  <si>
    <t>CAL SETUP</t>
  </si>
  <si>
    <t>96</t>
  </si>
  <si>
    <t>CAL TIMER</t>
  </si>
  <si>
    <t>97</t>
  </si>
  <si>
    <t>DUCT AREA</t>
  </si>
  <si>
    <t>98</t>
  </si>
  <si>
    <t>LOOP TIME</t>
  </si>
  <si>
    <t>99</t>
  </si>
  <si>
    <t>ERROR STATUS</t>
  </si>
  <si>
    <t>Device</t>
  </si>
  <si>
    <t xml:space="preserve">                                                                                                                                                       THIS LOOKUP TABLE IS SET UP FOR N/O VALVES FOR REHEAT APPLICATIONS.  IT CAN BE EASILY CHANGED FOR N/C APPLICATIONS BY USING THE "VALVE REFERENCE" WORKSHEET.  FILTER THE VALVES BASED ON YOUR CRITERIA AND COPY THE PART NUMBERS INTO THE TABLE.  THIS LOOKUP TABLE HAS A SECTION FOR BOTH 2-WAY AND 3-WAY VALVES, SO BE SURE AND FILTER FOR BOTH PART NUMBER SETS IN THE "VALVE REFERENCE" WORKSHEET.  THE GPM RANGES ARE CALCULATED FOR MAX PRESSURE DROPS OF 3, 4, 5, &amp; 6 PSI.  CHANGE THE MAX PRESSURE DROP NUMBER AND THE GPM SETTINGS WILL AUTO ADJUST.</t>
  </si>
  <si>
    <t>NET</t>
  </si>
  <si>
    <t>DEVICE INSTANCE</t>
  </si>
  <si>
    <t>2022</t>
  </si>
  <si>
    <t>2022 APP Notes</t>
  </si>
  <si>
    <t>2024 APP Notes</t>
  </si>
  <si>
    <t>Device Instance</t>
  </si>
  <si>
    <t>Height</t>
  </si>
  <si>
    <t>Exhaust</t>
  </si>
  <si>
    <t>Box Size</t>
  </si>
  <si>
    <t>Tracking</t>
  </si>
  <si>
    <t>Mode</t>
  </si>
  <si>
    <t>Volume</t>
  </si>
  <si>
    <t>Offset</t>
  </si>
  <si>
    <t>THIS PAGE IS FOR TESTING FORMULAS ETC…</t>
  </si>
  <si>
    <t>PNL</t>
  </si>
  <si>
    <t>LAN</t>
  </si>
  <si>
    <t>ADD</t>
  </si>
  <si>
    <t>2531 APP Notes</t>
  </si>
  <si>
    <t>Y/N</t>
  </si>
  <si>
    <t>square and round duct on the same sheet</t>
  </si>
  <si>
    <t>use these values for the duct if you have both</t>
  </si>
  <si>
    <t>2533 APP Notes</t>
  </si>
  <si>
    <t>APP 2218</t>
  </si>
  <si>
    <t>rectangle vs. circular duct</t>
  </si>
  <si>
    <t>tracking mode</t>
  </si>
  <si>
    <t>exh duct sqft calc</t>
  </si>
  <si>
    <t>pt60</t>
  </si>
  <si>
    <t>add height / width for rectangle duct</t>
  </si>
  <si>
    <t>volume offset</t>
  </si>
  <si>
    <t>tracking</t>
  </si>
  <si>
    <t>pt180</t>
  </si>
  <si>
    <t>pt82</t>
  </si>
  <si>
    <t>pt3</t>
  </si>
  <si>
    <t>APP 2051</t>
  </si>
  <si>
    <t>APP 2463</t>
  </si>
  <si>
    <t>7.85</t>
  </si>
  <si>
    <t>9.42</t>
  </si>
  <si>
    <t>6.28</t>
  </si>
  <si>
    <t>4.71</t>
  </si>
  <si>
    <t>3.925</t>
  </si>
  <si>
    <t>10.99</t>
  </si>
  <si>
    <t>12.56</t>
  </si>
  <si>
    <t>14.13</t>
  </si>
  <si>
    <t>2026</t>
  </si>
  <si>
    <t>2025</t>
  </si>
  <si>
    <t>2027</t>
  </si>
  <si>
    <t>2032</t>
  </si>
  <si>
    <t>2216</t>
  </si>
  <si>
    <t>FCU</t>
  </si>
  <si>
    <t>HWV</t>
  </si>
  <si>
    <t>CWV</t>
  </si>
  <si>
    <t>ELEC</t>
  </si>
  <si>
    <t>HTG</t>
  </si>
  <si>
    <t>STAGES</t>
  </si>
  <si>
    <t>2020</t>
  </si>
  <si>
    <t xml:space="preserve">GPM Table </t>
  </si>
  <si>
    <t>2051</t>
  </si>
  <si>
    <t>2024</t>
  </si>
  <si>
    <t>540-100</t>
  </si>
  <si>
    <t>540-110</t>
  </si>
  <si>
    <t>APP</t>
  </si>
  <si>
    <t>Plant Design.</t>
  </si>
  <si>
    <t>round duct</t>
  </si>
  <si>
    <t>2025 APP Notes</t>
  </si>
  <si>
    <t>2026 APP Notes</t>
  </si>
  <si>
    <t>2027 APP Notes</t>
  </si>
  <si>
    <t>2032 APP Notes</t>
  </si>
  <si>
    <t>TORQUE</t>
  </si>
  <si>
    <t>DAMPER</t>
  </si>
  <si>
    <t>VELO</t>
  </si>
  <si>
    <t>/SQR FT</t>
  </si>
  <si>
    <t>REQ</t>
  </si>
  <si>
    <t>I.D.</t>
  </si>
  <si>
    <t>SQ FT</t>
  </si>
  <si>
    <t>FPM</t>
  </si>
  <si>
    <t>REQUIRED</t>
  </si>
  <si>
    <t>NUMBER</t>
  </si>
  <si>
    <t>PWR</t>
  </si>
  <si>
    <t>MFG</t>
  </si>
  <si>
    <t>ACTUATOR DESCRIPTION</t>
  </si>
  <si>
    <t>SERVICE/</t>
  </si>
  <si>
    <t>FUNCTION</t>
  </si>
  <si>
    <t>SIEMENS</t>
  </si>
  <si>
    <t>GCA161.1P</t>
  </si>
  <si>
    <t>SAFETY</t>
  </si>
  <si>
    <t>FACTOR</t>
  </si>
  <si>
    <t>AE-1</t>
  </si>
  <si>
    <t>62</t>
  </si>
  <si>
    <t>BLADE</t>
  </si>
  <si>
    <t>CONFIGURATION</t>
  </si>
  <si>
    <t>SIG</t>
  </si>
  <si>
    <t>ACTION</t>
  </si>
  <si>
    <t>P/N</t>
  </si>
  <si>
    <t>GCA126.1U</t>
  </si>
  <si>
    <t>2543</t>
  </si>
  <si>
    <t>GCA121.1P</t>
  </si>
  <si>
    <t>GCA121.1U</t>
  </si>
  <si>
    <t>GCA126.1P</t>
  </si>
  <si>
    <t>GCA221.1U</t>
  </si>
  <si>
    <t>GCA226.1U</t>
  </si>
  <si>
    <t>GCA131.1U</t>
  </si>
  <si>
    <t>GCA131.1P</t>
  </si>
  <si>
    <t>GCA136.1P</t>
  </si>
  <si>
    <t>GCA136.1U</t>
  </si>
  <si>
    <t>GCA161.1U</t>
  </si>
  <si>
    <t>GCA166.1U</t>
  </si>
  <si>
    <t>GCA166.1P</t>
  </si>
  <si>
    <t>GMA121.1U</t>
  </si>
  <si>
    <t>GMA126.1U</t>
  </si>
  <si>
    <t>GMA131.1P</t>
  </si>
  <si>
    <t>GMA136.1U</t>
  </si>
  <si>
    <t>GMA161.1U</t>
  </si>
  <si>
    <t>GMA166.1P</t>
  </si>
  <si>
    <t>GMA166.1U</t>
  </si>
  <si>
    <t>GMA221.1U</t>
  </si>
  <si>
    <t>120VAC</t>
  </si>
  <si>
    <t>GMA226.1U</t>
  </si>
  <si>
    <t>Drawing</t>
  </si>
  <si>
    <t>Number</t>
  </si>
  <si>
    <t>CH / ID</t>
  </si>
  <si>
    <t xml:space="preserve">Wireless  </t>
  </si>
  <si>
    <t>2534</t>
  </si>
  <si>
    <t>2532</t>
  </si>
  <si>
    <t>9</t>
  </si>
  <si>
    <t>SSC81U</t>
  </si>
  <si>
    <t>EBLN1</t>
  </si>
  <si>
    <t>Network Numbering</t>
  </si>
  <si>
    <t>Location</t>
  </si>
  <si>
    <t>Description</t>
  </si>
  <si>
    <t>BLN Name</t>
  </si>
  <si>
    <t>Site Name</t>
  </si>
  <si>
    <t>Object/NODE Name</t>
  </si>
  <si>
    <t>IP Address</t>
  </si>
  <si>
    <t>Subnet Mask</t>
  </si>
  <si>
    <t>Gateway</t>
  </si>
  <si>
    <t>BACnet Device Instance</t>
  </si>
  <si>
    <t>IP</t>
  </si>
  <si>
    <t>ALN</t>
  </si>
  <si>
    <t>MAC Address</t>
  </si>
  <si>
    <t>APOGEE SERVER</t>
  </si>
  <si>
    <t>DNS Server Primary</t>
  </si>
  <si>
    <t>DNS Server Secondary</t>
  </si>
  <si>
    <t>129.82.14.150</t>
  </si>
  <si>
    <t>129.82.103.78</t>
  </si>
  <si>
    <t>129.82.14.1</t>
  </si>
  <si>
    <t>255.255.255.0</t>
  </si>
  <si>
    <t>129.82.14.162</t>
  </si>
  <si>
    <t>System Name</t>
  </si>
  <si>
    <t>3.14</t>
  </si>
  <si>
    <t>5.495</t>
  </si>
  <si>
    <t>8.635</t>
  </si>
  <si>
    <t>10.205</t>
  </si>
  <si>
    <t>11.775</t>
  </si>
  <si>
    <t>13.345</t>
  </si>
  <si>
    <t>14.915</t>
  </si>
  <si>
    <t>15.7</t>
  </si>
  <si>
    <t>7.065</t>
  </si>
  <si>
    <t>inlet inches</t>
  </si>
  <si>
    <t>width</t>
  </si>
  <si>
    <t>height</t>
  </si>
  <si>
    <t>BOX ID #</t>
  </si>
  <si>
    <t>Domain Controller Secondary</t>
  </si>
  <si>
    <t>192.82.14.107</t>
  </si>
  <si>
    <t>0300001</t>
  </si>
  <si>
    <t>CSUSRC</t>
  </si>
  <si>
    <t>Domain Controller Primary</t>
  </si>
  <si>
    <t>RM 1480</t>
  </si>
  <si>
    <t>SRC_OWS_12_09</t>
  </si>
  <si>
    <t>Domain Name: CONTROLS DOMAIN</t>
  </si>
  <si>
    <t>APPLICATIONS LISTED IN YELLOW ARE THE DEFAULT INITIAL VALUES AND NEED TO BE DOUBLE CHECKED</t>
  </si>
  <si>
    <t>CP/XFMR</t>
  </si>
  <si>
    <t>point</t>
  </si>
  <si>
    <t>AUX</t>
  </si>
  <si>
    <t>2503</t>
  </si>
  <si>
    <t>2464</t>
  </si>
  <si>
    <t>UNOCC</t>
  </si>
  <si>
    <t>CLOSE</t>
  </si>
  <si>
    <t>FLN</t>
  </si>
  <si>
    <t>FLN Description (FLN Number)</t>
  </si>
  <si>
    <t>Circular</t>
  </si>
  <si>
    <t>Flat Oval</t>
  </si>
  <si>
    <t>R</t>
  </si>
  <si>
    <t>C</t>
  </si>
  <si>
    <t>O</t>
  </si>
  <si>
    <t>Night Enabled</t>
  </si>
  <si>
    <t>Dimension2</t>
  </si>
  <si>
    <t>Dimension1</t>
  </si>
  <si>
    <t>Duct Shape</t>
  </si>
  <si>
    <t>Duct Enable</t>
  </si>
  <si>
    <t>Units</t>
  </si>
  <si>
    <t>For Circular: Not used</t>
  </si>
  <si>
    <t>SI</t>
  </si>
  <si>
    <t>US</t>
  </si>
  <si>
    <t>U</t>
  </si>
  <si>
    <t>I</t>
  </si>
  <si>
    <t>Yes</t>
  </si>
  <si>
    <t>No</t>
  </si>
  <si>
    <t>Y</t>
  </si>
  <si>
    <t>N</t>
  </si>
  <si>
    <t>For This Field:</t>
  </si>
  <si>
    <t>Type This:</t>
  </si>
  <si>
    <t>Or Type This:</t>
  </si>
  <si>
    <r>
      <t xml:space="preserve">For Rectangular: </t>
    </r>
    <r>
      <rPr>
        <b/>
        <sz val="10"/>
        <rFont val="Arial"/>
        <family val="2"/>
      </rPr>
      <t xml:space="preserve">Width </t>
    </r>
    <r>
      <rPr>
        <sz val="10"/>
        <rFont val="Arial"/>
        <family val="2"/>
      </rPr>
      <t>in</t>
    </r>
    <r>
      <rPr>
        <b/>
        <sz val="10"/>
        <rFont val="Arial"/>
        <family val="2"/>
      </rPr>
      <t xml:space="preserve"> inches (cm)</t>
    </r>
  </si>
  <si>
    <r>
      <t xml:space="preserve">For Circular: </t>
    </r>
    <r>
      <rPr>
        <b/>
        <sz val="10"/>
        <rFont val="Arial"/>
        <family val="2"/>
      </rPr>
      <t>Diameter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</si>
  <si>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Flat Oval: </t>
    </r>
    <r>
      <rPr>
        <b/>
        <sz val="10"/>
        <rFont val="Arial"/>
        <family val="2"/>
      </rPr>
      <t>Diameter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</si>
  <si>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Rectangular: </t>
    </r>
    <r>
      <rPr>
        <b/>
        <sz val="10"/>
        <rFont val="Arial"/>
        <family val="2"/>
      </rPr>
      <t>Height</t>
    </r>
    <r>
      <rPr>
        <sz val="10"/>
        <rFont val="Arial"/>
        <family val="2"/>
      </rPr>
      <t xml:space="preserve"> in </t>
    </r>
    <r>
      <rPr>
        <b/>
        <sz val="10"/>
        <rFont val="Arial"/>
        <family val="2"/>
      </rPr>
      <t>inches (cm)</t>
    </r>
  </si>
  <si>
    <r>
      <t xml:space="preserve">For Flat Oval: </t>
    </r>
    <r>
      <rPr>
        <b/>
        <sz val="10"/>
        <rFont val="Arial"/>
        <family val="2"/>
      </rPr>
      <t>Height</t>
    </r>
    <r>
      <rPr>
        <sz val="10"/>
        <rFont val="Arial"/>
        <family val="2"/>
      </rPr>
      <t xml:space="preserve"> in</t>
    </r>
    <r>
      <rPr>
        <b/>
        <sz val="10"/>
        <rFont val="Arial"/>
        <family val="2"/>
      </rPr>
      <t xml:space="preserve"> inches (cm)</t>
    </r>
  </si>
  <si>
    <t>Rectangular</t>
  </si>
  <si>
    <t>Insight</t>
  </si>
  <si>
    <t>BLN</t>
  </si>
  <si>
    <t>Field Panel</t>
  </si>
  <si>
    <t>SysName</t>
  </si>
  <si>
    <t>UserName</t>
  </si>
  <si>
    <t>Descriptor</t>
  </si>
  <si>
    <t>Address</t>
  </si>
  <si>
    <t>Application</t>
  </si>
  <si>
    <t>Graphic</t>
  </si>
  <si>
    <t>BoxID</t>
  </si>
  <si>
    <t>Dust Shape</t>
  </si>
  <si>
    <t>Night Over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</si>
  <si>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</si>
  <si>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</si>
  <si>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</si>
  <si>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</si>
  <si>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</si>
  <si>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</si>
  <si>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</si>
  <si>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</si>
  <si>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</si>
  <si>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</si>
  <si>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</si>
  <si>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</si>
  <si>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</si>
  <si>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</si>
  <si>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</si>
  <si>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</si>
  <si>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</si>
  <si>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</si>
  <si>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</si>
  <si>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</si>
  <si>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</si>
  <si>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</si>
  <si>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</si>
  <si>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</si>
  <si>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</si>
  <si>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</si>
  <si>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</si>
  <si>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</si>
  <si>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</si>
  <si>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</si>
  <si>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</si>
  <si>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</si>
  <si>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</si>
  <si>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</si>
  <si>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</si>
  <si>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</si>
  <si>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</si>
  <si>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</si>
  <si>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</si>
  <si>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</si>
  <si>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</si>
  <si>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</si>
  <si>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</si>
  <si>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</si>
  <si>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</si>
  <si>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</si>
  <si>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</si>
  <si>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</si>
  <si>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</si>
  <si>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</si>
  <si>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</si>
  <si>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</si>
  <si>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</si>
  <si>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</si>
  <si>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</si>
  <si>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</si>
  <si>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</si>
  <si>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</si>
  <si>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</si>
  <si>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</si>
  <si>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</si>
  <si>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</si>
  <si>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</si>
  <si>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</si>
  <si>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</si>
  <si>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</si>
  <si>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</si>
  <si>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</si>
  <si>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</si>
  <si>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</si>
  <si>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</si>
  <si>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</si>
  <si>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</si>
  <si>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</si>
  <si>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</si>
  <si>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P78</t>
  </si>
  <si>
    <t>P79</t>
  </si>
  <si>
    <t>P80</t>
  </si>
  <si>
    <t>P81</t>
  </si>
  <si>
    <t>P82</t>
  </si>
  <si>
    <t>P83</t>
  </si>
  <si>
    <t>P84</t>
  </si>
  <si>
    <t>P85</t>
  </si>
  <si>
    <t>P86</t>
  </si>
  <si>
    <t>P87</t>
  </si>
  <si>
    <t>P88</t>
  </si>
  <si>
    <t>P89</t>
  </si>
  <si>
    <t>P90</t>
  </si>
  <si>
    <t>P91</t>
  </si>
  <si>
    <t>P92</t>
  </si>
  <si>
    <t>P93</t>
  </si>
  <si>
    <t>P94</t>
  </si>
  <si>
    <t>P95</t>
  </si>
  <si>
    <t>P96</t>
  </si>
  <si>
    <t>P97</t>
  </si>
  <si>
    <t>P98</t>
  </si>
  <si>
    <t>P99</t>
  </si>
  <si>
    <t/>
  </si>
  <si>
    <t>74</t>
  </si>
  <si>
    <t>65</t>
  </si>
  <si>
    <t>90</t>
  </si>
  <si>
    <t>NO</t>
  </si>
  <si>
    <t>OFF</t>
  </si>
  <si>
    <t>0</t>
  </si>
  <si>
    <t>220</t>
  </si>
  <si>
    <t>2200</t>
  </si>
  <si>
    <t>1</t>
  </si>
  <si>
    <t>130</t>
  </si>
  <si>
    <t>50</t>
  </si>
  <si>
    <t>CAL</t>
  </si>
  <si>
    <t>4</t>
  </si>
  <si>
    <t>12</t>
  </si>
  <si>
    <t>5</t>
  </si>
  <si>
    <t>82</t>
  </si>
  <si>
    <t>DAY</t>
  </si>
  <si>
    <t>20</t>
  </si>
  <si>
    <t>0.01</t>
  </si>
  <si>
    <t>75</t>
  </si>
  <si>
    <t>FLOW</t>
  </si>
  <si>
    <t>REV BY:</t>
  </si>
  <si>
    <t>REV DATE:</t>
  </si>
  <si>
    <t>JOB NUMBER:</t>
  </si>
  <si>
    <t>JOB NAME:</t>
  </si>
  <si>
    <t>TEC ADDRESS</t>
  </si>
  <si>
    <t>CFM</t>
  </si>
  <si>
    <t xml:space="preserve">COMMUNICATION </t>
  </si>
  <si>
    <t>CHK</t>
  </si>
  <si>
    <t>TEC</t>
  </si>
  <si>
    <t>APPL #</t>
  </si>
  <si>
    <t>BOX SIZE</t>
  </si>
  <si>
    <t>COOLING</t>
  </si>
  <si>
    <t>HEATING</t>
  </si>
  <si>
    <t>AHU</t>
  </si>
  <si>
    <t>FAN</t>
  </si>
  <si>
    <t>DAMP</t>
  </si>
  <si>
    <t>RAD</t>
  </si>
  <si>
    <t>HW</t>
  </si>
  <si>
    <t>TO</t>
  </si>
  <si>
    <t>CHK'D</t>
  </si>
  <si>
    <t>OUT</t>
  </si>
  <si>
    <t>COMMENTS/</t>
  </si>
  <si>
    <t>PART</t>
  </si>
  <si>
    <t>#</t>
  </si>
  <si>
    <t>SS</t>
  </si>
  <si>
    <t>MIN</t>
  </si>
  <si>
    <t>MAX</t>
  </si>
  <si>
    <t>OPER</t>
  </si>
  <si>
    <t>VLVS</t>
  </si>
  <si>
    <t>VLV</t>
  </si>
  <si>
    <t>SNSR</t>
  </si>
  <si>
    <t>STAT</t>
  </si>
  <si>
    <t>BY:</t>
  </si>
  <si>
    <t>DATE</t>
  </si>
  <si>
    <t>PROBLEMS</t>
  </si>
  <si>
    <t xml:space="preserve"> </t>
  </si>
  <si>
    <t>ID</t>
  </si>
  <si>
    <t>AZM Y/N</t>
  </si>
  <si>
    <t>BB VLV Y/N</t>
  </si>
  <si>
    <t>3W-NC VLV Y/N</t>
  </si>
  <si>
    <t>Insight Name</t>
  </si>
  <si>
    <t>Panel Number</t>
  </si>
  <si>
    <t>Name</t>
  </si>
  <si>
    <t>(you can add more if needed)</t>
  </si>
  <si>
    <t>Apogee</t>
  </si>
  <si>
    <t>BOX ID TAG</t>
  </si>
  <si>
    <t>Sizing Information</t>
  </si>
  <si>
    <t>Model #</t>
  </si>
  <si>
    <t>VALVE BODY DATA</t>
  </si>
  <si>
    <t>ACTUATOR DATA</t>
  </si>
  <si>
    <t>GPM</t>
  </si>
  <si>
    <t>Size</t>
  </si>
  <si>
    <t>Config</t>
  </si>
  <si>
    <t>Max Pd</t>
  </si>
  <si>
    <t>Cal. Cv</t>
  </si>
  <si>
    <t>Actual Cv</t>
  </si>
  <si>
    <t>Pd</t>
  </si>
  <si>
    <t>Act.</t>
  </si>
  <si>
    <t>Body</t>
  </si>
  <si>
    <t>Packing</t>
  </si>
  <si>
    <t>Trim</t>
  </si>
  <si>
    <t>Flow Ch</t>
  </si>
  <si>
    <t>Conn</t>
  </si>
  <si>
    <t>Model</t>
  </si>
  <si>
    <t>Signal</t>
  </si>
  <si>
    <t>Spring</t>
  </si>
  <si>
    <t>Power</t>
  </si>
  <si>
    <t>Notes</t>
  </si>
  <si>
    <t>2-Way</t>
  </si>
  <si>
    <t>Column1</t>
  </si>
  <si>
    <t>3-Way</t>
  </si>
  <si>
    <t>-</t>
  </si>
  <si>
    <t>THIS SECTION TOTALIZES THE VAVES (BE SURE TO ADD IN ADDITONAL WORKSHEETS)</t>
  </si>
  <si>
    <t>3-WAY VALVES</t>
  </si>
  <si>
    <t>TOTAL VLV COUNT</t>
  </si>
  <si>
    <t>2-WAY VALVES</t>
  </si>
  <si>
    <t>NOTE:</t>
  </si>
  <si>
    <t>GPM RANGE</t>
  </si>
  <si>
    <t>CV</t>
  </si>
  <si>
    <t>MODEL NUMBER</t>
  </si>
  <si>
    <t>SIZE</t>
  </si>
  <si>
    <t>02030</t>
  </si>
  <si>
    <t>02064</t>
  </si>
  <si>
    <t>02032</t>
  </si>
  <si>
    <t>02065</t>
  </si>
  <si>
    <t>02034</t>
  </si>
  <si>
    <t>02066</t>
  </si>
  <si>
    <t>02036</t>
  </si>
  <si>
    <t>02067</t>
  </si>
  <si>
    <t>02038</t>
  </si>
  <si>
    <t>02068</t>
  </si>
  <si>
    <t>02041</t>
  </si>
  <si>
    <t>02069</t>
  </si>
  <si>
    <t>02044</t>
  </si>
  <si>
    <t>02070</t>
  </si>
  <si>
    <t>02046</t>
  </si>
  <si>
    <t>02071</t>
  </si>
  <si>
    <t>02084</t>
  </si>
  <si>
    <t>02086</t>
  </si>
  <si>
    <t>1.25</t>
  </si>
  <si>
    <t>02087</t>
  </si>
  <si>
    <t>02089</t>
  </si>
  <si>
    <t>1.5</t>
  </si>
  <si>
    <t>ENTER ACTUATOR #</t>
  </si>
  <si>
    <t>ENTER MAX PRESSURE DROP</t>
  </si>
  <si>
    <t>MODEL</t>
  </si>
  <si>
    <t>PACKING</t>
  </si>
  <si>
    <t>TRIM</t>
  </si>
  <si>
    <t>CONFIG</t>
  </si>
  <si>
    <t>FAIL</t>
  </si>
  <si>
    <t>ANSI</t>
  </si>
  <si>
    <t>CONN</t>
  </si>
  <si>
    <t>BODY</t>
  </si>
  <si>
    <t>00210</t>
  </si>
  <si>
    <t>1.0</t>
  </si>
  <si>
    <t>0.5</t>
  </si>
  <si>
    <t>Standard</t>
  </si>
  <si>
    <t>BR</t>
  </si>
  <si>
    <t>Linear</t>
  </si>
  <si>
    <t>125</t>
  </si>
  <si>
    <t>NPT</t>
  </si>
  <si>
    <t>Zone-Globe</t>
  </si>
  <si>
    <t>00211</t>
  </si>
  <si>
    <t>2.5</t>
  </si>
  <si>
    <t>00212</t>
  </si>
  <si>
    <t>4.1</t>
  </si>
  <si>
    <t>0.75</t>
  </si>
  <si>
    <t>00213</t>
  </si>
  <si>
    <t>7.0</t>
  </si>
  <si>
    <t>00214</t>
  </si>
  <si>
    <t>4.0</t>
  </si>
  <si>
    <t>00510</t>
  </si>
  <si>
    <t>SWEAT</t>
  </si>
  <si>
    <t>00511</t>
  </si>
  <si>
    <t>00512</t>
  </si>
  <si>
    <t>00513</t>
  </si>
  <si>
    <t>00514</t>
  </si>
  <si>
    <t>00230</t>
  </si>
  <si>
    <t>00231</t>
  </si>
  <si>
    <t>00232</t>
  </si>
  <si>
    <t>00233</t>
  </si>
  <si>
    <t>7</t>
  </si>
  <si>
    <t>00234</t>
  </si>
  <si>
    <t>00530</t>
  </si>
  <si>
    <t>00531</t>
  </si>
  <si>
    <t>00532</t>
  </si>
  <si>
    <t>00533</t>
  </si>
  <si>
    <t>00534</t>
  </si>
  <si>
    <t>01100</t>
  </si>
  <si>
    <t>NC</t>
  </si>
  <si>
    <t>250</t>
  </si>
  <si>
    <t>FxF</t>
  </si>
  <si>
    <t>Zone-Powermite</t>
  </si>
  <si>
    <t>INSTRUCTIONS (AS IN, "HOW TO USE ME!")</t>
  </si>
  <si>
    <t>01101</t>
  </si>
  <si>
    <t>0.4</t>
  </si>
  <si>
    <t>UMxF</t>
  </si>
  <si>
    <t>01102</t>
  </si>
  <si>
    <t>0.63</t>
  </si>
  <si>
    <t xml:space="preserve">USE THE FILTERS (THAT'S DROP-DOWNS TO US LAY PEOPLE) </t>
  </si>
  <si>
    <t>01103</t>
  </si>
  <si>
    <t>TO SELECT YOUR RANGE OF VALVES</t>
  </si>
  <si>
    <t>01104</t>
  </si>
  <si>
    <t>YOU MAY USE MORE THAN ONE FILTER!</t>
  </si>
  <si>
    <t>01105</t>
  </si>
  <si>
    <t xml:space="preserve">ONCE YOU'VE COMPLETED YOUR </t>
  </si>
  <si>
    <t>01106</t>
  </si>
  <si>
    <t>1.6</t>
  </si>
  <si>
    <t>SELECTION, PLEASE RESET ALL OF</t>
  </si>
  <si>
    <t>01107</t>
  </si>
  <si>
    <t>THE FILTERS BACK TO " ALL"</t>
  </si>
  <si>
    <t>01108</t>
  </si>
  <si>
    <t>01109</t>
  </si>
  <si>
    <t>DO NOT SORT OR USE OTHER DATA</t>
  </si>
  <si>
    <t>01110</t>
  </si>
  <si>
    <t>MANIPULATION FUNCTIONS</t>
  </si>
  <si>
    <t>01111</t>
  </si>
  <si>
    <t>01112</t>
  </si>
  <si>
    <t>6.3</t>
  </si>
  <si>
    <t>01113</t>
  </si>
  <si>
    <t>01114</t>
  </si>
  <si>
    <t>10</t>
  </si>
  <si>
    <t>01115</t>
  </si>
  <si>
    <t>01116</t>
  </si>
  <si>
    <t>01117</t>
  </si>
  <si>
    <t>01118</t>
  </si>
  <si>
    <t>01119</t>
  </si>
  <si>
    <t>01120</t>
  </si>
  <si>
    <t>01121</t>
  </si>
  <si>
    <t>01122</t>
  </si>
  <si>
    <t>01123</t>
  </si>
  <si>
    <t>01124</t>
  </si>
  <si>
    <t>01126</t>
  </si>
  <si>
    <t>01127</t>
  </si>
  <si>
    <t>01129</t>
  </si>
  <si>
    <t>01130</t>
  </si>
  <si>
    <t>01131</t>
  </si>
  <si>
    <t>01132</t>
  </si>
  <si>
    <t>NO to Bot.</t>
  </si>
  <si>
    <t>01133</t>
  </si>
  <si>
    <t>01134</t>
  </si>
  <si>
    <t>01135</t>
  </si>
  <si>
    <t>01136</t>
  </si>
  <si>
    <t>01137</t>
  </si>
  <si>
    <t>01138</t>
  </si>
  <si>
    <t>01139</t>
  </si>
  <si>
    <t>02000</t>
  </si>
  <si>
    <t>Globe-Powermite</t>
  </si>
  <si>
    <t>02001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</si>
  <si>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</si>
  <si>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</si>
  <si>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</si>
  <si>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</si>
  <si>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</si>
  <si>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</si>
  <si>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</si>
  <si>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</si>
  <si>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</si>
  <si>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</si>
  <si>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</si>
  <si>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</si>
  <si>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02014</t>
  </si>
  <si>
    <t>02015</t>
  </si>
  <si>
    <t>02016</t>
  </si>
  <si>
    <t>02017</t>
  </si>
  <si>
    <t>02018</t>
  </si>
  <si>
    <t>02019</t>
  </si>
  <si>
    <t>02020</t>
  </si>
  <si>
    <t>02021</t>
  </si>
  <si>
    <t>02022</t>
  </si>
  <si>
    <t>02023</t>
  </si>
  <si>
    <t>02024</t>
  </si>
  <si>
    <t>02025</t>
  </si>
  <si>
    <t>02026</t>
  </si>
  <si>
    <t>02027</t>
  </si>
  <si>
    <t>02028</t>
  </si>
  <si>
    <t>02029</t>
  </si>
  <si>
    <t>02031</t>
  </si>
  <si>
    <t>02033</t>
  </si>
  <si>
    <t>02035</t>
  </si>
  <si>
    <t>02037</t>
  </si>
  <si>
    <t>02039</t>
  </si>
  <si>
    <t>02040</t>
  </si>
  <si>
    <t>AFxUM</t>
  </si>
  <si>
    <t>02042</t>
  </si>
  <si>
    <t>02043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</si>
  <si>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</si>
  <si>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</si>
  <si>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</si>
  <si>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</si>
  <si>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</si>
  <si>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</si>
  <si>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</si>
  <si>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</si>
  <si>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</si>
  <si>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02055</t>
  </si>
  <si>
    <t>02056</t>
  </si>
  <si>
    <t>02057</t>
  </si>
  <si>
    <t>02058</t>
  </si>
  <si>
    <t>02059</t>
  </si>
  <si>
    <t>02060</t>
  </si>
  <si>
    <t>02061</t>
  </si>
  <si>
    <t>02062</t>
  </si>
  <si>
    <t>02063</t>
  </si>
  <si>
    <t>02072</t>
  </si>
  <si>
    <t>02073</t>
  </si>
  <si>
    <t>02074</t>
  </si>
  <si>
    <t>02075</t>
  </si>
  <si>
    <t>02076</t>
  </si>
  <si>
    <t>02077</t>
  </si>
  <si>
    <t>02078</t>
  </si>
  <si>
    <t>02079</t>
  </si>
  <si>
    <t>16</t>
  </si>
  <si>
    <t>02085</t>
  </si>
  <si>
    <t>25</t>
  </si>
  <si>
    <t>02088</t>
  </si>
  <si>
    <t>03000</t>
  </si>
  <si>
    <t>Globe-Flowrite</t>
  </si>
  <si>
    <t>03001</t>
  </si>
  <si>
    <t>03002</t>
  </si>
  <si>
    <t>03003</t>
  </si>
  <si>
    <t>03004</t>
  </si>
  <si>
    <t>03005</t>
  </si>
  <si>
    <t>03006</t>
  </si>
  <si>
    <t>03007</t>
  </si>
  <si>
    <t>03008</t>
  </si>
  <si>
    <t>2</t>
  </si>
  <si>
    <t>03018</t>
  </si>
  <si>
    <t>03019</t>
  </si>
  <si>
    <t>03020</t>
  </si>
  <si>
    <t>03021</t>
  </si>
  <si>
    <t>03022</t>
  </si>
  <si>
    <t>03023</t>
  </si>
  <si>
    <t>03024</t>
  </si>
  <si>
    <t>03025</t>
  </si>
  <si>
    <t>03026</t>
  </si>
  <si>
    <t>03054</t>
  </si>
  <si>
    <t>Hi-Temp</t>
  </si>
  <si>
    <t>03055</t>
  </si>
  <si>
    <t>03056</t>
  </si>
  <si>
    <t>03057</t>
  </si>
  <si>
    <t>03058</t>
  </si>
  <si>
    <t>03059</t>
  </si>
  <si>
    <t>03060</t>
  </si>
  <si>
    <t>03061</t>
  </si>
  <si>
    <t>03062</t>
  </si>
  <si>
    <t>03072</t>
  </si>
  <si>
    <t>03073</t>
  </si>
  <si>
    <t>03074</t>
  </si>
  <si>
    <t>03075</t>
  </si>
  <si>
    <t>03076</t>
  </si>
  <si>
    <t>03077</t>
  </si>
  <si>
    <t>03078</t>
  </si>
  <si>
    <t>03079</t>
  </si>
  <si>
    <t>03080</t>
  </si>
  <si>
    <t>03108</t>
  </si>
  <si>
    <t>Eq %</t>
  </si>
  <si>
    <t>03109</t>
  </si>
  <si>
    <t>03110</t>
  </si>
  <si>
    <t>03111</t>
  </si>
  <si>
    <t>03112</t>
  </si>
  <si>
    <t>03113</t>
  </si>
  <si>
    <t>03114</t>
  </si>
  <si>
    <t>03115</t>
  </si>
  <si>
    <t>03116</t>
  </si>
  <si>
    <t>03126</t>
  </si>
  <si>
    <t>03127</t>
  </si>
  <si>
    <t>03128</t>
  </si>
  <si>
    <t>03129</t>
  </si>
  <si>
    <t>03130</t>
  </si>
  <si>
    <t>03131</t>
  </si>
  <si>
    <t>03132</t>
  </si>
  <si>
    <t>03133</t>
  </si>
  <si>
    <t>03134</t>
  </si>
  <si>
    <t>03144</t>
  </si>
  <si>
    <t>Eq/Lin</t>
  </si>
  <si>
    <t>03145</t>
  </si>
  <si>
    <t>03146</t>
  </si>
  <si>
    <t>03147</t>
  </si>
  <si>
    <t>03148</t>
  </si>
  <si>
    <t>03149</t>
  </si>
  <si>
    <t>03150</t>
  </si>
  <si>
    <t>03151</t>
  </si>
  <si>
    <t>03152</t>
  </si>
  <si>
    <t>03162</t>
  </si>
  <si>
    <t>03163</t>
  </si>
  <si>
    <t>03164</t>
  </si>
  <si>
    <t>03165</t>
  </si>
  <si>
    <t>03166</t>
  </si>
  <si>
    <t>03167</t>
  </si>
  <si>
    <t>03168</t>
  </si>
  <si>
    <t>03169</t>
  </si>
  <si>
    <t>03170</t>
  </si>
  <si>
    <t>03180</t>
  </si>
  <si>
    <t>03181</t>
  </si>
  <si>
    <t>03182</t>
  </si>
  <si>
    <t>03183</t>
  </si>
  <si>
    <t>03184</t>
  </si>
  <si>
    <t>03185</t>
  </si>
  <si>
    <t>03186</t>
  </si>
  <si>
    <t>03187</t>
  </si>
  <si>
    <t>03188</t>
  </si>
  <si>
    <t>03198</t>
  </si>
  <si>
    <t>03199</t>
  </si>
  <si>
    <t>03200</t>
  </si>
  <si>
    <t>03201</t>
  </si>
  <si>
    <t>03202</t>
  </si>
  <si>
    <t>03203</t>
  </si>
  <si>
    <t>03204</t>
  </si>
  <si>
    <t>03205</t>
  </si>
  <si>
    <t>03206</t>
  </si>
  <si>
    <t>05920</t>
  </si>
  <si>
    <t>Eq%</t>
  </si>
  <si>
    <t>Globe-Flanged</t>
  </si>
  <si>
    <t>05921</t>
  </si>
  <si>
    <t>3</t>
  </si>
  <si>
    <t>05922</t>
  </si>
  <si>
    <t>05923</t>
  </si>
  <si>
    <t>05924</t>
  </si>
  <si>
    <t>6</t>
  </si>
  <si>
    <t>05930</t>
  </si>
  <si>
    <t>05931</t>
  </si>
  <si>
    <t>05932</t>
  </si>
  <si>
    <t>05933</t>
  </si>
  <si>
    <t>05934</t>
  </si>
  <si>
    <t>05940</t>
  </si>
  <si>
    <t>05941</t>
  </si>
  <si>
    <t>05942</t>
  </si>
  <si>
    <t>05943</t>
  </si>
  <si>
    <t>05944</t>
  </si>
  <si>
    <t>05950</t>
  </si>
  <si>
    <t>05951</t>
  </si>
  <si>
    <t>05952</t>
  </si>
  <si>
    <t>05953</t>
  </si>
  <si>
    <t>05954</t>
  </si>
  <si>
    <t>05960</t>
  </si>
  <si>
    <t>05961</t>
  </si>
  <si>
    <t>05962</t>
  </si>
  <si>
    <t>05963</t>
  </si>
  <si>
    <t>05964</t>
  </si>
  <si>
    <t>05970</t>
  </si>
  <si>
    <t>05971</t>
  </si>
  <si>
    <t>05972</t>
  </si>
  <si>
    <t>05973</t>
  </si>
  <si>
    <t>05974</t>
  </si>
  <si>
    <t>05980</t>
  </si>
  <si>
    <t>05981</t>
  </si>
  <si>
    <t>05982</t>
  </si>
  <si>
    <t>05983</t>
  </si>
  <si>
    <t>05984</t>
  </si>
  <si>
    <t>05990</t>
  </si>
  <si>
    <t>05991</t>
  </si>
  <si>
    <t>05992</t>
  </si>
  <si>
    <t>05993</t>
  </si>
  <si>
    <t>05994</t>
  </si>
  <si>
    <t>06040</t>
  </si>
  <si>
    <t>06041</t>
  </si>
  <si>
    <t>06042</t>
  </si>
  <si>
    <t>06043</t>
  </si>
  <si>
    <t>06044</t>
  </si>
  <si>
    <t>06050</t>
  </si>
  <si>
    <t>06051</t>
  </si>
  <si>
    <t>06052</t>
  </si>
  <si>
    <t>06053</t>
  </si>
  <si>
    <t>06054</t>
  </si>
  <si>
    <t>06060</t>
  </si>
  <si>
    <t>06061</t>
  </si>
  <si>
    <t>06062</t>
  </si>
  <si>
    <t>06063</t>
  </si>
  <si>
    <t>06064</t>
  </si>
  <si>
    <t>06070</t>
  </si>
  <si>
    <t>06071</t>
  </si>
  <si>
    <t>06072</t>
  </si>
  <si>
    <t>06073</t>
  </si>
  <si>
    <t>06074</t>
  </si>
  <si>
    <t>06120</t>
  </si>
  <si>
    <t>06121</t>
  </si>
  <si>
    <t>06122</t>
  </si>
  <si>
    <t>06123</t>
  </si>
  <si>
    <t>06124</t>
  </si>
  <si>
    <t>06130</t>
  </si>
  <si>
    <t>06131</t>
  </si>
  <si>
    <t>06132</t>
  </si>
  <si>
    <t>06133</t>
  </si>
  <si>
    <t>06134</t>
  </si>
  <si>
    <t>06140</t>
  </si>
  <si>
    <t>06141</t>
  </si>
  <si>
    <t>06142</t>
  </si>
  <si>
    <t>06143</t>
  </si>
  <si>
    <t>06144</t>
  </si>
  <si>
    <t>06150</t>
  </si>
  <si>
    <t>06151</t>
  </si>
  <si>
    <t>06152</t>
  </si>
  <si>
    <t>06153</t>
  </si>
  <si>
    <t>06154</t>
  </si>
  <si>
    <t>06160</t>
  </si>
  <si>
    <t>06161</t>
  </si>
  <si>
    <t>06162</t>
  </si>
  <si>
    <t>06163</t>
  </si>
  <si>
    <t>06164</t>
  </si>
  <si>
    <t>06165</t>
  </si>
  <si>
    <t>06166</t>
  </si>
  <si>
    <t>06167</t>
  </si>
  <si>
    <t>06168</t>
  </si>
  <si>
    <t>06169</t>
  </si>
  <si>
    <t>06170</t>
  </si>
  <si>
    <t>06171</t>
  </si>
  <si>
    <t>06172</t>
  </si>
  <si>
    <t>06173</t>
  </si>
  <si>
    <t>06174</t>
  </si>
  <si>
    <t>06175</t>
  </si>
  <si>
    <t>06176</t>
  </si>
  <si>
    <t>06177</t>
  </si>
  <si>
    <t>06178</t>
  </si>
  <si>
    <t>06179</t>
  </si>
  <si>
    <t>.4</t>
  </si>
  <si>
    <t>EDPM</t>
  </si>
  <si>
    <t>Ball-Powermite</t>
  </si>
  <si>
    <t>.63</t>
  </si>
  <si>
    <t>63</t>
  </si>
  <si>
    <t>40</t>
  </si>
  <si>
    <t>100</t>
  </si>
  <si>
    <t>160</t>
  </si>
  <si>
    <t>10261</t>
  </si>
  <si>
    <t>10262</t>
  </si>
  <si>
    <t>10263</t>
  </si>
  <si>
    <t>10264</t>
  </si>
  <si>
    <t>10265</t>
  </si>
  <si>
    <t>10266</t>
  </si>
  <si>
    <t>10267</t>
  </si>
  <si>
    <t>CODE</t>
  </si>
  <si>
    <t>TYPE</t>
  </si>
  <si>
    <t>POS</t>
  </si>
  <si>
    <t>SIGNAL</t>
  </si>
  <si>
    <t>POWER</t>
  </si>
  <si>
    <t>NOTES</t>
  </si>
  <si>
    <t>SFA11U</t>
  </si>
  <si>
    <t>Elec</t>
  </si>
  <si>
    <t>2-Pos</t>
  </si>
  <si>
    <t>120V</t>
  </si>
  <si>
    <t>Zone Act</t>
  </si>
  <si>
    <t>SFP11U</t>
  </si>
  <si>
    <t>SFA71U</t>
  </si>
  <si>
    <t>24V</t>
  </si>
  <si>
    <t>SFP71U</t>
  </si>
  <si>
    <t>SSA81</t>
  </si>
  <si>
    <t>Float</t>
  </si>
  <si>
    <t>NSR</t>
  </si>
  <si>
    <t>SSA61</t>
  </si>
  <si>
    <t>0-10V</t>
  </si>
  <si>
    <t>SSB81U</t>
  </si>
  <si>
    <t>n/a</t>
  </si>
  <si>
    <t>MZ Series</t>
  </si>
  <si>
    <t>SSB61U</t>
  </si>
  <si>
    <t>Pneu</t>
  </si>
  <si>
    <t>10-15 psi</t>
  </si>
  <si>
    <t>SR</t>
  </si>
  <si>
    <t>18/25 psi</t>
  </si>
  <si>
    <t>MT-Series</t>
  </si>
  <si>
    <t>3-8 psi</t>
  </si>
  <si>
    <t>TO SELECT YOUR RANGE OF ACTUATORS</t>
  </si>
  <si>
    <t>8-13 psi</t>
  </si>
  <si>
    <t>SSC81.5U</t>
  </si>
  <si>
    <t>SSC61U</t>
  </si>
  <si>
    <t>SSC61.5U</t>
  </si>
  <si>
    <t>SQS65U</t>
  </si>
  <si>
    <t>SQS65.5U</t>
  </si>
  <si>
    <t>SQS85.53U</t>
  </si>
  <si>
    <t>4" Top</t>
  </si>
  <si>
    <t>5-10 psi</t>
  </si>
  <si>
    <t>SQX62U</t>
  </si>
  <si>
    <t>0/10,4/20</t>
  </si>
  <si>
    <t>Selectable Input</t>
  </si>
  <si>
    <t>SQX82.00U</t>
  </si>
  <si>
    <t>120 Sec Stroke</t>
  </si>
  <si>
    <t>SQX82.03U</t>
  </si>
  <si>
    <t>30 Sec Stroke</t>
  </si>
  <si>
    <t>SKD62U</t>
  </si>
  <si>
    <t>Electro-Hydraulic</t>
  </si>
  <si>
    <t>SKD82.50U</t>
  </si>
  <si>
    <t>SKD82.51U</t>
  </si>
  <si>
    <t>Adjust</t>
  </si>
  <si>
    <t>8" Top Standard</t>
  </si>
  <si>
    <t>8" Top, Hi Temp</t>
  </si>
  <si>
    <t>12" Top, 20mm</t>
  </si>
  <si>
    <t>12" Top, 40mm</t>
  </si>
  <si>
    <t>4-14 psi</t>
  </si>
  <si>
    <t>SKB82.51U</t>
  </si>
  <si>
    <t>SKB82.50U</t>
  </si>
  <si>
    <t>SKB62U</t>
  </si>
  <si>
    <t>SKC82.61U</t>
  </si>
  <si>
    <t>SKC82.60U</t>
  </si>
  <si>
    <t>SKC62U</t>
  </si>
  <si>
    <t>Lo Force E/M</t>
  </si>
  <si>
    <t>Hi Force E/M</t>
  </si>
  <si>
    <t>Rack'n Pinion</t>
  </si>
  <si>
    <t>171A</t>
  </si>
  <si>
    <t>GDE131.1P</t>
  </si>
  <si>
    <t>Valves 0.5" - 1.25"</t>
  </si>
  <si>
    <t>171B</t>
  </si>
  <si>
    <t>GLB131.1P</t>
  </si>
  <si>
    <t>Valves 1.5" - 2"</t>
  </si>
  <si>
    <t>171C</t>
  </si>
  <si>
    <t>GDE161.1P</t>
  </si>
  <si>
    <t>171D</t>
  </si>
  <si>
    <t>GLB161.1P</t>
  </si>
  <si>
    <t>171E</t>
  </si>
  <si>
    <t>GMA121.1P</t>
  </si>
  <si>
    <t>171 Series</t>
  </si>
  <si>
    <t>171F</t>
  </si>
  <si>
    <t>GMA131.1U</t>
  </si>
  <si>
    <t>171G</t>
  </si>
  <si>
    <t>GMA161.1P</t>
  </si>
  <si>
    <t>VALVE</t>
  </si>
  <si>
    <t>TEST</t>
  </si>
  <si>
    <t>BOX TYPE</t>
  </si>
  <si>
    <t>COOL</t>
  </si>
  <si>
    <t>70</t>
  </si>
  <si>
    <t>OCC</t>
  </si>
  <si>
    <t>OPEN</t>
  </si>
  <si>
    <t>0.012</t>
  </si>
  <si>
    <t>0.25</t>
  </si>
  <si>
    <t>0.018</t>
  </si>
  <si>
    <t>YES</t>
  </si>
  <si>
    <t>5.2</t>
  </si>
  <si>
    <t>72</t>
  </si>
  <si>
    <t>8</t>
  </si>
  <si>
    <t>15</t>
  </si>
  <si>
    <t>PC</t>
  </si>
  <si>
    <t>PART NUM</t>
  </si>
  <si>
    <t>QU</t>
  </si>
  <si>
    <t>QTY</t>
  </si>
  <si>
    <t>300</t>
  </si>
  <si>
    <t>750</t>
  </si>
  <si>
    <t>1100</t>
  </si>
  <si>
    <t>3098</t>
  </si>
  <si>
    <t>2023</t>
  </si>
  <si>
    <t>11</t>
  </si>
  <si>
    <t>13</t>
  </si>
  <si>
    <t>14</t>
  </si>
  <si>
    <t>17</t>
  </si>
  <si>
    <t>18</t>
  </si>
  <si>
    <t>19</t>
  </si>
  <si>
    <t>21</t>
  </si>
  <si>
    <t>24</t>
  </si>
  <si>
    <t>29</t>
  </si>
  <si>
    <t>30</t>
  </si>
  <si>
    <t>31</t>
  </si>
  <si>
    <t>32</t>
  </si>
  <si>
    <t>340</t>
  </si>
  <si>
    <t>45</t>
  </si>
  <si>
    <t>80</t>
  </si>
  <si>
    <t>NTRAL</t>
  </si>
  <si>
    <t>-0.01</t>
  </si>
  <si>
    <t>NEG</t>
  </si>
  <si>
    <t>NORMAL</t>
  </si>
  <si>
    <t>NOPEN</t>
  </si>
  <si>
    <t>CLOSED</t>
  </si>
  <si>
    <t>READY</t>
  </si>
  <si>
    <t>12.063</t>
  </si>
  <si>
    <t>2468</t>
  </si>
  <si>
    <t>5936</t>
  </si>
  <si>
    <t>27180</t>
  </si>
  <si>
    <t>2520</t>
  </si>
  <si>
    <t>3111</t>
  </si>
  <si>
    <t>5698</t>
  </si>
  <si>
    <t>LO</t>
  </si>
  <si>
    <t>ON</t>
  </si>
  <si>
    <t>ENG</t>
  </si>
  <si>
    <t>**Input the field panel name(s) exactly as it appears in the System Profile.</t>
  </si>
  <si>
    <t>**Input the BLN names exactly as it / they appear(s) in the System Profile.</t>
  </si>
  <si>
    <t>The field panel number in the list must match the Node Number in the System Profile.</t>
  </si>
  <si>
    <t>** Input the Apogee Server / Workstation exactly as it appears in the System Profile.</t>
  </si>
  <si>
    <t>STPT</t>
  </si>
  <si>
    <t>95</t>
  </si>
  <si>
    <t>ETS</t>
  </si>
  <si>
    <t>0.015</t>
  </si>
  <si>
    <t>0.68</t>
  </si>
  <si>
    <t>0.72</t>
  </si>
  <si>
    <t>124</t>
  </si>
  <si>
    <t>60</t>
  </si>
  <si>
    <t>0.02</t>
  </si>
  <si>
    <t>2463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</si>
  <si>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</si>
  <si>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</si>
  <si>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</si>
  <si>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</si>
  <si>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</si>
  <si>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</si>
  <si>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</si>
  <si>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</si>
  <si>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</si>
  <si>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</si>
  <si>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</si>
  <si>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</si>
  <si>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</si>
  <si>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</si>
  <si>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</si>
  <si>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</si>
  <si>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</si>
  <si>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</si>
  <si>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</si>
  <si>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</si>
  <si>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</si>
  <si>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</si>
  <si>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</si>
  <si>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</si>
  <si>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</si>
  <si>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</si>
  <si>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</si>
  <si>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</si>
  <si>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2301</t>
  </si>
  <si>
    <t>VOLT</t>
  </si>
  <si>
    <t>Instance #</t>
  </si>
  <si>
    <t>Obj Name</t>
  </si>
  <si>
    <t>MSTP</t>
  </si>
  <si>
    <t>Bacnet</t>
  </si>
  <si>
    <t>P2</t>
  </si>
  <si>
    <t>Ethernet</t>
  </si>
  <si>
    <t>FLN Type</t>
  </si>
  <si>
    <t xml:space="preserve">BLN Name </t>
  </si>
  <si>
    <t>P1</t>
  </si>
  <si>
    <t>Panel #</t>
  </si>
  <si>
    <t>BLN #</t>
  </si>
  <si>
    <t>2052</t>
  </si>
  <si>
    <t>120</t>
  </si>
  <si>
    <t xml:space="preserve">       </t>
  </si>
  <si>
    <t>3W-NC</t>
  </si>
  <si>
    <t xml:space="preserve"> VLV Y/N</t>
  </si>
  <si>
    <t>xxx</t>
  </si>
  <si>
    <t>b2</t>
  </si>
  <si>
    <t>MAX/Occ</t>
  </si>
  <si>
    <t>MIN/Unocc</t>
  </si>
  <si>
    <t>POINT NAME</t>
  </si>
  <si>
    <t>Show TEC p/n column?</t>
  </si>
  <si>
    <t>PERCENTAGE OVER CV RATING</t>
  </si>
  <si>
    <t>Full Featured</t>
  </si>
  <si>
    <t>Flush</t>
  </si>
  <si>
    <t>Sensing Only</t>
  </si>
  <si>
    <t>Sensing w/ Override</t>
  </si>
  <si>
    <t>Sensing  w/ Setpoint</t>
  </si>
  <si>
    <t>Sensing w/ Display</t>
  </si>
  <si>
    <t>Show AUX Point Column?</t>
  </si>
  <si>
    <t>Show Wireless Column?</t>
  </si>
  <si>
    <t>&lt;-----------------------COMPLETED BY SUBCONTRACTOR PERSONNEL----------------------&gt;</t>
  </si>
  <si>
    <t>Show Sub check out columns?</t>
  </si>
  <si>
    <t>VALVE EXISTS</t>
  </si>
  <si>
    <t>Show the CP/XFMR Column?</t>
  </si>
  <si>
    <t>Qty.</t>
  </si>
  <si>
    <t>BB</t>
  </si>
  <si>
    <t>Show Baseboard Qty Column?</t>
  </si>
  <si>
    <t xml:space="preserve">Show Sensor Type Column? </t>
  </si>
  <si>
    <t>Panel</t>
  </si>
  <si>
    <t>Net</t>
  </si>
  <si>
    <t>Tag</t>
  </si>
  <si>
    <t>Description / Area Served</t>
  </si>
  <si>
    <t>CP / XFMR</t>
  </si>
  <si>
    <t>Heating Coil GPM</t>
  </si>
  <si>
    <t>Baseboard Qty.</t>
  </si>
  <si>
    <t>Aux Point</t>
  </si>
  <si>
    <t>Wireless FLN CH/ID</t>
  </si>
  <si>
    <t>Sensor Type</t>
  </si>
  <si>
    <t>6523</t>
  </si>
  <si>
    <t>Show PTEC code appication number Column?</t>
  </si>
  <si>
    <t xml:space="preserve">PTEC </t>
  </si>
  <si>
    <t>SENSOR</t>
  </si>
  <si>
    <t>CODE APPLICATION</t>
  </si>
  <si>
    <t>PTEC Code App Number</t>
  </si>
  <si>
    <t>Show HW Coil GPM on FLN Layout page?</t>
  </si>
  <si>
    <t>1.)  List the contact information for whom you talked to, regarding the integrations from 3rd party vendors</t>
  </si>
  <si>
    <t>2.)  List all integrations on the current project.</t>
  </si>
  <si>
    <t>3.)  This sheet is intended to give to the PM and Spec during engineering turnover.</t>
  </si>
  <si>
    <t>4.)  Note for submittal. "Once discovery on the points is done contact the DAS, Engineer and PM with points list before you move forward".</t>
  </si>
  <si>
    <t>DUCT</t>
  </si>
  <si>
    <t>OUTPUT</t>
  </si>
  <si>
    <t>ACCURACY</t>
  </si>
  <si>
    <t>EBTRON</t>
  </si>
  <si>
    <t>24VAC</t>
  </si>
  <si>
    <t>4-20mA</t>
  </si>
  <si>
    <t>AFMS</t>
  </si>
  <si>
    <t xml:space="preserve">FINAL </t>
  </si>
  <si>
    <t>BBMD TABLE</t>
  </si>
  <si>
    <t>NODE NAME</t>
  </si>
  <si>
    <t>IP ADDRESS</t>
  </si>
  <si>
    <t>BBMD Y/N</t>
  </si>
  <si>
    <t>6551</t>
  </si>
  <si>
    <t>6520</t>
  </si>
  <si>
    <t>6525</t>
  </si>
  <si>
    <t>1875</t>
  </si>
  <si>
    <t>NIGHT</t>
  </si>
  <si>
    <t>Complete</t>
  </si>
  <si>
    <t>WIDTH</t>
  </si>
  <si>
    <t>HEIGHT</t>
  </si>
  <si>
    <t>DIA</t>
  </si>
  <si>
    <t>IN.</t>
  </si>
  <si>
    <t>VELOCITY</t>
  </si>
  <si>
    <t>8"</t>
  </si>
  <si>
    <t>CABLE</t>
  </si>
  <si>
    <t>LENGTH</t>
  </si>
  <si>
    <t>10FT STANDARD</t>
  </si>
  <si>
    <t>2% FULL RANGE</t>
  </si>
  <si>
    <t>10300</t>
  </si>
  <si>
    <t>10301</t>
  </si>
  <si>
    <t>10302</t>
  </si>
  <si>
    <t>10303</t>
  </si>
  <si>
    <t>10304</t>
  </si>
  <si>
    <t>10307</t>
  </si>
  <si>
    <t>10305</t>
  </si>
  <si>
    <t>10306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</si>
  <si>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</si>
  <si>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</si>
  <si>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</si>
  <si>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</si>
  <si>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</si>
  <si>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</si>
  <si>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</si>
  <si>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</si>
  <si>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</si>
  <si>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</si>
  <si>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</si>
  <si>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</si>
  <si>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</si>
  <si>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</si>
  <si>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</si>
  <si>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</si>
  <si>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</si>
  <si>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</si>
  <si>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</si>
  <si>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</si>
  <si>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</si>
  <si>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</si>
  <si>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</si>
  <si>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10350</t>
  </si>
  <si>
    <t>10351</t>
  </si>
  <si>
    <t>10352</t>
  </si>
  <si>
    <t>10353</t>
  </si>
  <si>
    <t>10354</t>
  </si>
  <si>
    <t>10355</t>
  </si>
  <si>
    <t>10356</t>
  </si>
  <si>
    <t>10357</t>
  </si>
  <si>
    <t>10358</t>
  </si>
  <si>
    <t>10359</t>
  </si>
  <si>
    <t>10360</t>
  </si>
  <si>
    <t>10361</t>
  </si>
  <si>
    <t>10362</t>
  </si>
  <si>
    <t>10363</t>
  </si>
  <si>
    <t>10364</t>
  </si>
  <si>
    <t>10365</t>
  </si>
  <si>
    <t>M.Eq%</t>
  </si>
  <si>
    <t>RUSKIN</t>
  </si>
  <si>
    <t>ACTUATOR</t>
  </si>
  <si>
    <t>ACTUATORS</t>
  </si>
  <si>
    <t>2030</t>
  </si>
  <si>
    <t>540-103</t>
  </si>
  <si>
    <t>SIEMENS INDUSTRY, INC.</t>
  </si>
  <si>
    <t>BUILDING TECHNOLOGIES DIVISION</t>
  </si>
  <si>
    <t>2560</t>
  </si>
  <si>
    <t>550-430</t>
  </si>
  <si>
    <t>2563</t>
  </si>
  <si>
    <t>6623</t>
  </si>
  <si>
    <t>550-432PA</t>
  </si>
  <si>
    <t>6740</t>
  </si>
  <si>
    <t>6741</t>
  </si>
  <si>
    <t>570-00701</t>
  </si>
  <si>
    <t>6763</t>
  </si>
  <si>
    <t>570-810P</t>
  </si>
  <si>
    <t>2561</t>
  </si>
  <si>
    <t>BLN1</t>
  </si>
  <si>
    <t>BLN 1 - BLN1 - MSTP</t>
  </si>
  <si>
    <t>Z000</t>
  </si>
  <si>
    <t>44OP-195795.P.1.01.03</t>
  </si>
  <si>
    <t>SAID</t>
  </si>
  <si>
    <t>6630</t>
  </si>
  <si>
    <t>6633</t>
  </si>
  <si>
    <t>550-430PA</t>
  </si>
  <si>
    <t>10350S</t>
  </si>
  <si>
    <t>10351S</t>
  </si>
  <si>
    <t>10352S</t>
  </si>
  <si>
    <t>10353S</t>
  </si>
  <si>
    <t>10354S</t>
  </si>
  <si>
    <t>10355S</t>
  </si>
  <si>
    <t>10356S</t>
  </si>
  <si>
    <t>10357S</t>
  </si>
  <si>
    <t>MM</t>
  </si>
  <si>
    <t>1506</t>
  </si>
  <si>
    <t>1507</t>
  </si>
  <si>
    <t>1510</t>
  </si>
  <si>
    <t>1517</t>
  </si>
  <si>
    <t>1513</t>
  </si>
  <si>
    <t>71506</t>
  </si>
  <si>
    <t>435</t>
  </si>
  <si>
    <t>1450</t>
  </si>
  <si>
    <t>2-3</t>
  </si>
  <si>
    <t>2-2</t>
  </si>
  <si>
    <t>3-1</t>
  </si>
  <si>
    <t>4-1</t>
  </si>
  <si>
    <t>4-2</t>
  </si>
  <si>
    <t>6-1</t>
  </si>
  <si>
    <t>6-2</t>
  </si>
  <si>
    <t>VAV-T-2-014</t>
  </si>
  <si>
    <t>VAV-T-2-015</t>
  </si>
  <si>
    <t>VAV-T-2-016</t>
  </si>
  <si>
    <t>VAV-T-2-017</t>
  </si>
  <si>
    <t>VAV-T-2-018</t>
  </si>
  <si>
    <t>VAV-T-2-019</t>
  </si>
  <si>
    <t>VAV-T-2-020</t>
  </si>
  <si>
    <t>VAV-T-2-021</t>
  </si>
  <si>
    <t>VAV-T-2-022</t>
  </si>
  <si>
    <t>VAV-T-2-023</t>
  </si>
  <si>
    <t>VAV-T-2-024</t>
  </si>
  <si>
    <t>VAV-T-2-025</t>
  </si>
  <si>
    <t>VAV-T-2-026</t>
  </si>
  <si>
    <t>VAV-T-3-027</t>
  </si>
  <si>
    <t>VAV-T-3-028</t>
  </si>
  <si>
    <t>VAV-T-3-029</t>
  </si>
  <si>
    <t>VAV-T-3-030</t>
  </si>
  <si>
    <t>VAV-T-3-031</t>
  </si>
  <si>
    <t>VAV-T-3-032</t>
  </si>
  <si>
    <t>VAV-T-3-033</t>
  </si>
  <si>
    <t>VAV-T-3-034</t>
  </si>
  <si>
    <t>VAV-T-3-035</t>
  </si>
  <si>
    <t>VAV-T-3-037</t>
  </si>
  <si>
    <t>VAV-T-3-038</t>
  </si>
  <si>
    <t>VAV-T-3-039</t>
  </si>
  <si>
    <t>VAV-T-3-040</t>
  </si>
  <si>
    <t>VAV-T-3-041</t>
  </si>
  <si>
    <t>VAV-T-3-042</t>
  </si>
  <si>
    <t>VAV-T-3-043</t>
  </si>
  <si>
    <t>VAV-T-3-044</t>
  </si>
  <si>
    <t>VAV-T-3-045</t>
  </si>
  <si>
    <t>VAV-T-3-046</t>
  </si>
  <si>
    <t>VAV-T-3-047</t>
  </si>
  <si>
    <t>VAV-T-3-048</t>
  </si>
  <si>
    <t>VAV-T-4-025</t>
  </si>
  <si>
    <t>VAV-T-4-026</t>
  </si>
  <si>
    <t>VAV-T-4-027</t>
  </si>
  <si>
    <t>VAV-T-4-028</t>
  </si>
  <si>
    <t>VAV-T-4-029</t>
  </si>
  <si>
    <t>VAV-T-4-030</t>
  </si>
  <si>
    <t>VAV-T-4-031</t>
  </si>
  <si>
    <t>VAV-T-4-032</t>
  </si>
  <si>
    <t>VAV-T-3-001</t>
  </si>
  <si>
    <t>VAV-T-3-002</t>
  </si>
  <si>
    <t>VAV-T-3-003</t>
  </si>
  <si>
    <t>VAV-T-3-004</t>
  </si>
  <si>
    <t>VAV-T-3-005</t>
  </si>
  <si>
    <t>VAV-T-3-006</t>
  </si>
  <si>
    <t>VAV-T-3-007</t>
  </si>
  <si>
    <t>VAV-T-3-008</t>
  </si>
  <si>
    <t>VAV-T-3-009</t>
  </si>
  <si>
    <t>VAV-T-3-010</t>
  </si>
  <si>
    <t>VAV-T-3-011</t>
  </si>
  <si>
    <t>VAV-T-3-012</t>
  </si>
  <si>
    <t>VAV-T-3-013</t>
  </si>
  <si>
    <t>VAV-T-3-014</t>
  </si>
  <si>
    <t>VAV-T-3-015</t>
  </si>
  <si>
    <t>VAV-T-3-016</t>
  </si>
  <si>
    <t>VAV-T-3-017</t>
  </si>
  <si>
    <t>VAV-T-3-018</t>
  </si>
  <si>
    <t>VAV-T-3-019</t>
  </si>
  <si>
    <t>VAV-T-3-020</t>
  </si>
  <si>
    <t>VAV-T-3-021</t>
  </si>
  <si>
    <t>VAV-T-3-022</t>
  </si>
  <si>
    <t>VAV-T-3-023</t>
  </si>
  <si>
    <t>VAV-T-3-024</t>
  </si>
  <si>
    <t>VAV-T-3-025</t>
  </si>
  <si>
    <t>VAV-T-3-026</t>
  </si>
  <si>
    <t>VAV-T-4-001</t>
  </si>
  <si>
    <t>VAV-T-4-002</t>
  </si>
  <si>
    <t>VAV-T-4-003</t>
  </si>
  <si>
    <t>VAV-T-4-004</t>
  </si>
  <si>
    <t>VAV-T-4-005</t>
  </si>
  <si>
    <t>VAV-T-4-006</t>
  </si>
  <si>
    <t>VAV-T-4-007</t>
  </si>
  <si>
    <t>VAV-T-4-008</t>
  </si>
  <si>
    <t>VAV-T-4-009</t>
  </si>
  <si>
    <t>VAV-T-4-010</t>
  </si>
  <si>
    <t>VAV-T-4-011</t>
  </si>
  <si>
    <t>VAV-T-4-012</t>
  </si>
  <si>
    <t>VAV-T-4-013</t>
  </si>
  <si>
    <t>VAV-T-4-014</t>
  </si>
  <si>
    <t>VAV-T-4-015</t>
  </si>
  <si>
    <t>VAV-T-4-016</t>
  </si>
  <si>
    <t>VAV-T-4-017</t>
  </si>
  <si>
    <t>VAV-T-4-018</t>
  </si>
  <si>
    <t>VAV-T-4-019</t>
  </si>
  <si>
    <t>VAV-T-4-020</t>
  </si>
  <si>
    <t>VAV-T-4-021</t>
  </si>
  <si>
    <t>VAV-T-4-022</t>
  </si>
  <si>
    <t>VAV-T-4-023</t>
  </si>
  <si>
    <t>VAV-T-4-024</t>
  </si>
  <si>
    <t>VAV-T-4-033</t>
  </si>
  <si>
    <t>VAV-T-4-034</t>
  </si>
  <si>
    <t>VAV-T-5-001</t>
  </si>
  <si>
    <t>VAV-T-5-002</t>
  </si>
  <si>
    <t>VAV-T-5-003</t>
  </si>
  <si>
    <t>VAV-T-5-004</t>
  </si>
  <si>
    <t>VAV-T-5-005</t>
  </si>
  <si>
    <t>VAV-T-5-006</t>
  </si>
  <si>
    <t>VAV-T-5-007</t>
  </si>
  <si>
    <t>VAV-T-5-008</t>
  </si>
  <si>
    <t>VAV-T-5-009</t>
  </si>
  <si>
    <t>VAV-T-5-010</t>
  </si>
  <si>
    <t>VAV-T-5-011</t>
  </si>
  <si>
    <t>VAV-T-5-012</t>
  </si>
  <si>
    <t>VAV-T-5-013</t>
  </si>
  <si>
    <t>VAV-T-5-014</t>
  </si>
  <si>
    <t>VAV-T-5-015</t>
  </si>
  <si>
    <t>VAV-T-5-016</t>
  </si>
  <si>
    <t>VAV-T-5-017</t>
  </si>
  <si>
    <t>VAV-T-5-018</t>
  </si>
  <si>
    <t>VAV-T-5-019</t>
  </si>
  <si>
    <t>VAV-T-5-020</t>
  </si>
  <si>
    <t>VAV-T-5-021</t>
  </si>
  <si>
    <t>VAV-T-5-022</t>
  </si>
  <si>
    <t>VAV-T-5-023</t>
  </si>
  <si>
    <t>VAV-T-5-024</t>
  </si>
  <si>
    <t>VAV-T-5-025</t>
  </si>
  <si>
    <t>VAV-T-5-026</t>
  </si>
  <si>
    <t>VAV-T-5-027</t>
  </si>
  <si>
    <t>VAV-T-5-028</t>
  </si>
  <si>
    <t>VAV-T-5-029</t>
  </si>
  <si>
    <t>VAV-T-5-030</t>
  </si>
  <si>
    <t>VAV-T-5-031</t>
  </si>
  <si>
    <t>VAV-T-5-032</t>
  </si>
  <si>
    <t>VAV-T-5-033</t>
  </si>
  <si>
    <t>VAV-T-5-034</t>
  </si>
  <si>
    <t>VAV-T-5-035</t>
  </si>
  <si>
    <t>VAV-T-5-036</t>
  </si>
  <si>
    <t>6667</t>
  </si>
  <si>
    <t>6634</t>
  </si>
  <si>
    <t>LBJ.AHU2-2.71506</t>
  </si>
  <si>
    <t>LBJ.AHU1-1.71501</t>
  </si>
  <si>
    <t>LBJ.AHU1-2.71502</t>
  </si>
  <si>
    <t>71501</t>
  </si>
  <si>
    <t>71502</t>
  </si>
  <si>
    <t>71503</t>
  </si>
  <si>
    <t>71504</t>
  </si>
  <si>
    <t>71505</t>
  </si>
  <si>
    <t>71507</t>
  </si>
  <si>
    <t>71508</t>
  </si>
  <si>
    <t>71509</t>
  </si>
  <si>
    <t>71510</t>
  </si>
  <si>
    <t>71511</t>
  </si>
  <si>
    <t>71512</t>
  </si>
  <si>
    <t>71513</t>
  </si>
  <si>
    <t>71514</t>
  </si>
  <si>
    <t>71515</t>
  </si>
  <si>
    <t>71516</t>
  </si>
  <si>
    <t>71517</t>
  </si>
  <si>
    <t>LBJ.HWP.71503</t>
  </si>
  <si>
    <t>LBJ.AHU1-8.71504</t>
  </si>
  <si>
    <t>LBJ.AHU2-1.71505</t>
  </si>
  <si>
    <t>LBJ.AHU3-1.71507</t>
  </si>
  <si>
    <t>LBJ.AHU4-6.71508</t>
  </si>
  <si>
    <t>LBJ.AHU4-3.71509</t>
  </si>
  <si>
    <t>LBJ.AHU4-1.71510</t>
  </si>
  <si>
    <t>LBJ.AHU5-1.71511</t>
  </si>
  <si>
    <t>LBJ.OAHU6-3.71512</t>
  </si>
  <si>
    <t>LBJ.OAHU6-4.71513</t>
  </si>
  <si>
    <t>LBJ.AHU1-4.71514</t>
  </si>
  <si>
    <t>LBJ.AHU1-6.71515</t>
  </si>
  <si>
    <t>LBJ.AHU1-7.71516</t>
  </si>
  <si>
    <t>1150601</t>
  </si>
  <si>
    <t>LBJ.VAV-T-2-014</t>
  </si>
  <si>
    <t>1150602</t>
  </si>
  <si>
    <t>LBJ.VAV-T-2-015</t>
  </si>
  <si>
    <t>1150603</t>
  </si>
  <si>
    <t>LBJ.VAV-T-2-016</t>
  </si>
  <si>
    <t>1150604</t>
  </si>
  <si>
    <t>LBJ.VAV-T-2-017</t>
  </si>
  <si>
    <t>1150605</t>
  </si>
  <si>
    <t>LBJ.VAV-T-2-018</t>
  </si>
  <si>
    <t>1150606</t>
  </si>
  <si>
    <t>LBJ.VAV-T-2-019</t>
  </si>
  <si>
    <t>1150607</t>
  </si>
  <si>
    <t>LBJ.VAV-T-2-020</t>
  </si>
  <si>
    <t>1150608</t>
  </si>
  <si>
    <t>LBJ.VAV-T-2-021</t>
  </si>
  <si>
    <t>1150609</t>
  </si>
  <si>
    <t>LBJ.VAV-T-2-022</t>
  </si>
  <si>
    <t>1150610</t>
  </si>
  <si>
    <t>LBJ.VAV-T-2-023</t>
  </si>
  <si>
    <t>1150611</t>
  </si>
  <si>
    <t>LBJ.VAV-T-2-024</t>
  </si>
  <si>
    <t>1150612</t>
  </si>
  <si>
    <t>LBJ.VAV-T-2-025</t>
  </si>
  <si>
    <t>1150613</t>
  </si>
  <si>
    <t>LBJ.VAV-T-2-026</t>
  </si>
  <si>
    <t>1150614</t>
  </si>
  <si>
    <t>LBJ.VAV-T-3-027</t>
  </si>
  <si>
    <t>1150615</t>
  </si>
  <si>
    <t>LBJ.VAV-T-3-028</t>
  </si>
  <si>
    <t>1150616</t>
  </si>
  <si>
    <t>LBJ.VAV-T-3-029</t>
  </si>
  <si>
    <t>1150617</t>
  </si>
  <si>
    <t>LBJ.VAV-T-3-030</t>
  </si>
  <si>
    <t>1150618</t>
  </si>
  <si>
    <t>LBJ.VAV-T-3-031</t>
  </si>
  <si>
    <t>1150619</t>
  </si>
  <si>
    <t>LBJ.VAV-T-3-032</t>
  </si>
  <si>
    <t>1150620</t>
  </si>
  <si>
    <t>LBJ.VAV-T-3-033</t>
  </si>
  <si>
    <t>1150621</t>
  </si>
  <si>
    <t>LBJ.VAV-T-3-034</t>
  </si>
  <si>
    <t>1150622</t>
  </si>
  <si>
    <t>LBJ.VAV-T-3-035</t>
  </si>
  <si>
    <t>1150623</t>
  </si>
  <si>
    <t>LBJ.VAV-T-3-037</t>
  </si>
  <si>
    <t>1150624</t>
  </si>
  <si>
    <t>LBJ.VAV-T-3-038</t>
  </si>
  <si>
    <t>1150625</t>
  </si>
  <si>
    <t>LBJ.VAV-T-3-039</t>
  </si>
  <si>
    <t>1150626</t>
  </si>
  <si>
    <t>LBJ.VAV-T-3-040</t>
  </si>
  <si>
    <t>1150627</t>
  </si>
  <si>
    <t>LBJ.VAV-T-3-041</t>
  </si>
  <si>
    <t>1150628</t>
  </si>
  <si>
    <t>LBJ.VAV-T-3-042</t>
  </si>
  <si>
    <t>1150629</t>
  </si>
  <si>
    <t>LBJ.VAV-T-3-043</t>
  </si>
  <si>
    <t>1150630</t>
  </si>
  <si>
    <t>LBJ.VAV-T-3-044</t>
  </si>
  <si>
    <t>1150631</t>
  </si>
  <si>
    <t>LBJ.VAV-T-3-045</t>
  </si>
  <si>
    <t>1150632</t>
  </si>
  <si>
    <t>LBJ.VAV-T-3-046</t>
  </si>
  <si>
    <t>1150633</t>
  </si>
  <si>
    <t>LBJ.VAV-T-3-047</t>
  </si>
  <si>
    <t>1150634</t>
  </si>
  <si>
    <t>LBJ.VAV-T-3-048</t>
  </si>
  <si>
    <t>1150635</t>
  </si>
  <si>
    <t>LBJ.VAV-T-4-025</t>
  </si>
  <si>
    <t>1150636</t>
  </si>
  <si>
    <t>LBJ.VAV-T-4-026</t>
  </si>
  <si>
    <t>1150637</t>
  </si>
  <si>
    <t>LBJ.VAV-T-4-027</t>
  </si>
  <si>
    <t>1150638</t>
  </si>
  <si>
    <t>LBJ.VAV-T-4-028</t>
  </si>
  <si>
    <t>1150639</t>
  </si>
  <si>
    <t>LBJ.VAV-T-4-029</t>
  </si>
  <si>
    <t>1150640</t>
  </si>
  <si>
    <t>LBJ.VAV-T-4-030</t>
  </si>
  <si>
    <t>1150641</t>
  </si>
  <si>
    <t>LBJ.VAV-T-4-031</t>
  </si>
  <si>
    <t>1150642</t>
  </si>
  <si>
    <t>LBJ.VAV-T-4-032</t>
  </si>
  <si>
    <t>1150701</t>
  </si>
  <si>
    <t>LBJ.VAV-T-3-001</t>
  </si>
  <si>
    <t>1150702</t>
  </si>
  <si>
    <t>LBJ.VAV-T-3-002</t>
  </si>
  <si>
    <t>1150703</t>
  </si>
  <si>
    <t>LBJ.VAV-T-3-003</t>
  </si>
  <si>
    <t>1150704</t>
  </si>
  <si>
    <t>LBJ.VAV-T-3-004</t>
  </si>
  <si>
    <t>1150705</t>
  </si>
  <si>
    <t>LBJ.VAV-T-3-005</t>
  </si>
  <si>
    <t>1150706</t>
  </si>
  <si>
    <t>LBJ.VAV-T-3-006</t>
  </si>
  <si>
    <t>1150707</t>
  </si>
  <si>
    <t>LBJ.VAV-T-3-007</t>
  </si>
  <si>
    <t>1150708</t>
  </si>
  <si>
    <t>LBJ.VAV-T-3-008</t>
  </si>
  <si>
    <t>1150709</t>
  </si>
  <si>
    <t>LBJ.VAV-T-3-009</t>
  </si>
  <si>
    <t>1150710</t>
  </si>
  <si>
    <t>LBJ.VAV-T-3-010</t>
  </si>
  <si>
    <t>1150711</t>
  </si>
  <si>
    <t>LBJ.VAV-T-3-011</t>
  </si>
  <si>
    <t>1150712</t>
  </si>
  <si>
    <t>LBJ.VAV-T-3-012</t>
  </si>
  <si>
    <t>1150713</t>
  </si>
  <si>
    <t>LBJ.VAV-T-3-013</t>
  </si>
  <si>
    <t>1151001</t>
  </si>
  <si>
    <t>LBJ.VAV-T-3-014</t>
  </si>
  <si>
    <t>1151002</t>
  </si>
  <si>
    <t>LBJ.VAV-T-3-015</t>
  </si>
  <si>
    <t>1151003</t>
  </si>
  <si>
    <t>LBJ.VAV-T-3-016</t>
  </si>
  <si>
    <t>1151004</t>
  </si>
  <si>
    <t>LBJ.VAV-T-3-017</t>
  </si>
  <si>
    <t>1151005</t>
  </si>
  <si>
    <t>LBJ.VAV-T-3-018</t>
  </si>
  <si>
    <t>1151006</t>
  </si>
  <si>
    <t>LBJ.VAV-T-3-019</t>
  </si>
  <si>
    <t>1151007</t>
  </si>
  <si>
    <t>LBJ.VAV-T-3-020</t>
  </si>
  <si>
    <t>1151008</t>
  </si>
  <si>
    <t>LBJ.VAV-T-3-021</t>
  </si>
  <si>
    <t>1151009</t>
  </si>
  <si>
    <t>LBJ.VAV-T-3-022</t>
  </si>
  <si>
    <t>1151010</t>
  </si>
  <si>
    <t>LBJ.VAV-T-3-023</t>
  </si>
  <si>
    <t>1151011</t>
  </si>
  <si>
    <t>LBJ.VAV-T-3-024</t>
  </si>
  <si>
    <t>1151012</t>
  </si>
  <si>
    <t>LBJ.VAV-T-3-025</t>
  </si>
  <si>
    <t>1151013</t>
  </si>
  <si>
    <t>LBJ.VAV-T-3-026</t>
  </si>
  <si>
    <t>1151014</t>
  </si>
  <si>
    <t>LBJ.VAV-T-4-001</t>
  </si>
  <si>
    <t>1151015</t>
  </si>
  <si>
    <t>LBJ.VAV-T-4-002</t>
  </si>
  <si>
    <t>1151016</t>
  </si>
  <si>
    <t>LBJ.VAV-T-4-003</t>
  </si>
  <si>
    <t>1151017</t>
  </si>
  <si>
    <t>LBJ.VAV-T-4-004</t>
  </si>
  <si>
    <t>1151018</t>
  </si>
  <si>
    <t>LBJ.VAV-T-4-005</t>
  </si>
  <si>
    <t>1151019</t>
  </si>
  <si>
    <t>LBJ.VAV-T-4-006</t>
  </si>
  <si>
    <t>1151020</t>
  </si>
  <si>
    <t>LBJ.VAV-T-4-007</t>
  </si>
  <si>
    <t>1151021</t>
  </si>
  <si>
    <t>LBJ.VAV-T-4-008</t>
  </si>
  <si>
    <t>1151022</t>
  </si>
  <si>
    <t>LBJ.VAV-T-4-009</t>
  </si>
  <si>
    <t>1151023</t>
  </si>
  <si>
    <t>LBJ.VAV-T-4-010</t>
  </si>
  <si>
    <t>1151024</t>
  </si>
  <si>
    <t>LBJ.VAV-T-4-011</t>
  </si>
  <si>
    <t>1151025</t>
  </si>
  <si>
    <t>LBJ.VAV-T-4-012</t>
  </si>
  <si>
    <t>1151026</t>
  </si>
  <si>
    <t>LBJ.VAV-T-4-013</t>
  </si>
  <si>
    <t>1151027</t>
  </si>
  <si>
    <t>LBJ.VAV-T-4-014</t>
  </si>
  <si>
    <t>1151028</t>
  </si>
  <si>
    <t>LBJ.VAV-T-4-015</t>
  </si>
  <si>
    <t>1151029</t>
  </si>
  <si>
    <t>LBJ.VAV-T-4-016</t>
  </si>
  <si>
    <t>1151030</t>
  </si>
  <si>
    <t>LBJ.VAV-T-4-017</t>
  </si>
  <si>
    <t>1151031</t>
  </si>
  <si>
    <t>LBJ.VAV-T-4-018</t>
  </si>
  <si>
    <t>1151032</t>
  </si>
  <si>
    <t>LBJ.VAV-T-4-019</t>
  </si>
  <si>
    <t>1151033</t>
  </si>
  <si>
    <t>LBJ.VAV-T-4-020</t>
  </si>
  <si>
    <t>1151034</t>
  </si>
  <si>
    <t>LBJ.VAV-T-4-021</t>
  </si>
  <si>
    <t>1151035</t>
  </si>
  <si>
    <t>LBJ.VAV-T-4-022</t>
  </si>
  <si>
    <t>1151036</t>
  </si>
  <si>
    <t>LBJ.VAV-T-4-023</t>
  </si>
  <si>
    <t>1151037</t>
  </si>
  <si>
    <t>LBJ.VAV-T-4-024</t>
  </si>
  <si>
    <t>1151038</t>
  </si>
  <si>
    <t>LBJ.VAV-T-4-033</t>
  </si>
  <si>
    <t>1151039</t>
  </si>
  <si>
    <t>LBJ.VAV-T-4-034</t>
  </si>
  <si>
    <t>1151701</t>
  </si>
  <si>
    <t>LBJ.VAV-T-5-001</t>
  </si>
  <si>
    <t>1151702</t>
  </si>
  <si>
    <t>LBJ.VAV-T-5-002</t>
  </si>
  <si>
    <t>1151703</t>
  </si>
  <si>
    <t>LBJ.VAV-T-5-003</t>
  </si>
  <si>
    <t>1151704</t>
  </si>
  <si>
    <t>LBJ.VAV-T-5-004</t>
  </si>
  <si>
    <t>1151705</t>
  </si>
  <si>
    <t>LBJ.VAV-T-5-005</t>
  </si>
  <si>
    <t>1151706</t>
  </si>
  <si>
    <t>LBJ.VAV-T-5-006</t>
  </si>
  <si>
    <t>1151707</t>
  </si>
  <si>
    <t>LBJ.VAV-T-5-007</t>
  </si>
  <si>
    <t>1151708</t>
  </si>
  <si>
    <t>LBJ.VAV-T-5-008</t>
  </si>
  <si>
    <t>1151709</t>
  </si>
  <si>
    <t>LBJ.VAV-T-5-009</t>
  </si>
  <si>
    <t>1151710</t>
  </si>
  <si>
    <t>LBJ.VAV-T-5-010</t>
  </si>
  <si>
    <t>1151711</t>
  </si>
  <si>
    <t>LBJ.VAV-T-5-011</t>
  </si>
  <si>
    <t>1151712</t>
  </si>
  <si>
    <t>LBJ.VAV-T-5-012</t>
  </si>
  <si>
    <t>1151713</t>
  </si>
  <si>
    <t>LBJ.VAV-T-5-013</t>
  </si>
  <si>
    <t>1151714</t>
  </si>
  <si>
    <t>LBJ.VAV-T-5-014</t>
  </si>
  <si>
    <t>1151715</t>
  </si>
  <si>
    <t>LBJ.VAV-T-5-015</t>
  </si>
  <si>
    <t>1151716</t>
  </si>
  <si>
    <t>LBJ.VAV-T-5-016</t>
  </si>
  <si>
    <t>1151717</t>
  </si>
  <si>
    <t>LBJ.VAV-T-5-017</t>
  </si>
  <si>
    <t>1151718</t>
  </si>
  <si>
    <t>LBJ.VAV-T-5-018</t>
  </si>
  <si>
    <t>1151719</t>
  </si>
  <si>
    <t>LBJ.VAV-T-5-019</t>
  </si>
  <si>
    <t>1151301</t>
  </si>
  <si>
    <t>LBJ.VAV-T-5-020</t>
  </si>
  <si>
    <t>1151302</t>
  </si>
  <si>
    <t>LBJ.VAV-T-5-021</t>
  </si>
  <si>
    <t>1151303</t>
  </si>
  <si>
    <t>LBJ.VAV-T-5-022</t>
  </si>
  <si>
    <t>1151304</t>
  </si>
  <si>
    <t>LBJ.VAV-T-5-023</t>
  </si>
  <si>
    <t>1151305</t>
  </si>
  <si>
    <t>LBJ.VAV-T-5-024</t>
  </si>
  <si>
    <t>1151306</t>
  </si>
  <si>
    <t>LBJ.VAV-T-5-025</t>
  </si>
  <si>
    <t>1151307</t>
  </si>
  <si>
    <t>LBJ.VAV-T-5-026</t>
  </si>
  <si>
    <t>1151308</t>
  </si>
  <si>
    <t>LBJ.VAV-T-5-027</t>
  </si>
  <si>
    <t>1151309</t>
  </si>
  <si>
    <t>LBJ.VAV-T-5-028</t>
  </si>
  <si>
    <t>1151310</t>
  </si>
  <si>
    <t>LBJ.VAV-T-5-029</t>
  </si>
  <si>
    <t>1151311</t>
  </si>
  <si>
    <t>LBJ.VAV-T-5-030</t>
  </si>
  <si>
    <t>1151312</t>
  </si>
  <si>
    <t>LBJ.VAV-T-5-031</t>
  </si>
  <si>
    <t>1151313</t>
  </si>
  <si>
    <t>LBJ.VAV-T-5-032</t>
  </si>
  <si>
    <t>1151314</t>
  </si>
  <si>
    <t>LBJ.VAV-T-5-033</t>
  </si>
  <si>
    <t>1151315</t>
  </si>
  <si>
    <t>LBJ.VAV-T-5-034</t>
  </si>
  <si>
    <t>1151316</t>
  </si>
  <si>
    <t>LBJ.VAV-T-5-035</t>
  </si>
  <si>
    <t>1151317</t>
  </si>
  <si>
    <t>LBJ.VAV-T-5-036</t>
  </si>
  <si>
    <t>LBJ.AHU6-1.71517</t>
  </si>
  <si>
    <t>OUTSIDE AIR</t>
  </si>
  <si>
    <t>GTC116-P+</t>
  </si>
  <si>
    <t>AFMS-OA-HVU6-1</t>
  </si>
  <si>
    <t>AFMS-OA-HVU6-2</t>
  </si>
  <si>
    <t>AFMS-OA-AHU4-1</t>
  </si>
  <si>
    <t>AFMS-OA-AHU2-2</t>
  </si>
  <si>
    <t>AFMS-OA-AHU2-3</t>
  </si>
  <si>
    <t>AFMS-OA-AHU4-3</t>
  </si>
  <si>
    <t>AFMS-OA-AHU4-4</t>
  </si>
  <si>
    <t>AFMS-OA-AHU4-6</t>
  </si>
  <si>
    <t>AFMS-OA-AHU1-4</t>
  </si>
  <si>
    <t>AFMS-OA-AHU1-6</t>
  </si>
  <si>
    <t>AFMS-OA-AHU3-1</t>
  </si>
  <si>
    <t>D-1A-REA</t>
  </si>
  <si>
    <t>D-1A-RA2</t>
  </si>
  <si>
    <t>D-1A-RA1</t>
  </si>
  <si>
    <t>D-1A-MINOA</t>
  </si>
  <si>
    <t>D-1A-MAXOA</t>
  </si>
  <si>
    <t>RELIEF AIR</t>
  </si>
  <si>
    <t>RETURN AIR - MIXING BOX</t>
  </si>
  <si>
    <t>RETURN AIR - SUPPLY ISOLATION</t>
  </si>
  <si>
    <t>MIN OUTSIDE AIR</t>
  </si>
  <si>
    <t>MAX OUTSIDE AIR</t>
  </si>
  <si>
    <t>Parallel</t>
  </si>
  <si>
    <t>Opposed</t>
  </si>
  <si>
    <t>CD-60</t>
  </si>
  <si>
    <t>D-1B-REA</t>
  </si>
  <si>
    <t>D-1B-RA1</t>
  </si>
  <si>
    <t>D-1B-RA2</t>
  </si>
  <si>
    <t>D-1B-MINOA</t>
  </si>
  <si>
    <t>D-1B-MAXOA</t>
  </si>
  <si>
    <t>D-2A-REA</t>
  </si>
  <si>
    <t>D-2A-RA1</t>
  </si>
  <si>
    <t>D-2A-RA2</t>
  </si>
  <si>
    <t>D-2A-MINOA</t>
  </si>
  <si>
    <t>D-2A-MAXOA</t>
  </si>
  <si>
    <t>D-2B-REA</t>
  </si>
  <si>
    <t>D-2B-RA1</t>
  </si>
  <si>
    <t>D-2B-RA2</t>
  </si>
  <si>
    <t>D-2B-MINOA</t>
  </si>
  <si>
    <t>D-2B-MAXOA</t>
  </si>
  <si>
    <t>D-3A-REA</t>
  </si>
  <si>
    <t>D-3A-RA1</t>
  </si>
  <si>
    <t>D-3A-RA2</t>
  </si>
  <si>
    <t>D-3A-MINOA</t>
  </si>
  <si>
    <t>D-3A-MAXOA</t>
  </si>
  <si>
    <t>D-3B-REA</t>
  </si>
  <si>
    <t>D-3B-RA1</t>
  </si>
  <si>
    <t>D-3B-RA2</t>
  </si>
  <si>
    <t>D-3B-MINOA</t>
  </si>
  <si>
    <t>D-3B-MAXOA</t>
  </si>
  <si>
    <t>44OP-245597</t>
  </si>
  <si>
    <t>TFC JH Winters AHU Reno.</t>
  </si>
  <si>
    <t>CD50</t>
  </si>
  <si>
    <t>AE-2</t>
  </si>
  <si>
    <t>AE-3</t>
  </si>
  <si>
    <t>AE-5</t>
  </si>
  <si>
    <t>AMS050</t>
  </si>
  <si>
    <t>Belimo</t>
  </si>
  <si>
    <t>*By Manuf.</t>
  </si>
  <si>
    <t xml:space="preserve">REV BY: </t>
  </si>
  <si>
    <t>JV</t>
  </si>
  <si>
    <t xml:space="preserve">SIEMENS </t>
  </si>
  <si>
    <t xml:space="preserve">REV DATE: </t>
  </si>
  <si>
    <t xml:space="preserve">BUILDING TECHNOLOGIES DIVISION  </t>
  </si>
  <si>
    <t xml:space="preserve">JOB NUMBER: </t>
  </si>
  <si>
    <t>44OP-239338</t>
  </si>
  <si>
    <t>WATER FLOW METER SCHEDULE</t>
  </si>
  <si>
    <t xml:space="preserve">JOB NAME: </t>
  </si>
  <si>
    <t xml:space="preserve">ACC Rio-Grande Renovation </t>
  </si>
  <si>
    <t>ACC Rio Grande Flow Meter</t>
  </si>
  <si>
    <t>METER TAG</t>
  </si>
  <si>
    <t>Drawing Tag</t>
  </si>
  <si>
    <t>SERVICE/FUNCTION</t>
  </si>
  <si>
    <t>LINE SIZE (IN)</t>
  </si>
  <si>
    <t>METER SIZE (IN)</t>
  </si>
  <si>
    <t>MIN METER FLOW (GPM)</t>
  </si>
  <si>
    <t>MAX METER FLOW (GPM)</t>
  </si>
  <si>
    <t>ACTUATL METER FLOW (GPM)</t>
  </si>
  <si>
    <t>MANUFACTURER</t>
  </si>
  <si>
    <t>OUTPUT SIGNAL</t>
  </si>
  <si>
    <t>POWER SUPPLY</t>
  </si>
  <si>
    <t>Gridline</t>
  </si>
  <si>
    <t>Note</t>
  </si>
  <si>
    <t>FM-1</t>
  </si>
  <si>
    <t>FM-1000-CHW</t>
  </si>
  <si>
    <r>
      <rPr>
        <sz val="8"/>
        <rFont val="Arial"/>
        <family val="2"/>
      </rPr>
      <t>CHW</t>
    </r>
  </si>
  <si>
    <r>
      <rPr>
        <sz val="8"/>
        <rFont val="Arial"/>
        <family val="2"/>
      </rPr>
      <t>8"</t>
    </r>
  </si>
  <si>
    <t>BADGER</t>
  </si>
  <si>
    <t>M2-080-R1-A-E-WW-S-XX-G-S</t>
  </si>
  <si>
    <r>
      <rPr>
        <sz val="8"/>
        <rFont val="Arial"/>
        <family val="2"/>
      </rPr>
      <t>BADGERMETER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M2000</t>
    </r>
  </si>
  <si>
    <t>24VDC</t>
  </si>
  <si>
    <t>FM-2</t>
  </si>
  <si>
    <t>FM-1000-HW</t>
  </si>
  <si>
    <r>
      <rPr>
        <sz val="8"/>
        <rFont val="Arial"/>
        <family val="2"/>
      </rPr>
      <t>HW</t>
    </r>
  </si>
  <si>
    <t>6"</t>
  </si>
  <si>
    <r>
      <rPr>
        <sz val="8"/>
        <rFont val="Arial"/>
        <family val="2"/>
      </rPr>
      <t>6"</t>
    </r>
  </si>
  <si>
    <t>M2-060-P1-A-E-WW-S-XX-G-S</t>
  </si>
  <si>
    <t>FM-3</t>
  </si>
  <si>
    <t>FM-AHU-CB-1-CHW</t>
  </si>
  <si>
    <r>
      <rPr>
        <sz val="8"/>
        <rFont val="Arial"/>
        <family val="2"/>
      </rPr>
      <t>4"</t>
    </r>
  </si>
  <si>
    <t>M2-040-R1-A-E-WW-S-XX-G-S</t>
  </si>
  <si>
    <t>FM-4</t>
  </si>
  <si>
    <t>FM-AHU-CB-1-HW</t>
  </si>
  <si>
    <r>
      <rPr>
        <sz val="8"/>
        <rFont val="Arial"/>
        <family val="2"/>
      </rPr>
      <t>2"</t>
    </r>
  </si>
  <si>
    <t>M2-020-P1-A-E-WW-S-XX-G-S</t>
  </si>
  <si>
    <t>FM-5</t>
  </si>
  <si>
    <t>FM-AHU-CB-2-CHW</t>
  </si>
  <si>
    <t>FM-6</t>
  </si>
  <si>
    <t>FM-AHU-CB-2-HW</t>
  </si>
  <si>
    <t>3"</t>
  </si>
  <si>
    <t>FM-7</t>
  </si>
  <si>
    <t>FM-AHU-LABS-CHW</t>
  </si>
  <si>
    <t>FM-8</t>
  </si>
  <si>
    <t>FM-AHU-LABS-HW</t>
  </si>
  <si>
    <t>4"</t>
  </si>
  <si>
    <r>
      <rPr>
        <sz val="8"/>
        <rFont val="Arial"/>
        <family val="2"/>
      </rPr>
      <t>3"</t>
    </r>
  </si>
  <si>
    <t>M2-030-P1-A-E-WW-S-XX-G-S</t>
  </si>
  <si>
    <t>FM-9</t>
  </si>
  <si>
    <t>FM-AHU-VAV-1-CHW</t>
  </si>
  <si>
    <t>FM-10</t>
  </si>
  <si>
    <t>FM-AHU-VAV-1-HW</t>
  </si>
  <si>
    <t>2-1/2"</t>
  </si>
  <si>
    <t>FM-11</t>
  </si>
  <si>
    <t>FM-AHU-VAV-2-CHW</t>
  </si>
  <si>
    <t>FM-12</t>
  </si>
  <si>
    <t>FM-AHU-VAV-2-HW</t>
  </si>
  <si>
    <t>2"</t>
  </si>
  <si>
    <t>FM-13</t>
  </si>
  <si>
    <t>FM-HX-CHW</t>
  </si>
  <si>
    <t>M2-060-R1-A-E-WW-S-XX-G-S</t>
  </si>
  <si>
    <t>FM-14</t>
  </si>
  <si>
    <t>FM-MTCHW</t>
  </si>
  <si>
    <r>
      <rPr>
        <sz val="8"/>
        <rFont val="Arial"/>
        <family val="2"/>
      </rPr>
      <t>MTCHW</t>
    </r>
  </si>
  <si>
    <t>FM-15</t>
  </si>
  <si>
    <t>FM-MTCHW-MU</t>
  </si>
  <si>
    <r>
      <rPr>
        <sz val="8"/>
        <rFont val="Arial"/>
        <family val="2"/>
      </rPr>
      <t>MTCHW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MU</t>
    </r>
  </si>
  <si>
    <t>1"</t>
  </si>
  <si>
    <t>M70-100LNSC-HS-GA-XX</t>
  </si>
  <si>
    <r>
      <rPr>
        <sz val="8"/>
        <rFont val="Arial"/>
        <family val="2"/>
      </rPr>
      <t>BADGER INDUSTRIAL RDCL (BRONZE)</t>
    </r>
  </si>
  <si>
    <t>Internal 4-20mA</t>
  </si>
  <si>
    <t>FM-16</t>
  </si>
  <si>
    <t>FM-CHW</t>
  </si>
  <si>
    <t>CHILLED WATER TOTAL BUILDING</t>
  </si>
  <si>
    <t>12"</t>
  </si>
  <si>
    <r>
      <rPr>
        <sz val="8"/>
        <rFont val="Arial"/>
        <family val="2"/>
      </rPr>
      <t>10"</t>
    </r>
  </si>
  <si>
    <t>M2-100-R1-A-E-WW-S-XX-G-S</t>
  </si>
  <si>
    <r>
      <rPr>
        <sz val="8"/>
        <rFont val="Arial"/>
        <family val="2"/>
      </rPr>
      <t>BADGERMETER M2000</t>
    </r>
    <r>
      <rPr>
        <sz val="10"/>
        <color indexed="8"/>
        <rFont val="Arial"/>
        <family val="2"/>
      </rPr>
      <t/>
    </r>
  </si>
  <si>
    <t>FM-17</t>
  </si>
  <si>
    <t>FM-CHW-CH-1</t>
  </si>
  <si>
    <t>CHILLED WATER CHILLER 1</t>
  </si>
  <si>
    <t>10"</t>
  </si>
  <si>
    <t>FM-18</t>
  </si>
  <si>
    <t>FM-CHW-CH-2</t>
  </si>
  <si>
    <t>CHILLED WATER CHILLER 2</t>
  </si>
  <si>
    <t>FM-19</t>
  </si>
  <si>
    <t>FM-CHW-MU</t>
  </si>
  <si>
    <t>CHILLED WATER MAKEUP</t>
  </si>
  <si>
    <t>1-1/2"</t>
  </si>
  <si>
    <t>M2-015-P1-A-F-AF-S-XX-G-S</t>
  </si>
  <si>
    <t>FM-20</t>
  </si>
  <si>
    <t>FM-CW-BD</t>
  </si>
  <si>
    <t>CONDENSING WATER BLOWDOWN</t>
  </si>
  <si>
    <t>M2-020-P1-A-F-AF-S-XX-G-S</t>
  </si>
  <si>
    <r>
      <rPr>
        <sz val="8"/>
        <rFont val="Arial"/>
        <family val="2"/>
      </rPr>
      <t>BADGERMETER M2000</t>
    </r>
  </si>
  <si>
    <t>FM-21</t>
  </si>
  <si>
    <t>FM-CW-CH-1</t>
  </si>
  <si>
    <t>CONDENSING WATER CHILLER 1</t>
  </si>
  <si>
    <t>FM-22</t>
  </si>
  <si>
    <t>FM-CW-CH-2</t>
  </si>
  <si>
    <t>CONDENSING WATER CHILLER 2</t>
  </si>
  <si>
    <t>FM-23</t>
  </si>
  <si>
    <t>FM-CW-MU</t>
  </si>
  <si>
    <t>CONDENSING WATER MAKEUP</t>
  </si>
  <si>
    <t>M70-100LLSC-HS-GA-XX</t>
  </si>
  <si>
    <t>FM-24</t>
  </si>
  <si>
    <t>FM-CW-MU-REC</t>
  </si>
  <si>
    <r>
      <rPr>
        <sz val="8"/>
        <rFont val="Arial"/>
        <family val="2"/>
      </rPr>
      <t>CW MU</t>
    </r>
  </si>
  <si>
    <t>FM-25</t>
  </si>
  <si>
    <t>FM-HW</t>
  </si>
  <si>
    <t>FM-26</t>
  </si>
  <si>
    <t>FM-HWMU</t>
  </si>
  <si>
    <t>HEATING WATER MAKE UP</t>
  </si>
  <si>
    <r>
      <rPr>
        <sz val="8"/>
        <rFont val="Arial"/>
        <family val="2"/>
      </rPr>
      <t>1"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</si>
</sst>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mm/dd/yy"/>
    <numFmt numFmtId="165" formatCode="0#"/>
    <numFmt numFmtId="166" formatCode="00"/>
    <numFmt numFmtId="167" formatCode="0.0"/>
    <numFmt numFmtId="168" formatCode="_(* #,##0.0_);_(* \(#,##0.0\);_(* &quot;-&quot;??_);_(@_)"/>
    <numFmt numFmtId="169" formatCode="General_)"/>
    <numFmt numFmtId="170" formatCode="0.0_)"/>
    <numFmt numFmtId="171" formatCode="0_)"/>
  </numFmts>
  <fonts count="54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10"/>
      <name val="Roman 12cpi"/>
    </font>
    <font>
      <b/>
      <sz val="11"/>
      <name val="Arial"/>
      <family val="2"/>
    </font>
    <font>
      <b/>
      <sz val="11"/>
      <name val="MS Sans Serif"/>
      <family val="2"/>
    </font>
    <font>
      <sz val="11"/>
      <name val="MS Sans Serif"/>
      <family val="2"/>
    </font>
    <font>
      <sz val="11"/>
      <name val="Roman 12cpi"/>
    </font>
    <font>
      <sz val="11"/>
      <name val="MS Sans Serif"/>
      <family val="2"/>
    </font>
    <font>
      <sz val="11"/>
      <name val="Arial"/>
      <family val="2"/>
    </font>
    <font>
      <b/>
      <sz val="11"/>
      <name val="MS Sans Serif"/>
      <family val="2"/>
    </font>
    <font>
      <sz val="10"/>
      <name val="Times New Roman"/>
      <family val="1"/>
    </font>
    <font>
      <b/>
      <sz val="18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Roman 12cpi"/>
    </font>
    <font>
      <sz val="10"/>
      <color indexed="40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b/>
      <sz val="8"/>
      <color indexed="10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sz val="12"/>
      <name val="Helv"/>
    </font>
    <font>
      <sz val="10"/>
      <name val="Arial"/>
      <family val="2"/>
    </font>
    <font>
      <sz val="10"/>
      <color indexed="42"/>
      <name val="Arial"/>
      <family val="2"/>
    </font>
    <font>
      <sz val="10"/>
      <color indexed="12"/>
      <name val="Arial"/>
      <family val="2"/>
    </font>
    <font>
      <b/>
      <sz val="9"/>
      <name val="Arial"/>
      <family val="2"/>
    </font>
    <font>
      <b/>
      <sz val="10"/>
      <color indexed="17"/>
      <name val="Arial"/>
      <family val="2"/>
    </font>
    <font>
      <b/>
      <sz val="10"/>
      <color rgb="FF00B050"/>
      <name val="Arial"/>
      <family val="2"/>
    </font>
    <font>
      <b/>
      <sz val="10"/>
      <color rgb="FFFF9900"/>
      <name val="Arial"/>
      <family val="2"/>
    </font>
    <font>
      <sz val="10"/>
      <color rgb="FFFF9900"/>
      <name val="Arial"/>
      <family val="2"/>
    </font>
    <font>
      <b/>
      <sz val="10"/>
      <color rgb="FF339966"/>
      <name val="Arial"/>
      <family val="2"/>
    </font>
    <font>
      <b/>
      <sz val="9"/>
      <name val="Siemens Sans"/>
    </font>
    <font>
      <sz val="9"/>
      <name val="MS Sans Serif"/>
      <family val="2"/>
    </font>
    <font>
      <b/>
      <sz val="10"/>
      <name val="Siemens Sans"/>
    </font>
    <font>
      <b/>
      <sz val="10"/>
      <name val="Tahoma"/>
      <family val="2"/>
    </font>
    <font>
      <b/>
      <sz val="11"/>
      <name val="Tahoma"/>
      <family val="2"/>
    </font>
    <font>
      <sz val="10"/>
      <name val="Tahoma"/>
      <family val="2"/>
    </font>
    <font>
      <sz val="10"/>
      <color rgb="FF000000"/>
      <name val="Times New Roman"/>
      <family val="1"/>
    </font>
    <font>
      <sz val="9"/>
      <name val="Tahoma"/>
      <family val="2"/>
    </font>
    <font>
      <sz val="8"/>
      <color rgb="FF000000"/>
      <name val="Arial"/>
      <family val="2"/>
    </font>
    <font>
      <sz val="8"/>
      <name val="Times New Roman"/>
      <family val="1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64"/>
      </right>
      <top/>
      <bottom style="double">
        <color indexed="8"/>
      </bottom>
      <diagonal/>
    </border>
    <border>
      <left style="medium">
        <color indexed="64"/>
      </left>
      <right style="medium">
        <color indexed="64"/>
      </right>
      <top/>
      <bottom style="double">
        <color indexed="8"/>
      </bottom>
      <diagonal/>
    </border>
    <border>
      <left/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 style="double">
        <color indexed="8"/>
      </bottom>
      <diagonal/>
    </border>
    <border>
      <left style="medium">
        <color indexed="8"/>
      </left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double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medium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8"/>
      </left>
      <right style="double">
        <color indexed="8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double">
        <color indexed="8"/>
      </bottom>
      <diagonal/>
    </border>
    <border>
      <left style="medium">
        <color indexed="8"/>
      </left>
      <right/>
      <top style="double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3">
    <xf numFmtId="0" fontId="0" fillId="0" borderId="0"/>
    <xf numFmtId="40" fontId="13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169" fontId="33" fillId="0" borderId="0"/>
    <xf numFmtId="0" fontId="1" fillId="0" borderId="0"/>
    <xf numFmtId="0" fontId="14" fillId="0" borderId="0"/>
    <xf numFmtId="0" fontId="49" fillId="0" borderId="0"/>
    <xf numFmtId="0" fontId="49" fillId="0" borderId="0"/>
  </cellStyleXfs>
  <cellXfs count="787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0" fontId="7" fillId="0" borderId="8" xfId="0" applyNumberFormat="1" applyFont="1" applyBorder="1" applyAlignment="1">
      <alignment horizontal="center"/>
    </xf>
    <xf numFmtId="164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5" xfId="0" applyNumberFormat="1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49" fontId="7" fillId="0" borderId="0" xfId="0" applyNumberFormat="1" applyFont="1" applyBorder="1" applyAlignment="1">
      <alignment horizontal="right"/>
    </xf>
    <xf numFmtId="0" fontId="8" fillId="0" borderId="0" xfId="0" applyFont="1" applyBorder="1"/>
    <xf numFmtId="0" fontId="8" fillId="0" borderId="0" xfId="0" applyNumberFormat="1" applyFont="1" applyAlignment="1">
      <alignment horizontal="center"/>
    </xf>
    <xf numFmtId="49" fontId="7" fillId="0" borderId="9" xfId="0" applyNumberFormat="1" applyFont="1" applyBorder="1" applyAlignment="1">
      <alignment horizontal="center"/>
    </xf>
    <xf numFmtId="0" fontId="8" fillId="0" borderId="0" xfId="0" applyNumberFormat="1" applyFont="1"/>
    <xf numFmtId="49" fontId="8" fillId="0" borderId="0" xfId="0" applyNumberFormat="1" applyFont="1"/>
    <xf numFmtId="165" fontId="7" fillId="0" borderId="0" xfId="0" applyNumberFormat="1" applyFont="1" applyFill="1" applyBorder="1" applyAlignment="1">
      <alignment horizontal="center"/>
    </xf>
    <xf numFmtId="1" fontId="8" fillId="0" borderId="0" xfId="0" applyNumberFormat="1" applyFont="1"/>
    <xf numFmtId="0" fontId="8" fillId="0" borderId="0" xfId="0" applyFont="1" applyFill="1" applyBorder="1"/>
    <xf numFmtId="0" fontId="7" fillId="0" borderId="0" xfId="0" applyFont="1" applyFill="1" applyBorder="1"/>
    <xf numFmtId="0" fontId="7" fillId="0" borderId="1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5" fillId="0" borderId="0" xfId="0" applyFont="1"/>
    <xf numFmtId="0" fontId="16" fillId="0" borderId="0" xfId="10" applyFont="1" applyFill="1" applyBorder="1" applyAlignment="1">
      <alignment horizontal="center"/>
    </xf>
    <xf numFmtId="2" fontId="16" fillId="0" borderId="0" xfId="10" applyNumberFormat="1" applyFont="1" applyFill="1" applyBorder="1" applyAlignment="1">
      <alignment horizontal="center"/>
    </xf>
    <xf numFmtId="0" fontId="17" fillId="0" borderId="0" xfId="10" applyFont="1" applyFill="1" applyBorder="1" applyAlignment="1">
      <alignment horizontal="center"/>
    </xf>
    <xf numFmtId="0" fontId="17" fillId="0" borderId="0" xfId="10" applyFont="1" applyFill="1" applyAlignment="1">
      <alignment horizontal="center"/>
    </xf>
    <xf numFmtId="12" fontId="17" fillId="0" borderId="0" xfId="10" applyNumberFormat="1" applyFont="1" applyFill="1" applyBorder="1" applyAlignment="1">
      <alignment horizontal="center"/>
    </xf>
    <xf numFmtId="0" fontId="17" fillId="0" borderId="0" xfId="10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12" fontId="17" fillId="0" borderId="0" xfId="10" applyNumberFormat="1" applyFont="1" applyBorder="1" applyAlignment="1">
      <alignment horizontal="center"/>
    </xf>
    <xf numFmtId="0" fontId="17" fillId="0" borderId="0" xfId="10" applyFont="1" applyAlignment="1">
      <alignment horizontal="center"/>
    </xf>
    <xf numFmtId="167" fontId="16" fillId="0" borderId="11" xfId="10" applyNumberFormat="1" applyFont="1" applyBorder="1" applyAlignment="1">
      <alignment horizontal="center"/>
    </xf>
    <xf numFmtId="0" fontId="16" fillId="0" borderId="12" xfId="10" applyFont="1" applyBorder="1" applyAlignment="1">
      <alignment horizontal="center"/>
    </xf>
    <xf numFmtId="2" fontId="16" fillId="0" borderId="12" xfId="10" applyNumberFormat="1" applyFont="1" applyBorder="1" applyAlignment="1">
      <alignment horizontal="center"/>
    </xf>
    <xf numFmtId="0" fontId="16" fillId="0" borderId="13" xfId="10" applyFont="1" applyFill="1" applyBorder="1" applyAlignment="1">
      <alignment horizontal="center"/>
    </xf>
    <xf numFmtId="0" fontId="16" fillId="0" borderId="11" xfId="10" applyFont="1" applyFill="1" applyBorder="1" applyAlignment="1">
      <alignment horizontal="center"/>
    </xf>
    <xf numFmtId="0" fontId="15" fillId="0" borderId="12" xfId="4" applyFont="1" applyFill="1" applyBorder="1" applyAlignment="1">
      <alignment horizontal="center"/>
    </xf>
    <xf numFmtId="0" fontId="15" fillId="0" borderId="14" xfId="5" applyFont="1" applyFill="1" applyBorder="1" applyAlignment="1">
      <alignment horizontal="center"/>
    </xf>
    <xf numFmtId="168" fontId="19" fillId="2" borderId="3" xfId="1" applyNumberFormat="1" applyFont="1" applyFill="1" applyBorder="1" applyAlignment="1">
      <alignment horizontal="center"/>
    </xf>
    <xf numFmtId="1" fontId="19" fillId="2" borderId="15" xfId="10" applyNumberFormat="1" applyFont="1" applyFill="1" applyBorder="1" applyAlignment="1">
      <alignment horizontal="center"/>
    </xf>
    <xf numFmtId="2" fontId="19" fillId="3" borderId="6" xfId="1" applyNumberFormat="1" applyFont="1" applyFill="1" applyBorder="1" applyAlignment="1">
      <alignment horizontal="center" vertical="center"/>
    </xf>
    <xf numFmtId="167" fontId="19" fillId="3" borderId="16" xfId="10" applyNumberFormat="1" applyFont="1" applyFill="1" applyBorder="1" applyAlignment="1">
      <alignment horizontal="center"/>
    </xf>
    <xf numFmtId="0" fontId="21" fillId="0" borderId="0" xfId="10" applyFont="1" applyFill="1" applyBorder="1" applyAlignment="1">
      <alignment horizontal="center"/>
    </xf>
    <xf numFmtId="0" fontId="14" fillId="0" borderId="0" xfId="10"/>
    <xf numFmtId="167" fontId="19" fillId="0" borderId="0" xfId="10" applyNumberFormat="1" applyFont="1" applyAlignment="1">
      <alignment horizontal="center"/>
    </xf>
    <xf numFmtId="2" fontId="17" fillId="0" borderId="0" xfId="10" applyNumberFormat="1" applyFont="1" applyAlignment="1">
      <alignment horizontal="center"/>
    </xf>
    <xf numFmtId="12" fontId="17" fillId="0" borderId="0" xfId="10" applyNumberFormat="1" applyFont="1" applyAlignment="1">
      <alignment horizontal="center"/>
    </xf>
    <xf numFmtId="0" fontId="13" fillId="0" borderId="0" xfId="10" applyFont="1" applyFill="1"/>
    <xf numFmtId="0" fontId="23" fillId="0" borderId="0" xfId="10" applyFont="1" applyFill="1" applyBorder="1" applyAlignment="1">
      <alignment horizontal="centerContinuous"/>
    </xf>
    <xf numFmtId="0" fontId="13" fillId="0" borderId="0" xfId="10" applyFont="1" applyFill="1" applyBorder="1"/>
    <xf numFmtId="12" fontId="13" fillId="0" borderId="0" xfId="10" applyNumberFormat="1" applyFont="1" applyFill="1" applyBorder="1"/>
    <xf numFmtId="0" fontId="13" fillId="0" borderId="3" xfId="10" applyFont="1" applyBorder="1"/>
    <xf numFmtId="0" fontId="13" fillId="4" borderId="3" xfId="10" applyFont="1" applyFill="1" applyBorder="1"/>
    <xf numFmtId="0" fontId="13" fillId="0" borderId="17" xfId="10" applyFont="1" applyBorder="1" applyAlignment="1">
      <alignment horizontal="center"/>
    </xf>
    <xf numFmtId="0" fontId="13" fillId="0" borderId="18" xfId="10" applyFont="1" applyBorder="1"/>
    <xf numFmtId="2" fontId="13" fillId="0" borderId="0" xfId="10" applyNumberFormat="1" applyFont="1" applyAlignment="1">
      <alignment horizontal="center"/>
    </xf>
    <xf numFmtId="0" fontId="13" fillId="0" borderId="0" xfId="10" applyFont="1"/>
    <xf numFmtId="12" fontId="13" fillId="0" borderId="0" xfId="10" applyNumberFormat="1" applyFont="1"/>
    <xf numFmtId="2" fontId="13" fillId="0" borderId="0" xfId="10" applyNumberFormat="1" applyFont="1"/>
    <xf numFmtId="0" fontId="13" fillId="0" borderId="0" xfId="10" applyFont="1" applyBorder="1"/>
    <xf numFmtId="0" fontId="13" fillId="0" borderId="0" xfId="10" applyFont="1" applyBorder="1" applyAlignment="1">
      <alignment horizontal="center"/>
    </xf>
    <xf numFmtId="167" fontId="13" fillId="0" borderId="0" xfId="10" applyNumberFormat="1" applyFont="1" applyBorder="1" applyAlignment="1">
      <alignment horizontal="center"/>
    </xf>
    <xf numFmtId="12" fontId="13" fillId="0" borderId="0" xfId="10" applyNumberFormat="1" applyFont="1" applyBorder="1" applyAlignment="1">
      <alignment horizontal="center"/>
    </xf>
    <xf numFmtId="0" fontId="13" fillId="0" borderId="6" xfId="10" applyFont="1" applyBorder="1"/>
    <xf numFmtId="0" fontId="13" fillId="4" borderId="6" xfId="10" applyFont="1" applyFill="1" applyBorder="1"/>
    <xf numFmtId="0" fontId="13" fillId="0" borderId="17" xfId="10" applyFont="1" applyFill="1" applyBorder="1" applyAlignment="1">
      <alignment horizontal="center"/>
    </xf>
    <xf numFmtId="0" fontId="13" fillId="0" borderId="19" xfId="10" applyFont="1" applyFill="1" applyBorder="1"/>
    <xf numFmtId="0" fontId="13" fillId="0" borderId="0" xfId="10" applyFont="1" applyFill="1" applyBorder="1" applyAlignment="1">
      <alignment horizontal="center"/>
    </xf>
    <xf numFmtId="0" fontId="13" fillId="0" borderId="19" xfId="10" applyFont="1" applyBorder="1"/>
    <xf numFmtId="0" fontId="22" fillId="0" borderId="6" xfId="10" applyFont="1" applyBorder="1" applyAlignment="1">
      <alignment horizontal="center"/>
    </xf>
    <xf numFmtId="0" fontId="22" fillId="0" borderId="6" xfId="10" applyFont="1" applyBorder="1"/>
    <xf numFmtId="167" fontId="24" fillId="0" borderId="0" xfId="10" applyNumberFormat="1" applyFont="1"/>
    <xf numFmtId="0" fontId="13" fillId="0" borderId="0" xfId="10" applyFont="1" applyAlignment="1">
      <alignment horizontal="center"/>
    </xf>
    <xf numFmtId="0" fontId="22" fillId="0" borderId="0" xfId="10" applyFont="1" applyAlignment="1">
      <alignment horizontal="center"/>
    </xf>
    <xf numFmtId="0" fontId="25" fillId="5" borderId="20" xfId="10" applyFont="1" applyFill="1" applyBorder="1"/>
    <xf numFmtId="0" fontId="22" fillId="0" borderId="1" xfId="10" applyFont="1" applyBorder="1" applyAlignment="1">
      <alignment horizontal="center"/>
    </xf>
    <xf numFmtId="0" fontId="22" fillId="0" borderId="6" xfId="10" applyFont="1" applyFill="1" applyBorder="1"/>
    <xf numFmtId="0" fontId="22" fillId="0" borderId="6" xfId="10" applyFont="1" applyFill="1" applyBorder="1" applyAlignment="1">
      <alignment horizontal="center"/>
    </xf>
    <xf numFmtId="0" fontId="13" fillId="0" borderId="6" xfId="10" applyFont="1" applyBorder="1" applyAlignment="1">
      <alignment horizontal="center"/>
    </xf>
    <xf numFmtId="2" fontId="13" fillId="0" borderId="6" xfId="10" applyNumberFormat="1" applyFont="1" applyFill="1" applyBorder="1" applyAlignment="1">
      <alignment horizontal="center"/>
    </xf>
    <xf numFmtId="49" fontId="13" fillId="0" borderId="6" xfId="10" applyNumberFormat="1" applyFont="1" applyFill="1" applyBorder="1" applyAlignment="1">
      <alignment horizontal="center"/>
    </xf>
    <xf numFmtId="0" fontId="13" fillId="0" borderId="6" xfId="10" applyFont="1" applyFill="1" applyBorder="1" applyAlignment="1">
      <alignment horizontal="center"/>
    </xf>
    <xf numFmtId="49" fontId="5" fillId="0" borderId="6" xfId="9" applyNumberFormat="1" applyFont="1" applyBorder="1" applyAlignment="1">
      <alignment horizontal="center"/>
    </xf>
    <xf numFmtId="0" fontId="22" fillId="0" borderId="0" xfId="10" applyFont="1" applyFill="1" applyBorder="1" applyAlignment="1">
      <alignment horizontal="left" vertical="top" wrapText="1"/>
    </xf>
    <xf numFmtId="2" fontId="13" fillId="0" borderId="0" xfId="10" applyNumberFormat="1" applyFont="1" applyFill="1" applyBorder="1" applyAlignment="1">
      <alignment horizontal="center"/>
    </xf>
    <xf numFmtId="49" fontId="13" fillId="0" borderId="0" xfId="10" applyNumberFormat="1" applyFont="1" applyFill="1" applyBorder="1" applyAlignment="1">
      <alignment horizontal="center"/>
    </xf>
    <xf numFmtId="2" fontId="13" fillId="0" borderId="0" xfId="10" applyNumberFormat="1" applyFont="1" applyBorder="1" applyAlignment="1">
      <alignment horizontal="center"/>
    </xf>
    <xf numFmtId="0" fontId="5" fillId="0" borderId="0" xfId="5" applyFont="1" applyBorder="1" applyAlignment="1">
      <alignment horizontal="center"/>
    </xf>
    <xf numFmtId="0" fontId="13" fillId="2" borderId="21" xfId="10" applyFont="1" applyFill="1" applyBorder="1" applyAlignment="1">
      <alignment horizontal="center"/>
    </xf>
    <xf numFmtId="0" fontId="25" fillId="0" borderId="0" xfId="10" applyFont="1"/>
    <xf numFmtId="0" fontId="5" fillId="0" borderId="0" xfId="6" applyFont="1" applyBorder="1" applyAlignment="1">
      <alignment horizontal="center"/>
    </xf>
    <xf numFmtId="0" fontId="13" fillId="2" borderId="21" xfId="10" applyFont="1" applyFill="1" applyBorder="1" applyAlignment="1">
      <alignment horizontal="center" vertical="center"/>
    </xf>
    <xf numFmtId="167" fontId="25" fillId="0" borderId="0" xfId="10" applyNumberFormat="1" applyFont="1"/>
    <xf numFmtId="49" fontId="5" fillId="0" borderId="0" xfId="4" applyNumberFormat="1" applyFont="1" applyAlignment="1">
      <alignment horizontal="center"/>
    </xf>
    <xf numFmtId="49" fontId="5" fillId="0" borderId="0" xfId="9" applyNumberFormat="1" applyFont="1" applyBorder="1" applyAlignment="1">
      <alignment horizontal="center"/>
    </xf>
    <xf numFmtId="49" fontId="5" fillId="0" borderId="0" xfId="9" applyNumberFormat="1" applyFont="1" applyAlignment="1">
      <alignment horizontal="center"/>
    </xf>
    <xf numFmtId="49" fontId="4" fillId="0" borderId="0" xfId="9" applyNumberFormat="1" applyFont="1" applyBorder="1" applyAlignment="1">
      <alignment horizontal="center"/>
    </xf>
    <xf numFmtId="0" fontId="1" fillId="0" borderId="0" xfId="9" applyBorder="1" applyAlignment="1">
      <alignment horizontal="center"/>
    </xf>
    <xf numFmtId="0" fontId="14" fillId="0" borderId="0" xfId="10" applyBorder="1"/>
    <xf numFmtId="0" fontId="6" fillId="0" borderId="0" xfId="9" applyFont="1" applyAlignment="1">
      <alignment horizontal="left"/>
    </xf>
    <xf numFmtId="0" fontId="1" fillId="0" borderId="0" xfId="9" applyAlignment="1">
      <alignment horizontal="center"/>
    </xf>
    <xf numFmtId="0" fontId="6" fillId="0" borderId="0" xfId="9" applyFont="1" applyAlignment="1">
      <alignment horizontal="center"/>
    </xf>
    <xf numFmtId="0" fontId="1" fillId="0" borderId="0" xfId="9"/>
    <xf numFmtId="0" fontId="1" fillId="0" borderId="0" xfId="9" applyBorder="1"/>
    <xf numFmtId="0" fontId="5" fillId="0" borderId="0" xfId="9" applyFont="1" applyBorder="1" applyAlignment="1">
      <alignment horizontal="center"/>
    </xf>
    <xf numFmtId="49" fontId="1" fillId="0" borderId="0" xfId="9" applyNumberFormat="1" applyBorder="1" applyAlignment="1">
      <alignment horizontal="center"/>
    </xf>
    <xf numFmtId="0" fontId="4" fillId="0" borderId="5" xfId="6" applyFont="1" applyBorder="1" applyAlignment="1">
      <alignment horizontal="center"/>
    </xf>
    <xf numFmtId="0" fontId="1" fillId="0" borderId="0" xfId="6" applyAlignment="1">
      <alignment horizontal="center"/>
    </xf>
    <xf numFmtId="0" fontId="5" fillId="0" borderId="0" xfId="6" applyFont="1" applyAlignment="1">
      <alignment horizontal="center"/>
    </xf>
    <xf numFmtId="0" fontId="6" fillId="0" borderId="0" xfId="6" applyFont="1" applyAlignment="1">
      <alignment horizontal="left"/>
    </xf>
    <xf numFmtId="0" fontId="6" fillId="0" borderId="0" xfId="6" applyFont="1" applyAlignment="1">
      <alignment horizontal="center"/>
    </xf>
    <xf numFmtId="0" fontId="1" fillId="0" borderId="0" xfId="6"/>
    <xf numFmtId="0" fontId="8" fillId="0" borderId="0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49" fontId="10" fillId="0" borderId="0" xfId="0" applyNumberFormat="1" applyFont="1" applyBorder="1" applyAlignment="1">
      <alignment horizontal="center" vertical="center" wrapText="1"/>
    </xf>
    <xf numFmtId="49" fontId="28" fillId="0" borderId="0" xfId="0" quotePrefix="1" applyNumberFormat="1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28" fillId="0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28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49" fontId="5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left"/>
    </xf>
    <xf numFmtId="0" fontId="5" fillId="0" borderId="0" xfId="0" quotePrefix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/>
    <xf numFmtId="0" fontId="1" fillId="0" borderId="0" xfId="0" applyFont="1" applyFill="1"/>
    <xf numFmtId="0" fontId="0" fillId="0" borderId="0" xfId="0" applyFill="1" applyBorder="1"/>
    <xf numFmtId="0" fontId="0" fillId="0" borderId="22" xfId="0" applyBorder="1"/>
    <xf numFmtId="0" fontId="0" fillId="0" borderId="10" xfId="0" applyBorder="1"/>
    <xf numFmtId="0" fontId="0" fillId="0" borderId="23" xfId="0" applyBorder="1"/>
    <xf numFmtId="0" fontId="0" fillId="0" borderId="8" xfId="0" applyBorder="1"/>
    <xf numFmtId="0" fontId="0" fillId="0" borderId="0" xfId="0" applyBorder="1"/>
    <xf numFmtId="0" fontId="0" fillId="0" borderId="24" xfId="0" applyBorder="1"/>
    <xf numFmtId="0" fontId="0" fillId="0" borderId="25" xfId="0" applyBorder="1"/>
    <xf numFmtId="0" fontId="0" fillId="0" borderId="26" xfId="0" applyFill="1" applyBorder="1"/>
    <xf numFmtId="0" fontId="0" fillId="0" borderId="26" xfId="0" applyBorder="1"/>
    <xf numFmtId="0" fontId="0" fillId="0" borderId="9" xfId="0" applyBorder="1"/>
    <xf numFmtId="0" fontId="30" fillId="0" borderId="0" xfId="0" applyFont="1"/>
    <xf numFmtId="0" fontId="0" fillId="0" borderId="0" xfId="0" applyFill="1"/>
    <xf numFmtId="0" fontId="4" fillId="0" borderId="0" xfId="0" applyFont="1" applyFill="1"/>
    <xf numFmtId="0" fontId="4" fillId="0" borderId="0" xfId="0" applyFont="1" applyBorder="1"/>
    <xf numFmtId="0" fontId="4" fillId="0" borderId="0" xfId="0" applyFont="1" applyFill="1" applyBorder="1"/>
    <xf numFmtId="166" fontId="0" fillId="0" borderId="0" xfId="0" applyNumberFormat="1" applyBorder="1"/>
    <xf numFmtId="49" fontId="0" fillId="0" borderId="8" xfId="0" applyNumberFormat="1" applyBorder="1"/>
    <xf numFmtId="49" fontId="4" fillId="0" borderId="0" xfId="0" applyNumberFormat="1" applyFont="1" applyBorder="1"/>
    <xf numFmtId="49" fontId="0" fillId="0" borderId="0" xfId="0" applyNumberFormat="1" applyBorder="1"/>
    <xf numFmtId="49" fontId="0" fillId="0" borderId="24" xfId="0" applyNumberFormat="1" applyBorder="1"/>
    <xf numFmtId="1" fontId="7" fillId="0" borderId="0" xfId="0" applyNumberFormat="1" applyFont="1" applyFill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4" fillId="2" borderId="6" xfId="0" applyFont="1" applyFill="1" applyBorder="1" applyProtection="1">
      <protection locked="0"/>
    </xf>
    <xf numFmtId="0" fontId="4" fillId="2" borderId="6" xfId="0" applyNumberFormat="1" applyFont="1" applyFill="1" applyBorder="1" applyAlignment="1" applyProtection="1">
      <alignment horizontal="left"/>
      <protection locked="0"/>
    </xf>
    <xf numFmtId="0" fontId="4" fillId="4" borderId="0" xfId="0" applyFont="1" applyFill="1"/>
    <xf numFmtId="0" fontId="4" fillId="0" borderId="8" xfId="0" applyFont="1" applyBorder="1"/>
    <xf numFmtId="0" fontId="5" fillId="0" borderId="0" xfId="0" applyNumberFormat="1" applyFont="1" applyFill="1" applyAlignment="1">
      <alignment horizontal="left"/>
    </xf>
    <xf numFmtId="49" fontId="0" fillId="0" borderId="0" xfId="0" applyNumberFormat="1" applyFill="1" applyAlignment="1">
      <alignment horizontal="center"/>
    </xf>
    <xf numFmtId="0" fontId="6" fillId="0" borderId="0" xfId="0" quotePrefix="1" applyFont="1" applyFill="1"/>
    <xf numFmtId="49" fontId="6" fillId="0" borderId="0" xfId="0" applyNumberFormat="1" applyFont="1" applyFill="1"/>
    <xf numFmtId="0" fontId="0" fillId="0" borderId="0" xfId="0" quotePrefix="1" applyFill="1"/>
    <xf numFmtId="49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31" fillId="0" borderId="0" xfId="0" applyNumberFormat="1" applyFont="1" applyFill="1" applyAlignment="1">
      <alignment horizontal="center" vertical="top"/>
    </xf>
    <xf numFmtId="0" fontId="5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quotePrefix="1" applyFont="1" applyFill="1" applyAlignment="1">
      <alignment horizontal="left"/>
    </xf>
    <xf numFmtId="0" fontId="5" fillId="0" borderId="0" xfId="0" applyFont="1" applyFill="1"/>
    <xf numFmtId="49" fontId="5" fillId="0" borderId="0" xfId="0" quotePrefix="1" applyNumberFormat="1" applyFont="1" applyAlignment="1">
      <alignment horizontal="left"/>
    </xf>
    <xf numFmtId="0" fontId="9" fillId="0" borderId="0" xfId="2" applyAlignment="1" applyProtection="1"/>
    <xf numFmtId="0" fontId="9" fillId="0" borderId="0" xfId="2" applyFill="1" applyAlignment="1" applyProtection="1"/>
    <xf numFmtId="0" fontId="9" fillId="0" borderId="0" xfId="2" applyFill="1" applyAlignment="1" applyProtection="1">
      <alignment horizontal="left"/>
    </xf>
    <xf numFmtId="0" fontId="9" fillId="0" borderId="0" xfId="2" applyBorder="1" applyAlignment="1" applyProtection="1">
      <alignment wrapText="1"/>
    </xf>
    <xf numFmtId="0" fontId="5" fillId="0" borderId="6" xfId="5" applyFont="1" applyBorder="1" applyAlignment="1">
      <alignment horizontal="center"/>
    </xf>
    <xf numFmtId="0" fontId="15" fillId="0" borderId="13" xfId="4" applyFont="1" applyBorder="1" applyAlignment="1">
      <alignment horizontal="center"/>
    </xf>
    <xf numFmtId="0" fontId="13" fillId="0" borderId="6" xfId="10" applyNumberFormat="1" applyFont="1" applyBorder="1" applyAlignment="1">
      <alignment horizontal="center"/>
    </xf>
    <xf numFmtId="0" fontId="13" fillId="2" borderId="21" xfId="10" applyFont="1" applyFill="1" applyBorder="1"/>
    <xf numFmtId="0" fontId="0" fillId="0" borderId="0" xfId="0" quotePrefix="1"/>
    <xf numFmtId="0" fontId="7" fillId="0" borderId="0" xfId="0" quotePrefix="1" applyFont="1"/>
    <xf numFmtId="0" fontId="0" fillId="0" borderId="0" xfId="0" quotePrefix="1" applyAlignment="1">
      <alignment horizontal="left"/>
    </xf>
    <xf numFmtId="0" fontId="0" fillId="0" borderId="0" xfId="0" quotePrefix="1" applyFill="1" applyAlignment="1">
      <alignment horizontal="left"/>
    </xf>
    <xf numFmtId="0" fontId="0" fillId="0" borderId="10" xfId="0" applyFill="1" applyBorder="1"/>
    <xf numFmtId="49" fontId="0" fillId="0" borderId="0" xfId="0" applyNumberFormat="1" applyFill="1"/>
    <xf numFmtId="0" fontId="4" fillId="0" borderId="0" xfId="0" applyFont="1" applyFill="1" applyBorder="1" applyProtection="1">
      <protection locked="0"/>
    </xf>
    <xf numFmtId="0" fontId="4" fillId="0" borderId="24" xfId="0" applyFont="1" applyBorder="1"/>
    <xf numFmtId="49" fontId="0" fillId="2" borderId="27" xfId="0" applyNumberFormat="1" applyFill="1" applyBorder="1" applyProtection="1">
      <protection locked="0"/>
    </xf>
    <xf numFmtId="166" fontId="0" fillId="0" borderId="0" xfId="0" applyNumberFormat="1" applyFill="1" applyBorder="1"/>
    <xf numFmtId="49" fontId="0" fillId="0" borderId="0" xfId="0" applyNumberFormat="1" applyFill="1" applyBorder="1"/>
    <xf numFmtId="0" fontId="0" fillId="2" borderId="27" xfId="0" applyFill="1" applyBorder="1" applyProtection="1">
      <protection locked="0"/>
    </xf>
    <xf numFmtId="1" fontId="7" fillId="0" borderId="28" xfId="0" applyNumberFormat="1" applyFont="1" applyBorder="1" applyAlignment="1">
      <alignment horizontal="center"/>
    </xf>
    <xf numFmtId="1" fontId="7" fillId="0" borderId="29" xfId="0" applyNumberFormat="1" applyFont="1" applyBorder="1" applyAlignment="1">
      <alignment horizontal="center"/>
    </xf>
    <xf numFmtId="1" fontId="0" fillId="0" borderId="0" xfId="0" applyNumberFormat="1" applyAlignment="1">
      <alignment horizontal="right"/>
    </xf>
    <xf numFmtId="165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0" fontId="7" fillId="0" borderId="22" xfId="0" applyNumberFormat="1" applyFont="1" applyBorder="1" applyAlignment="1">
      <alignment horizontal="center"/>
    </xf>
    <xf numFmtId="49" fontId="5" fillId="0" borderId="0" xfId="0" applyNumberFormat="1" applyFont="1" applyFill="1" applyAlignment="1">
      <alignment horizontal="left"/>
    </xf>
    <xf numFmtId="0" fontId="4" fillId="0" borderId="0" xfId="0" applyFont="1" applyFill="1" applyAlignment="1">
      <alignment horizontal="left"/>
    </xf>
    <xf numFmtId="49" fontId="5" fillId="0" borderId="0" xfId="0" applyNumberFormat="1" applyFont="1"/>
    <xf numFmtId="49" fontId="5" fillId="0" borderId="0" xfId="0" applyNumberFormat="1" applyFont="1" applyFill="1"/>
    <xf numFmtId="49" fontId="5" fillId="0" borderId="0" xfId="0" applyNumberFormat="1" applyFont="1" applyAlignment="1">
      <alignment horizontal="left"/>
    </xf>
    <xf numFmtId="49" fontId="11" fillId="0" borderId="0" xfId="0" applyNumberFormat="1" applyFont="1" applyBorder="1" applyAlignment="1">
      <alignment wrapText="1"/>
    </xf>
    <xf numFmtId="49" fontId="0" fillId="0" borderId="0" xfId="0" quotePrefix="1" applyNumberFormat="1" applyAlignment="1">
      <alignment horizontal="left"/>
    </xf>
    <xf numFmtId="49" fontId="5" fillId="0" borderId="0" xfId="0" quotePrefix="1" applyNumberFormat="1" applyFont="1" applyFill="1" applyAlignment="1">
      <alignment horizontal="left"/>
    </xf>
    <xf numFmtId="49" fontId="5" fillId="0" borderId="0" xfId="0" applyNumberFormat="1" applyFont="1" applyBorder="1" applyAlignment="1">
      <alignment wrapText="1"/>
    </xf>
    <xf numFmtId="1" fontId="4" fillId="0" borderId="0" xfId="0" applyNumberFormat="1" applyFont="1" applyBorder="1" applyAlignment="1">
      <alignment wrapText="1"/>
    </xf>
    <xf numFmtId="49" fontId="1" fillId="0" borderId="0" xfId="0" applyNumberFormat="1" applyFont="1" applyFill="1" applyAlignment="1">
      <alignment horizontal="center"/>
    </xf>
    <xf numFmtId="0" fontId="5" fillId="0" borderId="0" xfId="0" quotePrefix="1" applyFont="1" applyFill="1"/>
    <xf numFmtId="49" fontId="13" fillId="0" borderId="0" xfId="10" applyNumberFormat="1" applyFont="1"/>
    <xf numFmtId="49" fontId="5" fillId="0" borderId="0" xfId="9" applyNumberFormat="1" applyFont="1" applyBorder="1" applyAlignment="1"/>
    <xf numFmtId="49" fontId="13" fillId="0" borderId="0" xfId="10" applyNumberFormat="1" applyFont="1" applyAlignment="1">
      <alignment horizontal="center"/>
    </xf>
    <xf numFmtId="49" fontId="13" fillId="0" borderId="0" xfId="10" applyNumberFormat="1" applyFont="1" applyBorder="1" applyAlignment="1"/>
    <xf numFmtId="49" fontId="13" fillId="0" borderId="0" xfId="10" applyNumberFormat="1" applyFont="1" applyBorder="1"/>
    <xf numFmtId="49" fontId="24" fillId="0" borderId="0" xfId="10" applyNumberFormat="1" applyFont="1"/>
    <xf numFmtId="2" fontId="19" fillId="3" borderId="1" xfId="1" applyNumberFormat="1" applyFont="1" applyFill="1" applyBorder="1" applyAlignment="1">
      <alignment horizontal="center"/>
    </xf>
    <xf numFmtId="0" fontId="19" fillId="3" borderId="6" xfId="10" applyNumberFormat="1" applyFont="1" applyFill="1" applyBorder="1" applyAlignment="1">
      <alignment horizontal="center"/>
    </xf>
    <xf numFmtId="168" fontId="19" fillId="2" borderId="6" xfId="1" applyNumberFormat="1" applyFont="1" applyFill="1" applyBorder="1" applyAlignment="1">
      <alignment horizontal="center"/>
    </xf>
    <xf numFmtId="0" fontId="19" fillId="3" borderId="6" xfId="1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34" fillId="0" borderId="0" xfId="6" applyFont="1"/>
    <xf numFmtId="0" fontId="14" fillId="0" borderId="0" xfId="10" applyFont="1"/>
    <xf numFmtId="0" fontId="14" fillId="0" borderId="0" xfId="10" applyAlignment="1">
      <alignment horizontal="center"/>
    </xf>
    <xf numFmtId="49" fontId="14" fillId="0" borderId="0" xfId="10" applyNumberFormat="1" applyAlignment="1">
      <alignment horizontal="center"/>
    </xf>
    <xf numFmtId="49" fontId="14" fillId="0" borderId="0" xfId="10" applyNumberFormat="1" applyFont="1" applyAlignment="1">
      <alignment horizontal="center"/>
    </xf>
    <xf numFmtId="49" fontId="5" fillId="0" borderId="0" xfId="6" applyNumberFormat="1" applyFont="1" applyAlignment="1">
      <alignment horizontal="center"/>
    </xf>
    <xf numFmtId="49" fontId="27" fillId="0" borderId="0" xfId="6" applyNumberFormat="1" applyFont="1" applyAlignment="1">
      <alignment horizontal="center"/>
    </xf>
    <xf numFmtId="0" fontId="19" fillId="0" borderId="0" xfId="0" applyFont="1"/>
    <xf numFmtId="0" fontId="16" fillId="0" borderId="0" xfId="0" applyFont="1"/>
    <xf numFmtId="0" fontId="7" fillId="0" borderId="0" xfId="0" applyNumberFormat="1" applyFont="1" applyFill="1" applyAlignment="1">
      <alignment horizontal="center"/>
    </xf>
    <xf numFmtId="0" fontId="7" fillId="0" borderId="30" xfId="0" applyNumberFormat="1" applyFont="1" applyFill="1" applyBorder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7" fillId="0" borderId="31" xfId="0" applyNumberFormat="1" applyFont="1" applyFill="1" applyBorder="1" applyAlignment="1">
      <alignment horizontal="center" vertical="center" wrapText="1"/>
    </xf>
    <xf numFmtId="0" fontId="7" fillId="0" borderId="32" xfId="0" applyNumberFormat="1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/>
    </xf>
    <xf numFmtId="49" fontId="7" fillId="0" borderId="0" xfId="0" applyNumberFormat="1" applyFont="1" applyFill="1" applyAlignment="1">
      <alignment horizontal="center"/>
    </xf>
    <xf numFmtId="49" fontId="7" fillId="0" borderId="30" xfId="0" applyNumberFormat="1" applyFont="1" applyFill="1" applyBorder="1" applyAlignment="1">
      <alignment horizontal="center"/>
    </xf>
    <xf numFmtId="49" fontId="7" fillId="0" borderId="31" xfId="0" applyNumberFormat="1" applyFont="1" applyFill="1" applyBorder="1" applyAlignment="1">
      <alignment horizontal="center" wrapText="1"/>
    </xf>
    <xf numFmtId="49" fontId="7" fillId="0" borderId="32" xfId="0" applyNumberFormat="1" applyFont="1" applyFill="1" applyBorder="1" applyAlignment="1">
      <alignment horizontal="center" wrapText="1"/>
    </xf>
    <xf numFmtId="0" fontId="7" fillId="0" borderId="23" xfId="0" applyNumberFormat="1" applyFont="1" applyFill="1" applyBorder="1" applyAlignment="1">
      <alignment horizontal="center"/>
    </xf>
    <xf numFmtId="0" fontId="7" fillId="0" borderId="33" xfId="0" applyNumberFormat="1" applyFont="1" applyFill="1" applyBorder="1" applyAlignment="1">
      <alignment horizontal="center"/>
    </xf>
    <xf numFmtId="0" fontId="7" fillId="0" borderId="24" xfId="0" applyNumberFormat="1" applyFont="1" applyFill="1" applyBorder="1" applyAlignment="1">
      <alignment horizontal="center"/>
    </xf>
    <xf numFmtId="0" fontId="7" fillId="0" borderId="31" xfId="0" applyNumberFormat="1" applyFont="1" applyFill="1" applyBorder="1" applyAlignment="1">
      <alignment horizontal="center"/>
    </xf>
    <xf numFmtId="0" fontId="7" fillId="0" borderId="9" xfId="0" applyNumberFormat="1" applyFont="1" applyFill="1" applyBorder="1" applyAlignment="1">
      <alignment horizontal="center"/>
    </xf>
    <xf numFmtId="0" fontId="7" fillId="0" borderId="32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right"/>
    </xf>
    <xf numFmtId="1" fontId="8" fillId="0" borderId="0" xfId="0" applyNumberFormat="1" applyFont="1" applyFill="1"/>
    <xf numFmtId="0" fontId="7" fillId="0" borderId="34" xfId="0" applyNumberFormat="1" applyFont="1" applyFill="1" applyBorder="1" applyAlignment="1">
      <alignment horizontal="center"/>
    </xf>
    <xf numFmtId="0" fontId="7" fillId="0" borderId="35" xfId="0" applyNumberFormat="1" applyFont="1" applyFill="1" applyBorder="1" applyAlignment="1">
      <alignment horizontal="center"/>
    </xf>
    <xf numFmtId="2" fontId="19" fillId="2" borderId="15" xfId="10" applyNumberFormat="1" applyFont="1" applyFill="1" applyBorder="1" applyAlignment="1">
      <alignment horizontal="center"/>
    </xf>
    <xf numFmtId="2" fontId="19" fillId="2" borderId="36" xfId="10" applyNumberFormat="1" applyFont="1" applyFill="1" applyBorder="1" applyAlignment="1">
      <alignment horizontal="center"/>
    </xf>
    <xf numFmtId="49" fontId="17" fillId="0" borderId="0" xfId="10" applyNumberFormat="1" applyFont="1" applyBorder="1" applyAlignment="1">
      <alignment horizontal="center"/>
    </xf>
    <xf numFmtId="0" fontId="19" fillId="3" borderId="37" xfId="1" applyNumberFormat="1" applyFont="1" applyFill="1" applyBorder="1" applyAlignment="1">
      <alignment horizontal="center"/>
    </xf>
    <xf numFmtId="0" fontId="19" fillId="3" borderId="38" xfId="10" applyNumberFormat="1" applyFont="1" applyFill="1" applyBorder="1" applyAlignment="1">
      <alignment horizontal="center"/>
    </xf>
    <xf numFmtId="0" fontId="19" fillId="3" borderId="38" xfId="1" applyNumberFormat="1" applyFont="1" applyFill="1" applyBorder="1" applyAlignment="1">
      <alignment horizontal="center" vertical="center"/>
    </xf>
    <xf numFmtId="2" fontId="19" fillId="3" borderId="38" xfId="1" applyNumberFormat="1" applyFont="1" applyFill="1" applyBorder="1" applyAlignment="1">
      <alignment horizontal="center" vertical="center"/>
    </xf>
    <xf numFmtId="167" fontId="19" fillId="3" borderId="39" xfId="1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49" fontId="7" fillId="2" borderId="40" xfId="0" applyNumberFormat="1" applyFont="1" applyFill="1" applyBorder="1" applyAlignment="1">
      <alignment horizontal="center"/>
    </xf>
    <xf numFmtId="0" fontId="7" fillId="2" borderId="40" xfId="0" applyNumberFormat="1" applyFont="1" applyFill="1" applyBorder="1" applyAlignment="1">
      <alignment horizontal="center"/>
    </xf>
    <xf numFmtId="165" fontId="7" fillId="2" borderId="40" xfId="0" applyNumberFormat="1" applyFont="1" applyFill="1" applyBorder="1" applyAlignment="1">
      <alignment horizontal="center"/>
    </xf>
    <xf numFmtId="49" fontId="7" fillId="3" borderId="40" xfId="0" applyNumberFormat="1" applyFont="1" applyFill="1" applyBorder="1" applyAlignment="1">
      <alignment horizontal="center"/>
    </xf>
    <xf numFmtId="49" fontId="19" fillId="3" borderId="41" xfId="10" applyNumberFormat="1" applyFont="1" applyFill="1" applyBorder="1" applyAlignment="1">
      <alignment horizontal="center"/>
    </xf>
    <xf numFmtId="0" fontId="20" fillId="3" borderId="3" xfId="4" applyFont="1" applyFill="1" applyBorder="1" applyAlignment="1">
      <alignment horizontal="center"/>
    </xf>
    <xf numFmtId="0" fontId="20" fillId="3" borderId="42" xfId="4" applyFont="1" applyFill="1" applyBorder="1" applyAlignment="1">
      <alignment horizontal="center"/>
    </xf>
    <xf numFmtId="0" fontId="20" fillId="3" borderId="43" xfId="5" applyFont="1" applyFill="1" applyBorder="1" applyAlignment="1">
      <alignment horizontal="center"/>
    </xf>
    <xf numFmtId="0" fontId="20" fillId="3" borderId="42" xfId="5" applyFont="1" applyFill="1" applyBorder="1" applyAlignment="1">
      <alignment horizontal="center"/>
    </xf>
    <xf numFmtId="0" fontId="15" fillId="0" borderId="44" xfId="5" applyFont="1" applyFill="1" applyBorder="1" applyAlignment="1">
      <alignment horizontal="center"/>
    </xf>
    <xf numFmtId="0" fontId="15" fillId="0" borderId="13" xfId="5" applyFont="1" applyFill="1" applyBorder="1" applyAlignment="1">
      <alignment horizontal="center"/>
    </xf>
    <xf numFmtId="2" fontId="19" fillId="3" borderId="6" xfId="1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6" xfId="0" applyFill="1" applyBorder="1"/>
    <xf numFmtId="49" fontId="0" fillId="2" borderId="6" xfId="0" applyNumberFormat="1" applyFill="1" applyBorder="1" applyAlignment="1">
      <alignment horizontal="center"/>
    </xf>
    <xf numFmtId="49" fontId="0" fillId="0" borderId="25" xfId="0" applyNumberFormat="1" applyBorder="1"/>
    <xf numFmtId="49" fontId="0" fillId="0" borderId="26" xfId="0" applyNumberFormat="1" applyBorder="1"/>
    <xf numFmtId="3" fontId="0" fillId="2" borderId="6" xfId="0" applyNumberFormat="1" applyFill="1" applyBorder="1" applyAlignment="1">
      <alignment horizontal="center"/>
    </xf>
    <xf numFmtId="0" fontId="0" fillId="0" borderId="0" xfId="0" applyAlignment="1"/>
    <xf numFmtId="0" fontId="0" fillId="0" borderId="0" xfId="0" applyBorder="1" applyAlignment="1"/>
    <xf numFmtId="0" fontId="8" fillId="0" borderId="0" xfId="0" applyNumberFormat="1" applyFont="1" applyBorder="1" applyAlignment="1">
      <alignment horizontal="left"/>
    </xf>
    <xf numFmtId="1" fontId="7" fillId="0" borderId="0" xfId="0" applyNumberFormat="1" applyFont="1" applyFill="1" applyBorder="1" applyAlignment="1">
      <alignment horizontal="left"/>
    </xf>
    <xf numFmtId="0" fontId="8" fillId="0" borderId="0" xfId="0" applyNumberFormat="1" applyFont="1" applyBorder="1" applyAlignment="1">
      <alignment horizontal="center" vertical="center"/>
    </xf>
    <xf numFmtId="0" fontId="7" fillId="7" borderId="40" xfId="0" applyNumberFormat="1" applyFont="1" applyFill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31" xfId="0" applyNumberFormat="1" applyFont="1" applyFill="1" applyBorder="1" applyAlignment="1">
      <alignment horizontal="center" wrapText="1"/>
    </xf>
    <xf numFmtId="0" fontId="7" fillId="0" borderId="32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left"/>
    </xf>
    <xf numFmtId="0" fontId="7" fillId="0" borderId="10" xfId="0" applyNumberFormat="1" applyFont="1" applyFill="1" applyBorder="1" applyAlignment="1">
      <alignment horizontal="center"/>
    </xf>
    <xf numFmtId="0" fontId="8" fillId="0" borderId="10" xfId="0" applyNumberFormat="1" applyFont="1" applyBorder="1" applyAlignment="1">
      <alignment horizontal="center"/>
    </xf>
    <xf numFmtId="0" fontId="7" fillId="0" borderId="26" xfId="0" applyNumberFormat="1" applyFont="1" applyFill="1" applyBorder="1" applyAlignment="1">
      <alignment horizontal="center"/>
    </xf>
    <xf numFmtId="0" fontId="7" fillId="0" borderId="10" xfId="0" applyNumberFormat="1" applyFont="1" applyBorder="1" applyAlignment="1">
      <alignment horizontal="left"/>
    </xf>
    <xf numFmtId="0" fontId="7" fillId="0" borderId="45" xfId="0" applyNumberFormat="1" applyFont="1" applyFill="1" applyBorder="1" applyAlignment="1">
      <alignment horizontal="center"/>
    </xf>
    <xf numFmtId="1" fontId="7" fillId="0" borderId="10" xfId="0" applyNumberFormat="1" applyFont="1" applyFill="1" applyBorder="1" applyAlignment="1">
      <alignment horizontal="center"/>
    </xf>
    <xf numFmtId="49" fontId="7" fillId="0" borderId="10" xfId="0" applyNumberFormat="1" applyFont="1" applyBorder="1"/>
    <xf numFmtId="49" fontId="7" fillId="0" borderId="10" xfId="0" applyNumberFormat="1" applyFont="1" applyFill="1" applyBorder="1"/>
    <xf numFmtId="0" fontId="7" fillId="0" borderId="10" xfId="0" applyNumberFormat="1" applyFont="1" applyBorder="1"/>
    <xf numFmtId="0" fontId="7" fillId="0" borderId="10" xfId="0" applyNumberFormat="1" applyFont="1" applyFill="1" applyBorder="1" applyAlignment="1"/>
    <xf numFmtId="0" fontId="7" fillId="0" borderId="0" xfId="0" applyNumberFormat="1" applyFont="1" applyBorder="1" applyAlignment="1">
      <alignment horizontal="left"/>
    </xf>
    <xf numFmtId="49" fontId="7" fillId="0" borderId="0" xfId="0" applyNumberFormat="1" applyFont="1" applyBorder="1"/>
    <xf numFmtId="49" fontId="7" fillId="0" borderId="0" xfId="0" applyNumberFormat="1" applyFont="1" applyFill="1" applyBorder="1"/>
    <xf numFmtId="0" fontId="7" fillId="0" borderId="0" xfId="0" applyNumberFormat="1" applyFont="1" applyBorder="1"/>
    <xf numFmtId="0" fontId="7" fillId="0" borderId="0" xfId="0" applyNumberFormat="1" applyFont="1" applyBorder="1" applyAlignment="1"/>
    <xf numFmtId="0" fontId="7" fillId="0" borderId="25" xfId="0" applyNumberFormat="1" applyFont="1" applyBorder="1" applyAlignment="1">
      <alignment horizontal="center"/>
    </xf>
    <xf numFmtId="0" fontId="7" fillId="0" borderId="26" xfId="0" applyNumberFormat="1" applyFont="1" applyBorder="1" applyAlignment="1"/>
    <xf numFmtId="1" fontId="7" fillId="0" borderId="26" xfId="0" applyNumberFormat="1" applyFont="1" applyBorder="1" applyAlignment="1">
      <alignment horizontal="centerContinuous"/>
    </xf>
    <xf numFmtId="49" fontId="7" fillId="0" borderId="26" xfId="0" applyNumberFormat="1" applyFont="1" applyBorder="1" applyAlignment="1">
      <alignment horizontal="centerContinuous"/>
    </xf>
    <xf numFmtId="1" fontId="7" fillId="0" borderId="26" xfId="0" applyNumberFormat="1" applyFont="1" applyFill="1" applyBorder="1" applyAlignment="1">
      <alignment horizontal="centerContinuous"/>
    </xf>
    <xf numFmtId="0" fontId="7" fillId="0" borderId="26" xfId="0" applyNumberFormat="1" applyFont="1" applyBorder="1" applyAlignment="1">
      <alignment horizontal="centerContinuous"/>
    </xf>
    <xf numFmtId="164" fontId="7" fillId="0" borderId="26" xfId="0" applyNumberFormat="1" applyFont="1" applyFill="1" applyBorder="1" applyAlignment="1">
      <alignment horizontal="center"/>
    </xf>
    <xf numFmtId="49" fontId="7" fillId="0" borderId="26" xfId="0" applyNumberFormat="1" applyFont="1" applyFill="1" applyBorder="1" applyAlignment="1">
      <alignment horizontal="center"/>
    </xf>
    <xf numFmtId="0" fontId="7" fillId="0" borderId="26" xfId="0" applyNumberFormat="1" applyFont="1" applyFill="1" applyBorder="1" applyAlignment="1">
      <alignment horizontal="centerContinuous"/>
    </xf>
    <xf numFmtId="0" fontId="7" fillId="0" borderId="26" xfId="0" applyNumberFormat="1" applyFont="1" applyFill="1" applyBorder="1"/>
    <xf numFmtId="0" fontId="8" fillId="0" borderId="26" xfId="0" applyNumberFormat="1" applyFont="1" applyFill="1" applyBorder="1" applyAlignment="1">
      <alignment horizontal="center"/>
    </xf>
    <xf numFmtId="0" fontId="7" fillId="0" borderId="0" xfId="0" applyNumberFormat="1" applyFont="1" applyBorder="1" applyAlignment="1">
      <alignment horizontal="center" vertical="center"/>
    </xf>
    <xf numFmtId="0" fontId="7" fillId="0" borderId="26" xfId="0" applyNumberFormat="1" applyFont="1" applyBorder="1" applyAlignment="1">
      <alignment horizontal="center" vertical="center"/>
    </xf>
    <xf numFmtId="0" fontId="7" fillId="7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/>
    </xf>
    <xf numFmtId="0" fontId="0" fillId="0" borderId="19" xfId="0" applyBorder="1" applyAlignment="1"/>
    <xf numFmtId="0" fontId="8" fillId="0" borderId="19" xfId="0" applyFont="1" applyFill="1" applyBorder="1"/>
    <xf numFmtId="49" fontId="39" fillId="0" borderId="0" xfId="0" applyNumberFormat="1" applyFont="1" applyFill="1" applyAlignment="1">
      <alignment horizontal="center"/>
    </xf>
    <xf numFmtId="49" fontId="5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wrapText="1"/>
    </xf>
    <xf numFmtId="49" fontId="5" fillId="0" borderId="0" xfId="0" applyNumberFormat="1" applyFont="1" applyFill="1" applyBorder="1" applyAlignment="1">
      <alignment wrapText="1"/>
    </xf>
    <xf numFmtId="49" fontId="11" fillId="0" borderId="0" xfId="0" applyNumberFormat="1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69" fontId="19" fillId="0" borderId="0" xfId="0" applyNumberFormat="1" applyFont="1"/>
    <xf numFmtId="0" fontId="7" fillId="0" borderId="30" xfId="0" applyNumberFormat="1" applyFont="1" applyFill="1" applyBorder="1" applyAlignment="1">
      <alignment horizontal="center" vertical="center"/>
    </xf>
    <xf numFmtId="0" fontId="7" fillId="0" borderId="31" xfId="0" applyNumberFormat="1" applyFont="1" applyFill="1" applyBorder="1" applyAlignment="1">
      <alignment horizontal="center" vertical="center"/>
    </xf>
    <xf numFmtId="0" fontId="7" fillId="0" borderId="32" xfId="0" applyNumberFormat="1" applyFont="1" applyFill="1" applyBorder="1" applyAlignment="1">
      <alignment horizontal="center" vertical="center"/>
    </xf>
    <xf numFmtId="0" fontId="1" fillId="0" borderId="0" xfId="0" applyFont="1"/>
    <xf numFmtId="165" fontId="8" fillId="0" borderId="0" xfId="0" applyNumberFormat="1" applyFont="1" applyFill="1" applyBorder="1" applyAlignment="1">
      <alignment horizontal="left"/>
    </xf>
    <xf numFmtId="0" fontId="8" fillId="7" borderId="2" xfId="0" applyFont="1" applyFill="1" applyBorder="1"/>
    <xf numFmtId="0" fontId="7" fillId="7" borderId="3" xfId="0" applyFont="1" applyFill="1" applyBorder="1"/>
    <xf numFmtId="49" fontId="0" fillId="0" borderId="0" xfId="0" applyNumberFormat="1" applyFill="1" applyAlignment="1">
      <alignment horizontal="left"/>
    </xf>
    <xf numFmtId="49" fontId="0" fillId="0" borderId="0" xfId="0" quotePrefix="1" applyNumberFormat="1" applyFill="1" applyAlignment="1">
      <alignment horizontal="left"/>
    </xf>
    <xf numFmtId="49" fontId="6" fillId="0" borderId="0" xfId="0" quotePrefix="1" applyNumberFormat="1" applyFont="1" applyFill="1"/>
    <xf numFmtId="49" fontId="1" fillId="0" borderId="0" xfId="0" applyNumberFormat="1" applyFont="1" applyFill="1" applyAlignment="1"/>
    <xf numFmtId="0" fontId="5" fillId="0" borderId="0" xfId="0" applyFont="1" applyFill="1" applyAlignment="1"/>
    <xf numFmtId="49" fontId="5" fillId="0" borderId="0" xfId="0" applyNumberFormat="1" applyFont="1" applyFill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left"/>
    </xf>
    <xf numFmtId="49" fontId="1" fillId="0" borderId="0" xfId="0" applyNumberFormat="1" applyFont="1" applyFill="1" applyAlignment="1">
      <alignment horizontal="left"/>
    </xf>
    <xf numFmtId="49" fontId="5" fillId="0" borderId="0" xfId="0" quotePrefix="1" applyNumberFormat="1" applyFont="1" applyFill="1"/>
    <xf numFmtId="49" fontId="0" fillId="0" borderId="0" xfId="0" quotePrefix="1" applyNumberFormat="1" applyFill="1"/>
    <xf numFmtId="0" fontId="9" fillId="0" borderId="0" xfId="2" applyFont="1" applyFill="1" applyAlignment="1" applyProtection="1">
      <alignment horizontal="left"/>
    </xf>
    <xf numFmtId="49" fontId="40" fillId="8" borderId="0" xfId="0" applyNumberFormat="1" applyFont="1" applyFill="1" applyAlignment="1">
      <alignment horizontal="left"/>
    </xf>
    <xf numFmtId="49" fontId="40" fillId="8" borderId="0" xfId="0" applyNumberFormat="1" applyFont="1" applyFill="1" applyAlignment="1"/>
    <xf numFmtId="49" fontId="29" fillId="8" borderId="0" xfId="0" quotePrefix="1" applyNumberFormat="1" applyFont="1" applyFill="1" applyAlignment="1">
      <alignment horizontal="left"/>
    </xf>
    <xf numFmtId="0" fontId="40" fillId="8" borderId="0" xfId="0" applyFont="1" applyFill="1" applyAlignment="1">
      <alignment horizontal="left"/>
    </xf>
    <xf numFmtId="0" fontId="29" fillId="8" borderId="0" xfId="0" applyFont="1" applyFill="1" applyAlignment="1">
      <alignment horizontal="left"/>
    </xf>
    <xf numFmtId="49" fontId="29" fillId="8" borderId="0" xfId="0" applyNumberFormat="1" applyFont="1" applyFill="1" applyAlignment="1">
      <alignment horizontal="left"/>
    </xf>
    <xf numFmtId="49" fontId="40" fillId="8" borderId="0" xfId="0" applyNumberFormat="1" applyFont="1" applyFill="1"/>
    <xf numFmtId="0" fontId="41" fillId="8" borderId="0" xfId="0" quotePrefix="1" applyFont="1" applyFill="1"/>
    <xf numFmtId="49" fontId="4" fillId="0" borderId="0" xfId="0" applyNumberFormat="1" applyFont="1" applyFill="1" applyBorder="1" applyAlignment="1">
      <alignment horizontal="center" textRotation="90" wrapText="1"/>
    </xf>
    <xf numFmtId="0" fontId="7" fillId="0" borderId="30" xfId="0" applyNumberFormat="1" applyFont="1" applyBorder="1" applyAlignment="1">
      <alignment horizontal="center"/>
    </xf>
    <xf numFmtId="0" fontId="7" fillId="0" borderId="23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1" fontId="7" fillId="0" borderId="30" xfId="0" applyNumberFormat="1" applyFont="1" applyBorder="1" applyAlignment="1">
      <alignment horizontal="center"/>
    </xf>
    <xf numFmtId="0" fontId="7" fillId="0" borderId="9" xfId="0" applyNumberFormat="1" applyFont="1" applyBorder="1" applyAlignment="1">
      <alignment horizontal="center"/>
    </xf>
    <xf numFmtId="0" fontId="7" fillId="0" borderId="8" xfId="0" applyNumberFormat="1" applyFont="1" applyBorder="1" applyAlignment="1">
      <alignment horizontal="center" wrapText="1"/>
    </xf>
    <xf numFmtId="0" fontId="4" fillId="0" borderId="0" xfId="0" applyNumberFormat="1" applyFont="1"/>
    <xf numFmtId="0" fontId="0" fillId="0" borderId="0" xfId="0" applyNumberFormat="1"/>
    <xf numFmtId="0" fontId="7" fillId="0" borderId="25" xfId="0" applyNumberFormat="1" applyFont="1" applyBorder="1" applyAlignment="1">
      <alignment horizontal="center" wrapText="1"/>
    </xf>
    <xf numFmtId="0" fontId="7" fillId="0" borderId="9" xfId="0" applyNumberFormat="1" applyFont="1" applyBorder="1" applyAlignment="1">
      <alignment horizontal="center" wrapText="1"/>
    </xf>
    <xf numFmtId="0" fontId="7" fillId="0" borderId="32" xfId="0" applyNumberFormat="1" applyFont="1" applyBorder="1" applyAlignment="1">
      <alignment horizontal="center" wrapText="1"/>
    </xf>
    <xf numFmtId="0" fontId="7" fillId="0" borderId="24" xfId="0" applyNumberFormat="1" applyFont="1" applyBorder="1" applyAlignment="1">
      <alignment horizontal="center" wrapText="1"/>
    </xf>
    <xf numFmtId="1" fontId="7" fillId="0" borderId="30" xfId="0" applyNumberFormat="1" applyFont="1" applyBorder="1" applyAlignment="1">
      <alignment horizontal="center" wrapText="1"/>
    </xf>
    <xf numFmtId="0" fontId="7" fillId="0" borderId="8" xfId="0" applyNumberFormat="1" applyFont="1" applyBorder="1" applyAlignment="1">
      <alignment horizontal="left" wrapText="1"/>
    </xf>
    <xf numFmtId="0" fontId="7" fillId="0" borderId="8" xfId="0" applyFont="1" applyBorder="1" applyAlignment="1">
      <alignment horizontal="center" wrapText="1"/>
    </xf>
    <xf numFmtId="0" fontId="0" fillId="0" borderId="0" xfId="0" quotePrefix="1" applyNumberFormat="1"/>
    <xf numFmtId="0" fontId="7" fillId="0" borderId="31" xfId="0" applyNumberFormat="1" applyFont="1" applyBorder="1" applyAlignment="1">
      <alignment horizontal="center" wrapText="1"/>
    </xf>
    <xf numFmtId="0" fontId="7" fillId="0" borderId="30" xfId="0" applyFont="1" applyBorder="1" applyAlignment="1">
      <alignment horizontal="center"/>
    </xf>
    <xf numFmtId="1" fontId="7" fillId="0" borderId="30" xfId="0" applyNumberFormat="1" applyFont="1" applyFill="1" applyBorder="1" applyAlignment="1">
      <alignment horizontal="center" wrapText="1"/>
    </xf>
    <xf numFmtId="0" fontId="7" fillId="0" borderId="8" xfId="0" applyFont="1" applyFill="1" applyBorder="1" applyAlignment="1">
      <alignment horizontal="center" wrapText="1"/>
    </xf>
    <xf numFmtId="0" fontId="7" fillId="0" borderId="21" xfId="0" applyNumberFormat="1" applyFont="1" applyBorder="1" applyAlignment="1">
      <alignment horizontal="center"/>
    </xf>
    <xf numFmtId="0" fontId="7" fillId="0" borderId="31" xfId="0" applyFont="1" applyBorder="1" applyAlignment="1">
      <alignment horizontal="center" wrapText="1"/>
    </xf>
    <xf numFmtId="1" fontId="7" fillId="0" borderId="31" xfId="0" applyNumberFormat="1" applyFont="1" applyBorder="1" applyAlignment="1">
      <alignment horizontal="center" wrapText="1"/>
    </xf>
    <xf numFmtId="0" fontId="7" fillId="0" borderId="31" xfId="0" applyNumberFormat="1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7" fillId="0" borderId="0" xfId="0" applyFont="1" applyFill="1"/>
    <xf numFmtId="169" fontId="17" fillId="0" borderId="0" xfId="0" applyNumberFormat="1" applyFont="1" applyFill="1"/>
    <xf numFmtId="0" fontId="1" fillId="0" borderId="0" xfId="3"/>
    <xf numFmtId="0" fontId="1" fillId="2" borderId="6" xfId="3" applyFill="1" applyBorder="1"/>
    <xf numFmtId="0" fontId="4" fillId="2" borderId="6" xfId="3" applyFont="1" applyFill="1" applyBorder="1" applyProtection="1">
      <protection locked="0"/>
    </xf>
    <xf numFmtId="0" fontId="15" fillId="0" borderId="6" xfId="0" applyFont="1" applyFill="1" applyBorder="1" applyAlignment="1">
      <alignment horizontal="center"/>
    </xf>
    <xf numFmtId="0" fontId="20" fillId="0" borderId="0" xfId="0" applyFont="1" applyFill="1"/>
    <xf numFmtId="0" fontId="15" fillId="0" borderId="6" xfId="0" applyFont="1" applyFill="1" applyBorder="1" applyAlignment="1">
      <alignment horizontal="center" wrapText="1"/>
    </xf>
    <xf numFmtId="0" fontId="20" fillId="0" borderId="17" xfId="0" applyFont="1" applyFill="1" applyBorder="1"/>
    <xf numFmtId="0" fontId="20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20" fillId="0" borderId="19" xfId="0" applyFont="1" applyFill="1" applyBorder="1"/>
    <xf numFmtId="0" fontId="15" fillId="0" borderId="3" xfId="0" applyFont="1" applyFill="1" applyBorder="1" applyAlignment="1">
      <alignment horizontal="center"/>
    </xf>
    <xf numFmtId="0" fontId="15" fillId="0" borderId="3" xfId="0" applyFont="1" applyFill="1" applyBorder="1" applyAlignment="1">
      <alignment horizontal="center" wrapText="1"/>
    </xf>
    <xf numFmtId="0" fontId="7" fillId="7" borderId="6" xfId="3" applyFont="1" applyFill="1" applyBorder="1"/>
    <xf numFmtId="0" fontId="15" fillId="0" borderId="50" xfId="3" applyFont="1" applyFill="1" applyBorder="1" applyAlignment="1">
      <alignment horizontal="center"/>
    </xf>
    <xf numFmtId="0" fontId="20" fillId="0" borderId="51" xfId="3" applyFont="1" applyFill="1" applyBorder="1"/>
    <xf numFmtId="0" fontId="15" fillId="0" borderId="7" xfId="3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169" fontId="15" fillId="0" borderId="52" xfId="8" applyNumberFormat="1" applyFont="1" applyFill="1" applyBorder="1" applyAlignment="1" applyProtection="1">
      <alignment horizontal="center"/>
    </xf>
    <xf numFmtId="169" fontId="20" fillId="0" borderId="0" xfId="8" applyNumberFormat="1" applyFont="1" applyFill="1" applyBorder="1" applyAlignment="1" applyProtection="1">
      <alignment horizontal="center"/>
    </xf>
    <xf numFmtId="169" fontId="15" fillId="0" borderId="31" xfId="8" applyNumberFormat="1" applyFont="1" applyFill="1" applyBorder="1" applyAlignment="1" applyProtection="1">
      <alignment horizontal="center"/>
    </xf>
    <xf numFmtId="169" fontId="15" fillId="0" borderId="0" xfId="8" applyNumberFormat="1" applyFont="1" applyFill="1" applyBorder="1" applyAlignment="1" applyProtection="1">
      <alignment horizontal="center"/>
    </xf>
    <xf numFmtId="169" fontId="15" fillId="0" borderId="53" xfId="8" applyNumberFormat="1" applyFont="1" applyFill="1" applyBorder="1" applyAlignment="1" applyProtection="1">
      <alignment horizontal="center"/>
    </xf>
    <xf numFmtId="37" fontId="15" fillId="0" borderId="54" xfId="8" applyNumberFormat="1" applyFont="1" applyFill="1" applyBorder="1" applyAlignment="1" applyProtection="1">
      <alignment horizontal="center"/>
    </xf>
    <xf numFmtId="37" fontId="15" fillId="0" borderId="53" xfId="8" applyNumberFormat="1" applyFont="1" applyFill="1" applyBorder="1" applyAlignment="1" applyProtection="1">
      <alignment horizontal="center"/>
    </xf>
    <xf numFmtId="37" fontId="15" fillId="0" borderId="55" xfId="8" applyNumberFormat="1" applyFont="1" applyFill="1" applyBorder="1" applyAlignment="1" applyProtection="1">
      <alignment horizontal="center"/>
    </xf>
    <xf numFmtId="169" fontId="15" fillId="0" borderId="56" xfId="8" applyNumberFormat="1" applyFont="1" applyFill="1" applyBorder="1" applyAlignment="1" applyProtection="1">
      <alignment horizontal="center"/>
    </xf>
    <xf numFmtId="169" fontId="15" fillId="0" borderId="57" xfId="8" applyNumberFormat="1" applyFont="1" applyFill="1" applyBorder="1" applyAlignment="1" applyProtection="1">
      <alignment horizontal="center"/>
    </xf>
    <xf numFmtId="169" fontId="15" fillId="0" borderId="58" xfId="8" applyNumberFormat="1" applyFont="1" applyFill="1" applyBorder="1" applyAlignment="1" applyProtection="1">
      <alignment horizontal="center"/>
    </xf>
    <xf numFmtId="169" fontId="15" fillId="0" borderId="59" xfId="8" applyNumberFormat="1" applyFont="1" applyFill="1" applyBorder="1" applyAlignment="1" applyProtection="1">
      <alignment horizontal="center"/>
    </xf>
    <xf numFmtId="169" fontId="15" fillId="0" borderId="60" xfId="8" applyNumberFormat="1" applyFont="1" applyFill="1" applyBorder="1" applyAlignment="1" applyProtection="1">
      <alignment horizontal="center"/>
    </xf>
    <xf numFmtId="37" fontId="15" fillId="0" borderId="60" xfId="8" applyNumberFormat="1" applyFont="1" applyFill="1" applyBorder="1" applyAlignment="1" applyProtection="1">
      <alignment horizontal="center"/>
    </xf>
    <xf numFmtId="169" fontId="15" fillId="0" borderId="61" xfId="8" applyNumberFormat="1" applyFont="1" applyFill="1" applyBorder="1" applyAlignment="1" applyProtection="1">
      <alignment horizontal="center"/>
    </xf>
    <xf numFmtId="169" fontId="1" fillId="7" borderId="62" xfId="8" applyNumberFormat="1" applyFont="1" applyFill="1" applyBorder="1" applyAlignment="1" applyProtection="1">
      <alignment horizontal="center"/>
      <protection locked="0"/>
    </xf>
    <xf numFmtId="170" fontId="1" fillId="9" borderId="62" xfId="8" applyNumberFormat="1" applyFont="1" applyFill="1" applyBorder="1" applyAlignment="1" applyProtection="1">
      <alignment horizontal="center"/>
    </xf>
    <xf numFmtId="170" fontId="1" fillId="7" borderId="62" xfId="8" applyNumberFormat="1" applyFont="1" applyFill="1" applyBorder="1" applyAlignment="1" applyProtection="1">
      <alignment horizontal="center"/>
    </xf>
    <xf numFmtId="1" fontId="1" fillId="7" borderId="62" xfId="8" applyNumberFormat="1" applyFont="1" applyFill="1" applyBorder="1" applyAlignment="1" applyProtection="1">
      <alignment horizontal="center"/>
    </xf>
    <xf numFmtId="169" fontId="1" fillId="7" borderId="63" xfId="8" applyNumberFormat="1" applyFont="1" applyFill="1" applyBorder="1" applyAlignment="1" applyProtection="1">
      <alignment horizontal="center"/>
      <protection locked="0"/>
    </xf>
    <xf numFmtId="169" fontId="1" fillId="7" borderId="64" xfId="8" applyNumberFormat="1" applyFont="1" applyFill="1" applyBorder="1" applyAlignment="1" applyProtection="1">
      <alignment horizontal="center"/>
      <protection locked="0"/>
    </xf>
    <xf numFmtId="170" fontId="1" fillId="9" borderId="64" xfId="8" applyNumberFormat="1" applyFont="1" applyFill="1" applyBorder="1" applyAlignment="1" applyProtection="1">
      <alignment horizontal="center"/>
    </xf>
    <xf numFmtId="170" fontId="1" fillId="7" borderId="64" xfId="8" applyNumberFormat="1" applyFont="1" applyFill="1" applyBorder="1" applyAlignment="1" applyProtection="1">
      <alignment horizontal="center"/>
      <protection locked="0"/>
    </xf>
    <xf numFmtId="170" fontId="1" fillId="7" borderId="64" xfId="8" applyNumberFormat="1" applyFont="1" applyFill="1" applyBorder="1" applyAlignment="1" applyProtection="1">
      <alignment horizontal="center"/>
    </xf>
    <xf numFmtId="1" fontId="1" fillId="7" borderId="64" xfId="8" applyNumberFormat="1" applyFont="1" applyFill="1" applyBorder="1" applyAlignment="1" applyProtection="1">
      <alignment horizontal="center"/>
    </xf>
    <xf numFmtId="9" fontId="1" fillId="7" borderId="65" xfId="8" applyNumberFormat="1" applyFont="1" applyFill="1" applyBorder="1" applyAlignment="1" applyProtection="1">
      <alignment horizontal="center"/>
      <protection locked="0"/>
    </xf>
    <xf numFmtId="169" fontId="35" fillId="7" borderId="64" xfId="8" applyNumberFormat="1" applyFont="1" applyFill="1" applyBorder="1" applyAlignment="1" applyProtection="1">
      <alignment horizontal="center"/>
      <protection locked="0"/>
    </xf>
    <xf numFmtId="169" fontId="1" fillId="2" borderId="66" xfId="8" applyNumberFormat="1" applyFont="1" applyFill="1" applyBorder="1" applyAlignment="1" applyProtection="1">
      <alignment horizontal="center"/>
      <protection locked="0"/>
    </xf>
    <xf numFmtId="1" fontId="1" fillId="3" borderId="64" xfId="8" applyNumberFormat="1" applyFont="1" applyFill="1" applyBorder="1" applyAlignment="1" applyProtection="1">
      <alignment horizontal="center"/>
    </xf>
    <xf numFmtId="9" fontId="1" fillId="2" borderId="64" xfId="8" applyNumberFormat="1" applyFont="1" applyFill="1" applyBorder="1" applyAlignment="1" applyProtection="1">
      <alignment horizontal="center"/>
      <protection locked="0"/>
    </xf>
    <xf numFmtId="169" fontId="1" fillId="3" borderId="64" xfId="8" applyNumberFormat="1" applyFont="1" applyFill="1" applyBorder="1" applyAlignment="1" applyProtection="1">
      <alignment horizontal="center"/>
    </xf>
    <xf numFmtId="169" fontId="1" fillId="3" borderId="67" xfId="8" applyNumberFormat="1" applyFont="1" applyFill="1" applyBorder="1" applyAlignment="1" applyProtection="1">
      <alignment horizontal="center"/>
    </xf>
    <xf numFmtId="169" fontId="1" fillId="3" borderId="68" xfId="8" applyFont="1" applyFill="1" applyBorder="1" applyAlignment="1">
      <alignment horizontal="center"/>
    </xf>
    <xf numFmtId="169" fontId="1" fillId="3" borderId="67" xfId="8" applyFont="1" applyFill="1" applyBorder="1" applyAlignment="1">
      <alignment horizontal="center"/>
    </xf>
    <xf numFmtId="0" fontId="1" fillId="3" borderId="69" xfId="0" applyFont="1" applyFill="1" applyBorder="1" applyAlignment="1">
      <alignment horizontal="center"/>
    </xf>
    <xf numFmtId="10" fontId="1" fillId="3" borderId="68" xfId="8" applyNumberFormat="1" applyFont="1" applyFill="1" applyBorder="1" applyAlignment="1">
      <alignment horizontal="center"/>
    </xf>
    <xf numFmtId="10" fontId="1" fillId="3" borderId="67" xfId="8" applyNumberFormat="1" applyFont="1" applyFill="1" applyBorder="1" applyAlignment="1">
      <alignment horizontal="center"/>
    </xf>
    <xf numFmtId="169" fontId="1" fillId="7" borderId="64" xfId="8" applyNumberFormat="1" applyFont="1" applyFill="1" applyBorder="1" applyAlignment="1" applyProtection="1">
      <alignment horizontal="center"/>
      <protection locked="0"/>
    </xf>
    <xf numFmtId="169" fontId="36" fillId="0" borderId="70" xfId="8" applyNumberFormat="1" applyFont="1" applyFill="1" applyBorder="1" applyAlignment="1" applyProtection="1">
      <alignment horizontal="center"/>
    </xf>
    <xf numFmtId="169" fontId="36" fillId="0" borderId="68" xfId="8" applyNumberFormat="1" applyFont="1" applyFill="1" applyBorder="1" applyAlignment="1" applyProtection="1">
      <alignment horizontal="center"/>
    </xf>
    <xf numFmtId="1" fontId="36" fillId="0" borderId="68" xfId="8" applyNumberFormat="1" applyFont="1" applyFill="1" applyBorder="1" applyAlignment="1" applyProtection="1">
      <alignment horizontal="center"/>
    </xf>
    <xf numFmtId="169" fontId="1" fillId="0" borderId="68" xfId="8" applyNumberFormat="1" applyFont="1" applyFill="1" applyBorder="1" applyAlignment="1" applyProtection="1">
      <alignment horizontal="center"/>
    </xf>
    <xf numFmtId="0" fontId="1" fillId="0" borderId="68" xfId="0" applyFont="1" applyFill="1" applyBorder="1" applyAlignment="1" applyProtection="1">
      <alignment horizontal="center"/>
    </xf>
    <xf numFmtId="0" fontId="1" fillId="0" borderId="69" xfId="0" applyFont="1" applyFill="1" applyBorder="1" applyAlignment="1" applyProtection="1">
      <alignment horizontal="center"/>
    </xf>
    <xf numFmtId="169" fontId="20" fillId="0" borderId="53" xfId="8" applyNumberFormat="1" applyFont="1" applyFill="1" applyBorder="1" applyAlignment="1" applyProtection="1">
      <alignment horizontal="center"/>
    </xf>
    <xf numFmtId="169" fontId="4" fillId="0" borderId="60" xfId="8" applyNumberFormat="1" applyFont="1" applyBorder="1" applyAlignment="1" applyProtection="1">
      <alignment horizontal="center"/>
    </xf>
    <xf numFmtId="169" fontId="37" fillId="0" borderId="71" xfId="8" applyNumberFormat="1" applyFont="1" applyBorder="1" applyAlignment="1" applyProtection="1">
      <alignment horizontal="center"/>
    </xf>
    <xf numFmtId="169" fontId="37" fillId="0" borderId="72" xfId="8" applyNumberFormat="1" applyFont="1" applyBorder="1" applyAlignment="1" applyProtection="1">
      <alignment horizontal="left"/>
    </xf>
    <xf numFmtId="169" fontId="37" fillId="0" borderId="73" xfId="8" applyNumberFormat="1" applyFont="1" applyBorder="1" applyAlignment="1" applyProtection="1">
      <alignment horizontal="center"/>
    </xf>
    <xf numFmtId="169" fontId="37" fillId="0" borderId="74" xfId="8" applyNumberFormat="1" applyFont="1" applyBorder="1" applyAlignment="1" applyProtection="1">
      <alignment horizontal="center"/>
    </xf>
    <xf numFmtId="167" fontId="15" fillId="0" borderId="11" xfId="10" applyNumberFormat="1" applyFont="1" applyBorder="1" applyAlignment="1">
      <alignment horizontal="center"/>
    </xf>
    <xf numFmtId="0" fontId="15" fillId="0" borderId="12" xfId="10" applyFont="1" applyBorder="1" applyAlignment="1">
      <alignment horizontal="center"/>
    </xf>
    <xf numFmtId="2" fontId="15" fillId="0" borderId="12" xfId="10" applyNumberFormat="1" applyFont="1" applyBorder="1" applyAlignment="1">
      <alignment horizontal="center"/>
    </xf>
    <xf numFmtId="0" fontId="15" fillId="0" borderId="13" xfId="10" applyFont="1" applyFill="1" applyBorder="1" applyAlignment="1">
      <alignment horizontal="center"/>
    </xf>
    <xf numFmtId="0" fontId="15" fillId="0" borderId="11" xfId="10" applyFont="1" applyFill="1" applyBorder="1" applyAlignment="1">
      <alignment horizontal="center"/>
    </xf>
    <xf numFmtId="49" fontId="1" fillId="9" borderId="41" xfId="10" applyNumberFormat="1" applyFont="1" applyFill="1" applyBorder="1" applyAlignment="1">
      <alignment horizontal="center"/>
    </xf>
    <xf numFmtId="0" fontId="1" fillId="3" borderId="38" xfId="10" applyNumberFormat="1" applyFont="1" applyFill="1" applyBorder="1" applyAlignment="1">
      <alignment horizontal="center"/>
    </xf>
    <xf numFmtId="168" fontId="1" fillId="2" borderId="3" xfId="1" applyNumberFormat="1" applyFont="1" applyFill="1" applyBorder="1" applyAlignment="1">
      <alignment horizontal="center"/>
    </xf>
    <xf numFmtId="0" fontId="1" fillId="3" borderId="38" xfId="1" applyNumberFormat="1" applyFont="1" applyFill="1" applyBorder="1" applyAlignment="1">
      <alignment horizontal="center" vertical="center"/>
    </xf>
    <xf numFmtId="2" fontId="1" fillId="9" borderId="38" xfId="1" applyNumberFormat="1" applyFont="1" applyFill="1" applyBorder="1" applyAlignment="1">
      <alignment horizontal="center" vertical="center"/>
    </xf>
    <xf numFmtId="2" fontId="1" fillId="3" borderId="1" xfId="1" applyNumberFormat="1" applyFont="1" applyFill="1" applyBorder="1" applyAlignment="1">
      <alignment horizontal="center"/>
    </xf>
    <xf numFmtId="167" fontId="1" fillId="3" borderId="39" xfId="10" applyNumberFormat="1" applyFont="1" applyFill="1" applyBorder="1" applyAlignment="1">
      <alignment horizontal="center"/>
    </xf>
    <xf numFmtId="1" fontId="1" fillId="2" borderId="15" xfId="10" applyNumberFormat="1" applyFont="1" applyFill="1" applyBorder="1" applyAlignment="1">
      <alignment horizontal="center"/>
    </xf>
    <xf numFmtId="0" fontId="1" fillId="3" borderId="37" xfId="1" applyNumberFormat="1" applyFont="1" applyFill="1" applyBorder="1" applyAlignment="1">
      <alignment horizontal="center"/>
    </xf>
    <xf numFmtId="0" fontId="1" fillId="3" borderId="3" xfId="4" applyFont="1" applyFill="1" applyBorder="1" applyAlignment="1">
      <alignment horizontal="center"/>
    </xf>
    <xf numFmtId="0" fontId="1" fillId="3" borderId="42" xfId="4" applyFont="1" applyFill="1" applyBorder="1" applyAlignment="1">
      <alignment horizontal="center"/>
    </xf>
    <xf numFmtId="0" fontId="1" fillId="3" borderId="43" xfId="5" applyFont="1" applyFill="1" applyBorder="1" applyAlignment="1">
      <alignment horizontal="center"/>
    </xf>
    <xf numFmtId="0" fontId="1" fillId="3" borderId="42" xfId="5" applyFont="1" applyFill="1" applyBorder="1" applyAlignment="1">
      <alignment horizontal="center"/>
    </xf>
    <xf numFmtId="2" fontId="1" fillId="2" borderId="15" xfId="10" applyNumberFormat="1" applyFont="1" applyFill="1" applyBorder="1" applyAlignment="1">
      <alignment horizontal="center"/>
    </xf>
    <xf numFmtId="0" fontId="1" fillId="3" borderId="6" xfId="10" applyNumberFormat="1" applyFont="1" applyFill="1" applyBorder="1" applyAlignment="1">
      <alignment horizontal="center"/>
    </xf>
    <xf numFmtId="0" fontId="1" fillId="3" borderId="6" xfId="1" applyNumberFormat="1" applyFont="1" applyFill="1" applyBorder="1" applyAlignment="1">
      <alignment horizontal="center" vertical="center"/>
    </xf>
    <xf numFmtId="2" fontId="1" fillId="3" borderId="6" xfId="1" applyNumberFormat="1" applyFont="1" applyFill="1" applyBorder="1" applyAlignment="1">
      <alignment horizontal="center"/>
    </xf>
    <xf numFmtId="0" fontId="4" fillId="3" borderId="40" xfId="0" quotePrefix="1" applyFont="1" applyFill="1" applyBorder="1" applyAlignment="1">
      <alignment horizontal="center"/>
    </xf>
    <xf numFmtId="0" fontId="4" fillId="3" borderId="75" xfId="0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0" fontId="4" fillId="2" borderId="40" xfId="0" applyFont="1" applyFill="1" applyBorder="1" applyAlignment="1">
      <alignment horizontal="center"/>
    </xf>
    <xf numFmtId="0" fontId="4" fillId="3" borderId="40" xfId="0" applyFont="1" applyFill="1" applyBorder="1" applyAlignment="1">
      <alignment horizontal="center"/>
    </xf>
    <xf numFmtId="0" fontId="4" fillId="2" borderId="75" xfId="0" applyFont="1" applyFill="1" applyBorder="1" applyAlignment="1">
      <alignment horizontal="center"/>
    </xf>
    <xf numFmtId="49" fontId="4" fillId="2" borderId="75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 applyProtection="1">
      <alignment horizontal="center"/>
      <protection locked="0"/>
    </xf>
    <xf numFmtId="165" fontId="4" fillId="2" borderId="75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 wrapText="1"/>
    </xf>
    <xf numFmtId="49" fontId="4" fillId="2" borderId="75" xfId="7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2" fillId="0" borderId="10" xfId="0" applyNumberFormat="1" applyFont="1" applyBorder="1"/>
    <xf numFmtId="49" fontId="4" fillId="3" borderId="77" xfId="0" applyNumberFormat="1" applyFont="1" applyFill="1" applyBorder="1" applyAlignment="1">
      <alignment horizontal="left"/>
    </xf>
    <xf numFmtId="49" fontId="4" fillId="3" borderId="4" xfId="0" applyNumberFormat="1" applyFont="1" applyFill="1" applyBorder="1" applyAlignment="1">
      <alignment horizontal="right"/>
    </xf>
    <xf numFmtId="0" fontId="1" fillId="0" borderId="0" xfId="0" quotePrefix="1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quotePrefix="1" applyFont="1" applyAlignment="1">
      <alignment horizontal="left"/>
    </xf>
    <xf numFmtId="49" fontId="38" fillId="0" borderId="0" xfId="0" applyNumberFormat="1" applyFont="1" applyFill="1" applyAlignment="1">
      <alignment horizontal="center"/>
    </xf>
    <xf numFmtId="49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horizontal="center"/>
    </xf>
    <xf numFmtId="49" fontId="1" fillId="0" borderId="0" xfId="0" applyNumberFormat="1" applyFont="1" applyFill="1"/>
    <xf numFmtId="0" fontId="42" fillId="0" borderId="0" xfId="0" quotePrefix="1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4" fillId="0" borderId="0" xfId="0" quotePrefix="1" applyNumberFormat="1" applyFont="1" applyFill="1"/>
    <xf numFmtId="0" fontId="11" fillId="0" borderId="0" xfId="3" applyFont="1" applyBorder="1" applyAlignment="1">
      <alignment wrapText="1"/>
    </xf>
    <xf numFmtId="49" fontId="28" fillId="0" borderId="0" xfId="3" applyNumberFormat="1" applyFont="1" applyAlignment="1">
      <alignment horizontal="center"/>
    </xf>
    <xf numFmtId="0" fontId="1" fillId="0" borderId="0" xfId="3" applyFont="1" applyAlignment="1">
      <alignment horizontal="left"/>
    </xf>
    <xf numFmtId="0" fontId="1" fillId="0" borderId="0" xfId="3" applyAlignment="1">
      <alignment horizontal="left"/>
    </xf>
    <xf numFmtId="0" fontId="1" fillId="0" borderId="0" xfId="3" quotePrefix="1" applyFont="1" applyFill="1" applyAlignment="1">
      <alignment horizontal="left"/>
    </xf>
    <xf numFmtId="0" fontId="1" fillId="0" borderId="0" xfId="3" applyFont="1" applyFill="1" applyAlignment="1">
      <alignment horizontal="left"/>
    </xf>
    <xf numFmtId="49" fontId="1" fillId="0" borderId="0" xfId="3" applyNumberFormat="1" applyFont="1" applyBorder="1" applyAlignment="1">
      <alignment horizontal="center" vertical="center" wrapText="1"/>
    </xf>
    <xf numFmtId="0" fontId="1" fillId="0" borderId="0" xfId="3" applyFont="1" applyBorder="1" applyAlignment="1">
      <alignment horizontal="center" wrapText="1"/>
    </xf>
    <xf numFmtId="0" fontId="1" fillId="0" borderId="0" xfId="3" quotePrefix="1" applyFont="1" applyAlignment="1">
      <alignment horizontal="left"/>
    </xf>
    <xf numFmtId="49" fontId="1" fillId="0" borderId="0" xfId="3" applyNumberFormat="1" applyFont="1" applyAlignment="1">
      <alignment horizontal="left"/>
    </xf>
    <xf numFmtId="49" fontId="11" fillId="0" borderId="0" xfId="3" applyNumberFormat="1" applyFont="1" applyBorder="1" applyAlignment="1">
      <alignment wrapText="1"/>
    </xf>
    <xf numFmtId="49" fontId="1" fillId="0" borderId="0" xfId="3" applyNumberFormat="1" applyFont="1" applyBorder="1" applyAlignment="1">
      <alignment wrapText="1"/>
    </xf>
    <xf numFmtId="0" fontId="4" fillId="0" borderId="0" xfId="3" applyFont="1" applyAlignment="1">
      <alignment horizontal="left"/>
    </xf>
    <xf numFmtId="2" fontId="4" fillId="2" borderId="40" xfId="7" applyNumberFormat="1" applyFont="1" applyFill="1" applyBorder="1" applyAlignment="1" applyProtection="1">
      <alignment horizontal="center"/>
      <protection locked="0"/>
    </xf>
    <xf numFmtId="169" fontId="1" fillId="7" borderId="78" xfId="8" applyNumberFormat="1" applyFont="1" applyFill="1" applyBorder="1" applyAlignment="1" applyProtection="1">
      <alignment horizontal="center"/>
      <protection locked="0"/>
    </xf>
    <xf numFmtId="169" fontId="1" fillId="7" borderId="79" xfId="8" applyNumberFormat="1" applyFont="1" applyFill="1" applyBorder="1" applyAlignment="1" applyProtection="1">
      <alignment horizontal="center"/>
      <protection locked="0"/>
    </xf>
    <xf numFmtId="170" fontId="1" fillId="7" borderId="79" xfId="8" applyNumberFormat="1" applyFont="1" applyFill="1" applyBorder="1" applyAlignment="1" applyProtection="1">
      <alignment horizontal="center"/>
    </xf>
    <xf numFmtId="1" fontId="1" fillId="7" borderId="79" xfId="8" applyNumberFormat="1" applyFont="1" applyFill="1" applyBorder="1" applyAlignment="1" applyProtection="1">
      <alignment horizontal="center"/>
    </xf>
    <xf numFmtId="9" fontId="1" fillId="7" borderId="80" xfId="8" applyNumberFormat="1" applyFont="1" applyFill="1" applyBorder="1" applyAlignment="1" applyProtection="1">
      <alignment horizontal="center"/>
      <protection locked="0"/>
    </xf>
    <xf numFmtId="169" fontId="1" fillId="7" borderId="81" xfId="8" applyNumberFormat="1" applyFont="1" applyFill="1" applyBorder="1" applyAlignment="1" applyProtection="1">
      <alignment horizontal="center"/>
      <protection locked="0"/>
    </xf>
    <xf numFmtId="169" fontId="1" fillId="7" borderId="82" xfId="8" applyNumberFormat="1" applyFont="1" applyFill="1" applyBorder="1" applyAlignment="1" applyProtection="1">
      <alignment horizontal="center"/>
      <protection locked="0"/>
    </xf>
    <xf numFmtId="169" fontId="1" fillId="7" borderId="83" xfId="8" applyNumberFormat="1" applyFont="1" applyFill="1" applyBorder="1" applyAlignment="1" applyProtection="1">
      <alignment horizontal="center"/>
      <protection locked="0"/>
    </xf>
    <xf numFmtId="169" fontId="1" fillId="7" borderId="84" xfId="8" applyNumberFormat="1" applyFont="1" applyFill="1" applyBorder="1" applyAlignment="1" applyProtection="1">
      <alignment horizontal="center"/>
      <protection locked="0"/>
    </xf>
    <xf numFmtId="169" fontId="1" fillId="7" borderId="85" xfId="8" applyNumberFormat="1" applyFont="1" applyFill="1" applyBorder="1" applyAlignment="1" applyProtection="1">
      <alignment horizontal="center"/>
      <protection locked="0"/>
    </xf>
    <xf numFmtId="170" fontId="1" fillId="7" borderId="85" xfId="8" applyNumberFormat="1" applyFont="1" applyFill="1" applyBorder="1" applyAlignment="1" applyProtection="1">
      <alignment horizontal="center"/>
    </xf>
    <xf numFmtId="1" fontId="1" fillId="7" borderId="85" xfId="8" applyNumberFormat="1" applyFont="1" applyFill="1" applyBorder="1" applyAlignment="1" applyProtection="1">
      <alignment horizontal="center"/>
    </xf>
    <xf numFmtId="9" fontId="1" fillId="7" borderId="86" xfId="8" applyNumberFormat="1" applyFont="1" applyFill="1" applyBorder="1" applyAlignment="1" applyProtection="1">
      <alignment horizontal="center"/>
      <protection locked="0"/>
    </xf>
    <xf numFmtId="1" fontId="1" fillId="7" borderId="64" xfId="8" applyNumberFormat="1" applyFont="1" applyFill="1" applyBorder="1" applyAlignment="1" applyProtection="1">
      <alignment horizontal="center"/>
      <protection locked="0"/>
    </xf>
    <xf numFmtId="1" fontId="1" fillId="7" borderId="79" xfId="8" applyNumberFormat="1" applyFont="1" applyFill="1" applyBorder="1" applyAlignment="1" applyProtection="1">
      <alignment horizontal="center"/>
      <protection locked="0"/>
    </xf>
    <xf numFmtId="1" fontId="1" fillId="7" borderId="85" xfId="8" applyNumberFormat="1" applyFont="1" applyFill="1" applyBorder="1" applyAlignment="1" applyProtection="1">
      <alignment horizontal="center"/>
      <protection locked="0"/>
    </xf>
    <xf numFmtId="2" fontId="1" fillId="9" borderId="64" xfId="8" applyNumberFormat="1" applyFont="1" applyFill="1" applyBorder="1" applyAlignment="1" applyProtection="1">
      <alignment horizontal="center"/>
    </xf>
    <xf numFmtId="2" fontId="1" fillId="9" borderId="83" xfId="8" applyNumberFormat="1" applyFont="1" applyFill="1" applyBorder="1" applyAlignment="1" applyProtection="1">
      <alignment horizontal="center"/>
    </xf>
    <xf numFmtId="2" fontId="1" fillId="9" borderId="81" xfId="8" applyNumberFormat="1" applyFont="1" applyFill="1" applyBorder="1" applyAlignment="1" applyProtection="1">
      <alignment horizontal="center"/>
    </xf>
    <xf numFmtId="2" fontId="1" fillId="9" borderId="79" xfId="8" applyNumberFormat="1" applyFont="1" applyFill="1" applyBorder="1" applyAlignment="1" applyProtection="1">
      <alignment horizontal="center"/>
    </xf>
    <xf numFmtId="2" fontId="1" fillId="9" borderId="85" xfId="8" applyNumberFormat="1" applyFont="1" applyFill="1" applyBorder="1" applyAlignment="1" applyProtection="1">
      <alignment horizontal="center"/>
    </xf>
    <xf numFmtId="2" fontId="1" fillId="9" borderId="62" xfId="8" applyNumberFormat="1" applyFont="1" applyFill="1" applyBorder="1" applyAlignment="1" applyProtection="1">
      <alignment horizontal="center"/>
    </xf>
    <xf numFmtId="169" fontId="20" fillId="0" borderId="52" xfId="8" applyNumberFormat="1" applyFont="1" applyFill="1" applyBorder="1" applyAlignment="1" applyProtection="1">
      <alignment horizontal="center"/>
    </xf>
    <xf numFmtId="169" fontId="20" fillId="0" borderId="89" xfId="8" applyNumberFormat="1" applyFont="1" applyFill="1" applyBorder="1" applyAlignment="1" applyProtection="1">
      <alignment horizontal="center"/>
    </xf>
    <xf numFmtId="169" fontId="20" fillId="0" borderId="54" xfId="8" applyNumberFormat="1" applyFont="1" applyFill="1" applyBorder="1" applyAlignment="1" applyProtection="1">
      <alignment horizontal="center"/>
    </xf>
    <xf numFmtId="169" fontId="20" fillId="0" borderId="55" xfId="8" applyNumberFormat="1" applyFont="1" applyFill="1" applyBorder="1" applyAlignment="1" applyProtection="1">
      <alignment horizontal="center"/>
    </xf>
    <xf numFmtId="37" fontId="15" fillId="0" borderId="89" xfId="8" applyNumberFormat="1" applyFont="1" applyFill="1" applyBorder="1" applyAlignment="1" applyProtection="1">
      <alignment horizontal="center"/>
    </xf>
    <xf numFmtId="169" fontId="15" fillId="0" borderId="90" xfId="8" applyNumberFormat="1" applyFont="1" applyFill="1" applyBorder="1" applyAlignment="1" applyProtection="1">
      <alignment horizontal="center"/>
    </xf>
    <xf numFmtId="1" fontId="1" fillId="7" borderId="91" xfId="8" applyNumberFormat="1" applyFont="1" applyFill="1" applyBorder="1" applyAlignment="1" applyProtection="1">
      <alignment horizontal="center"/>
    </xf>
    <xf numFmtId="1" fontId="1" fillId="7" borderId="92" xfId="8" applyNumberFormat="1" applyFont="1" applyFill="1" applyBorder="1" applyAlignment="1" applyProtection="1">
      <alignment horizontal="center"/>
    </xf>
    <xf numFmtId="1" fontId="1" fillId="7" borderId="93" xfId="8" applyNumberFormat="1" applyFont="1" applyFill="1" applyBorder="1" applyAlignment="1" applyProtection="1">
      <alignment horizontal="center"/>
    </xf>
    <xf numFmtId="1" fontId="1" fillId="7" borderId="94" xfId="8" applyNumberFormat="1" applyFont="1" applyFill="1" applyBorder="1" applyAlignment="1" applyProtection="1">
      <alignment horizontal="center"/>
    </xf>
    <xf numFmtId="49" fontId="1" fillId="0" borderId="0" xfId="9" applyNumberFormat="1" applyFont="1" applyAlignment="1">
      <alignment horizontal="center"/>
    </xf>
    <xf numFmtId="0" fontId="7" fillId="0" borderId="5" xfId="0" applyNumberFormat="1" applyFont="1" applyFill="1" applyBorder="1" applyAlignment="1">
      <alignment horizontal="left"/>
    </xf>
    <xf numFmtId="1" fontId="7" fillId="0" borderId="5" xfId="0" applyNumberFormat="1" applyFont="1" applyBorder="1" applyAlignment="1">
      <alignment horizontal="center"/>
    </xf>
    <xf numFmtId="1" fontId="7" fillId="0" borderId="5" xfId="0" applyNumberFormat="1" applyFont="1" applyFill="1" applyBorder="1" applyAlignment="1">
      <alignment horizontal="center"/>
    </xf>
    <xf numFmtId="164" fontId="7" fillId="0" borderId="5" xfId="0" applyNumberFormat="1" applyFont="1" applyFill="1" applyBorder="1" applyAlignment="1">
      <alignment horizontal="center"/>
    </xf>
    <xf numFmtId="1" fontId="7" fillId="0" borderId="45" xfId="0" applyNumberFormat="1" applyFont="1" applyFill="1" applyBorder="1" applyAlignment="1">
      <alignment horizontal="center"/>
    </xf>
    <xf numFmtId="169" fontId="20" fillId="0" borderId="0" xfId="8" applyFont="1" applyFill="1" applyBorder="1"/>
    <xf numFmtId="0" fontId="20" fillId="0" borderId="95" xfId="0" applyFont="1" applyFill="1" applyBorder="1"/>
    <xf numFmtId="169" fontId="1" fillId="0" borderId="52" xfId="8" applyNumberFormat="1" applyFont="1" applyFill="1" applyBorder="1" applyAlignment="1" applyProtection="1">
      <alignment horizontal="center"/>
    </xf>
    <xf numFmtId="169" fontId="1" fillId="0" borderId="0" xfId="8" applyNumberFormat="1" applyFont="1" applyFill="1" applyBorder="1" applyAlignment="1" applyProtection="1">
      <alignment horizontal="center"/>
    </xf>
    <xf numFmtId="169" fontId="1" fillId="0" borderId="89" xfId="8" applyNumberFormat="1" applyFont="1" applyFill="1" applyBorder="1" applyAlignment="1" applyProtection="1">
      <alignment horizontal="center"/>
    </xf>
    <xf numFmtId="169" fontId="1" fillId="0" borderId="53" xfId="8" applyNumberFormat="1" applyFont="1" applyFill="1" applyBorder="1" applyAlignment="1" applyProtection="1">
      <alignment horizontal="center"/>
    </xf>
    <xf numFmtId="169" fontId="1" fillId="0" borderId="54" xfId="8" applyNumberFormat="1" applyFont="1" applyFill="1" applyBorder="1" applyAlignment="1" applyProtection="1">
      <alignment horizontal="center"/>
    </xf>
    <xf numFmtId="37" fontId="4" fillId="0" borderId="89" xfId="8" applyNumberFormat="1" applyFont="1" applyBorder="1" applyAlignment="1" applyProtection="1">
      <alignment horizontal="center"/>
    </xf>
    <xf numFmtId="169" fontId="4" fillId="0" borderId="53" xfId="8" applyNumberFormat="1" applyFont="1" applyFill="1" applyBorder="1" applyAlignment="1" applyProtection="1">
      <alignment horizontal="center"/>
    </xf>
    <xf numFmtId="169" fontId="4" fillId="0" borderId="52" xfId="8" applyNumberFormat="1" applyFont="1" applyBorder="1" applyAlignment="1" applyProtection="1">
      <alignment horizontal="center"/>
    </xf>
    <xf numFmtId="169" fontId="4" fillId="0" borderId="8" xfId="8" applyNumberFormat="1" applyFont="1" applyBorder="1" applyAlignment="1" applyProtection="1">
      <alignment horizontal="center"/>
    </xf>
    <xf numFmtId="169" fontId="4" fillId="0" borderId="53" xfId="8" applyNumberFormat="1" applyFont="1" applyBorder="1" applyAlignment="1" applyProtection="1">
      <alignment horizontal="center"/>
    </xf>
    <xf numFmtId="37" fontId="4" fillId="0" borderId="54" xfId="8" applyNumberFormat="1" applyFont="1" applyBorder="1" applyAlignment="1" applyProtection="1">
      <alignment horizontal="center"/>
    </xf>
    <xf numFmtId="37" fontId="4" fillId="0" borderId="53" xfId="8" applyNumberFormat="1" applyFont="1" applyFill="1" applyBorder="1" applyAlignment="1" applyProtection="1">
      <alignment horizontal="center"/>
    </xf>
    <xf numFmtId="169" fontId="4" fillId="0" borderId="56" xfId="8" applyNumberFormat="1" applyFont="1" applyBorder="1" applyAlignment="1" applyProtection="1">
      <alignment horizontal="center"/>
    </xf>
    <xf numFmtId="169" fontId="4" fillId="0" borderId="57" xfId="8" applyNumberFormat="1" applyFont="1" applyBorder="1" applyAlignment="1" applyProtection="1">
      <alignment horizontal="center"/>
    </xf>
    <xf numFmtId="169" fontId="4" fillId="0" borderId="58" xfId="8" applyNumberFormat="1" applyFont="1" applyBorder="1" applyAlignment="1" applyProtection="1">
      <alignment horizontal="center"/>
    </xf>
    <xf numFmtId="169" fontId="4" fillId="0" borderId="59" xfId="8" applyNumberFormat="1" applyFont="1" applyBorder="1" applyAlignment="1" applyProtection="1">
      <alignment horizontal="center"/>
    </xf>
    <xf numFmtId="37" fontId="4" fillId="0" borderId="60" xfId="8" applyNumberFormat="1" applyFont="1" applyBorder="1" applyAlignment="1" applyProtection="1">
      <alignment horizontal="center"/>
    </xf>
    <xf numFmtId="169" fontId="4" fillId="0" borderId="90" xfId="8" applyNumberFormat="1" applyFont="1" applyBorder="1" applyAlignment="1" applyProtection="1">
      <alignment horizontal="center"/>
    </xf>
    <xf numFmtId="2" fontId="1" fillId="9" borderId="50" xfId="1" applyNumberFormat="1" applyFont="1" applyFill="1" applyBorder="1" applyAlignment="1">
      <alignment horizontal="center" vertical="center"/>
    </xf>
    <xf numFmtId="167" fontId="1" fillId="3" borderId="96" xfId="10" applyNumberFormat="1" applyFont="1" applyFill="1" applyBorder="1" applyAlignment="1">
      <alignment horizontal="center"/>
    </xf>
    <xf numFmtId="49" fontId="1" fillId="0" borderId="0" xfId="9" applyNumberFormat="1" applyFont="1" applyBorder="1" applyAlignment="1"/>
    <xf numFmtId="1" fontId="4" fillId="2" borderId="40" xfId="0" applyNumberFormat="1" applyFont="1" applyFill="1" applyBorder="1" applyAlignment="1" applyProtection="1">
      <alignment horizontal="center"/>
      <protection locked="0"/>
    </xf>
    <xf numFmtId="0" fontId="4" fillId="2" borderId="76" xfId="0" applyNumberFormat="1" applyFont="1" applyFill="1" applyBorder="1" applyAlignment="1">
      <alignment horizontal="center"/>
    </xf>
    <xf numFmtId="49" fontId="4" fillId="3" borderId="4" xfId="0" applyNumberFormat="1" applyFont="1" applyFill="1" applyBorder="1" applyAlignment="1">
      <alignment horizontal="center" wrapText="1"/>
    </xf>
    <xf numFmtId="49" fontId="4" fillId="3" borderId="18" xfId="0" applyNumberFormat="1" applyFont="1" applyFill="1" applyBorder="1" applyAlignment="1">
      <alignment horizontal="center" wrapText="1"/>
    </xf>
    <xf numFmtId="0" fontId="17" fillId="0" borderId="0" xfId="10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0" fontId="17" fillId="10" borderId="0" xfId="10" applyNumberFormat="1" applyFont="1" applyFill="1" applyBorder="1" applyAlignment="1">
      <alignment horizontal="center"/>
    </xf>
    <xf numFmtId="0" fontId="17" fillId="0" borderId="0" xfId="10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0" fontId="4" fillId="2" borderId="50" xfId="0" applyNumberFormat="1" applyFont="1" applyFill="1" applyBorder="1" applyAlignment="1">
      <alignment horizontal="center"/>
    </xf>
    <xf numFmtId="49" fontId="0" fillId="2" borderId="27" xfId="0" applyNumberFormat="1" applyFill="1" applyBorder="1" applyProtection="1">
      <protection locked="0"/>
    </xf>
    <xf numFmtId="0" fontId="4" fillId="3" borderId="40" xfId="0" quotePrefix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1" fontId="4" fillId="2" borderId="40" xfId="0" applyNumberFormat="1" applyFont="1" applyFill="1" applyBorder="1" applyAlignment="1" applyProtection="1">
      <alignment horizontal="center"/>
      <protection locked="0"/>
    </xf>
    <xf numFmtId="0" fontId="4" fillId="2" borderId="76" xfId="0" applyNumberFormat="1" applyFont="1" applyFill="1" applyBorder="1" applyAlignment="1">
      <alignment horizontal="center"/>
    </xf>
    <xf numFmtId="49" fontId="4" fillId="3" borderId="4" xfId="0" applyNumberFormat="1" applyFont="1" applyFill="1" applyBorder="1" applyAlignment="1">
      <alignment horizontal="center"/>
    </xf>
    <xf numFmtId="49" fontId="4" fillId="3" borderId="18" xfId="0" applyNumberFormat="1" applyFont="1" applyFill="1" applyBorder="1" applyAlignment="1">
      <alignment horizontal="center"/>
    </xf>
    <xf numFmtId="49" fontId="4" fillId="0" borderId="6" xfId="0" applyNumberFormat="1" applyFont="1" applyFill="1" applyBorder="1" applyAlignment="1">
      <alignment horizontal="center" textRotation="90" wrapText="1"/>
    </xf>
    <xf numFmtId="49" fontId="4" fillId="3" borderId="6" xfId="0" applyNumberFormat="1" applyFont="1" applyFill="1" applyBorder="1" applyAlignment="1">
      <alignment horizontal="center" textRotation="90" wrapText="1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0" fontId="4" fillId="2" borderId="40" xfId="7" applyNumberFormat="1" applyFont="1" applyFill="1" applyBorder="1" applyAlignment="1" applyProtection="1">
      <alignment horizontal="center"/>
      <protection locked="0"/>
    </xf>
    <xf numFmtId="1" fontId="4" fillId="2" borderId="40" xfId="3" applyNumberFormat="1" applyFont="1" applyFill="1" applyBorder="1" applyAlignment="1" applyProtection="1">
      <alignment horizontal="center"/>
      <protection locked="0"/>
    </xf>
    <xf numFmtId="49" fontId="4" fillId="2" borderId="40" xfId="3" applyNumberFormat="1" applyFont="1" applyFill="1" applyBorder="1" applyAlignment="1">
      <alignment horizontal="center"/>
    </xf>
    <xf numFmtId="49" fontId="4" fillId="2" borderId="40" xfId="7" applyNumberFormat="1" applyFont="1" applyFill="1" applyBorder="1" applyAlignment="1" applyProtection="1">
      <alignment horizontal="center"/>
      <protection locked="0"/>
    </xf>
    <xf numFmtId="2" fontId="4" fillId="2" borderId="40" xfId="3" applyNumberFormat="1" applyFont="1" applyFill="1" applyBorder="1" applyAlignment="1">
      <alignment horizontal="center"/>
    </xf>
    <xf numFmtId="2" fontId="4" fillId="2" borderId="40" xfId="7" applyNumberFormat="1" applyFont="1" applyFill="1" applyBorder="1" applyAlignment="1" applyProtection="1">
      <alignment horizontal="center"/>
      <protection locked="0"/>
    </xf>
    <xf numFmtId="49" fontId="4" fillId="2" borderId="50" xfId="3" applyNumberFormat="1" applyFont="1" applyFill="1" applyBorder="1" applyAlignment="1" applyProtection="1">
      <alignment horizontal="center"/>
      <protection locked="0"/>
    </xf>
    <xf numFmtId="49" fontId="4" fillId="2" borderId="75" xfId="3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0" fontId="4" fillId="2" borderId="6" xfId="0" applyFont="1" applyFill="1" applyBorder="1" applyProtection="1">
      <protection locked="0"/>
    </xf>
    <xf numFmtId="49" fontId="0" fillId="2" borderId="27" xfId="0" applyNumberFormat="1" applyFill="1" applyBorder="1" applyProtection="1">
      <protection locked="0"/>
    </xf>
    <xf numFmtId="49" fontId="0" fillId="0" borderId="0" xfId="0" applyNumberForma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 wrapText="1"/>
    </xf>
    <xf numFmtId="49" fontId="0" fillId="0" borderId="2" xfId="0" applyNumberFormat="1" applyFill="1" applyBorder="1" applyAlignment="1">
      <alignment horizontal="center"/>
    </xf>
    <xf numFmtId="2" fontId="1" fillId="2" borderId="36" xfId="10" applyNumberFormat="1" applyFont="1" applyFill="1" applyBorder="1" applyAlignment="1">
      <alignment horizontal="center"/>
    </xf>
    <xf numFmtId="2" fontId="1" fillId="2" borderId="15" xfId="10" applyNumberFormat="1" applyFon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49" fontId="1" fillId="0" borderId="6" xfId="0" applyNumberFormat="1" applyFont="1" applyFill="1" applyBorder="1" applyAlignment="1">
      <alignment horizontal="center" wrapText="1"/>
    </xf>
    <xf numFmtId="49" fontId="1" fillId="2" borderId="27" xfId="0" applyNumberFormat="1" applyFont="1" applyFill="1" applyBorder="1" applyProtection="1">
      <protection locked="0"/>
    </xf>
    <xf numFmtId="9" fontId="1" fillId="7" borderId="62" xfId="8" applyNumberFormat="1" applyFont="1" applyFill="1" applyBorder="1" applyAlignment="1" applyProtection="1">
      <alignment horizontal="center"/>
      <protection locked="0"/>
    </xf>
    <xf numFmtId="9" fontId="1" fillId="7" borderId="64" xfId="8" applyNumberFormat="1" applyFont="1" applyFill="1" applyBorder="1" applyAlignment="1" applyProtection="1">
      <alignment horizontal="center"/>
      <protection locked="0"/>
    </xf>
    <xf numFmtId="171" fontId="1" fillId="7" borderId="64" xfId="8" applyNumberFormat="1" applyFont="1" applyFill="1" applyBorder="1" applyAlignment="1" applyProtection="1">
      <alignment horizontal="center"/>
      <protection locked="0"/>
    </xf>
    <xf numFmtId="171" fontId="1" fillId="7" borderId="62" xfId="8" applyNumberFormat="1" applyFont="1" applyFill="1" applyBorder="1" applyAlignment="1" applyProtection="1">
      <alignment horizontal="center"/>
      <protection locked="0"/>
    </xf>
    <xf numFmtId="171" fontId="36" fillId="0" borderId="68" xfId="8" applyNumberFormat="1" applyFont="1" applyFill="1" applyBorder="1" applyAlignment="1" applyProtection="1">
      <alignment horizontal="center"/>
    </xf>
    <xf numFmtId="171" fontId="19" fillId="0" borderId="0" xfId="0" applyNumberFormat="1" applyFont="1"/>
    <xf numFmtId="169" fontId="1" fillId="2" borderId="107" xfId="8" applyNumberFormat="1" applyFont="1" applyFill="1" applyBorder="1" applyAlignment="1" applyProtection="1">
      <alignment horizontal="center"/>
      <protection locked="0"/>
    </xf>
    <xf numFmtId="169" fontId="1" fillId="2" borderId="70" xfId="8" applyNumberFormat="1" applyFont="1" applyFill="1" applyBorder="1" applyAlignment="1" applyProtection="1">
      <alignment horizontal="center"/>
      <protection locked="0"/>
    </xf>
    <xf numFmtId="169" fontId="1" fillId="7" borderId="91" xfId="8" applyNumberFormat="1" applyFont="1" applyFill="1" applyBorder="1" applyAlignment="1" applyProtection="1">
      <alignment horizontal="center"/>
      <protection locked="0"/>
    </xf>
    <xf numFmtId="169" fontId="1" fillId="7" borderId="92" xfId="8" applyNumberFormat="1" applyFont="1" applyFill="1" applyBorder="1" applyAlignment="1" applyProtection="1">
      <alignment horizontal="center"/>
      <protection locked="0"/>
    </xf>
    <xf numFmtId="170" fontId="1" fillId="9" borderId="106" xfId="8" applyNumberFormat="1" applyFont="1" applyFill="1" applyBorder="1" applyAlignment="1" applyProtection="1">
      <alignment horizontal="center"/>
    </xf>
    <xf numFmtId="1" fontId="1" fillId="3" borderId="106" xfId="8" applyNumberFormat="1" applyFont="1" applyFill="1" applyBorder="1" applyAlignment="1" applyProtection="1">
      <alignment horizontal="center"/>
    </xf>
    <xf numFmtId="9" fontId="1" fillId="2" borderId="106" xfId="8" applyNumberFormat="1" applyFont="1" applyFill="1" applyBorder="1" applyAlignment="1" applyProtection="1">
      <alignment horizontal="center"/>
      <protection locked="0"/>
    </xf>
    <xf numFmtId="169" fontId="1" fillId="7" borderId="106" xfId="8" applyNumberFormat="1" applyFont="1" applyFill="1" applyBorder="1" applyAlignment="1" applyProtection="1">
      <alignment horizontal="center"/>
      <protection locked="0"/>
    </xf>
    <xf numFmtId="169" fontId="1" fillId="3" borderId="106" xfId="8" applyNumberFormat="1" applyFont="1" applyFill="1" applyBorder="1" applyAlignment="1" applyProtection="1">
      <alignment horizontal="center"/>
    </xf>
    <xf numFmtId="49" fontId="1" fillId="2" borderId="106" xfId="8" applyNumberFormat="1" applyFont="1" applyFill="1" applyBorder="1" applyAlignment="1" applyProtection="1">
      <alignment horizontal="center"/>
      <protection locked="0"/>
    </xf>
    <xf numFmtId="169" fontId="1" fillId="3" borderId="106" xfId="8" applyFont="1" applyFill="1" applyBorder="1" applyAlignment="1">
      <alignment horizontal="center"/>
    </xf>
    <xf numFmtId="0" fontId="1" fillId="3" borderId="106" xfId="0" applyFont="1" applyFill="1" applyBorder="1" applyAlignment="1">
      <alignment horizontal="center"/>
    </xf>
    <xf numFmtId="170" fontId="1" fillId="9" borderId="108" xfId="8" applyNumberFormat="1" applyFont="1" applyFill="1" applyBorder="1" applyAlignment="1" applyProtection="1">
      <alignment horizontal="center"/>
    </xf>
    <xf numFmtId="1" fontId="1" fillId="3" borderId="108" xfId="8" applyNumberFormat="1" applyFont="1" applyFill="1" applyBorder="1" applyAlignment="1" applyProtection="1">
      <alignment horizontal="center"/>
    </xf>
    <xf numFmtId="9" fontId="1" fillId="2" borderId="108" xfId="8" applyNumberFormat="1" applyFont="1" applyFill="1" applyBorder="1" applyAlignment="1" applyProtection="1">
      <alignment horizontal="center"/>
      <protection locked="0"/>
    </xf>
    <xf numFmtId="169" fontId="1" fillId="7" borderId="108" xfId="8" applyNumberFormat="1" applyFont="1" applyFill="1" applyBorder="1" applyAlignment="1" applyProtection="1">
      <alignment horizontal="center"/>
      <protection locked="0"/>
    </xf>
    <xf numFmtId="169" fontId="1" fillId="3" borderId="108" xfId="8" applyNumberFormat="1" applyFont="1" applyFill="1" applyBorder="1" applyAlignment="1" applyProtection="1">
      <alignment horizontal="center"/>
    </xf>
    <xf numFmtId="49" fontId="1" fillId="2" borderId="108" xfId="8" applyNumberFormat="1" applyFont="1" applyFill="1" applyBorder="1" applyAlignment="1" applyProtection="1">
      <alignment horizontal="center"/>
      <protection locked="0"/>
    </xf>
    <xf numFmtId="169" fontId="1" fillId="3" borderId="108" xfId="8" applyFont="1" applyFill="1" applyBorder="1" applyAlignment="1">
      <alignment horizontal="center"/>
    </xf>
    <xf numFmtId="0" fontId="1" fillId="3" borderId="108" xfId="0" applyFont="1" applyFill="1" applyBorder="1" applyAlignment="1">
      <alignment horizontal="center"/>
    </xf>
    <xf numFmtId="10" fontId="1" fillId="3" borderId="108" xfId="8" applyNumberFormat="1" applyFont="1" applyFill="1" applyBorder="1" applyAlignment="1">
      <alignment horizontal="center"/>
    </xf>
    <xf numFmtId="0" fontId="7" fillId="0" borderId="31" xfId="0" applyNumberFormat="1" applyFont="1" applyBorder="1" applyAlignment="1">
      <alignment horizontal="center" wrapText="1"/>
    </xf>
    <xf numFmtId="0" fontId="7" fillId="0" borderId="32" xfId="0" applyNumberFormat="1" applyFont="1" applyBorder="1" applyAlignment="1">
      <alignment horizontal="center" wrapText="1"/>
    </xf>
    <xf numFmtId="0" fontId="7" fillId="0" borderId="30" xfId="0" applyNumberFormat="1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1" fontId="7" fillId="0" borderId="30" xfId="0" applyNumberFormat="1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8" fillId="0" borderId="32" xfId="0" applyFont="1" applyBorder="1" applyAlignment="1">
      <alignment horizontal="center" wrapText="1"/>
    </xf>
    <xf numFmtId="165" fontId="7" fillId="0" borderId="22" xfId="0" applyNumberFormat="1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7" fillId="0" borderId="22" xfId="0" applyNumberFormat="1" applyFont="1" applyBorder="1" applyAlignment="1">
      <alignment horizontal="center"/>
    </xf>
    <xf numFmtId="0" fontId="7" fillId="0" borderId="34" xfId="0" applyNumberFormat="1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7" fillId="0" borderId="97" xfId="10" applyNumberFormat="1" applyFont="1" applyFill="1" applyBorder="1" applyAlignment="1" applyProtection="1">
      <alignment horizontal="center"/>
      <protection locked="0"/>
    </xf>
    <xf numFmtId="0" fontId="15" fillId="0" borderId="98" xfId="5" applyFont="1" applyBorder="1" applyAlignment="1">
      <alignment horizontal="center"/>
    </xf>
    <xf numFmtId="0" fontId="15" fillId="0" borderId="5" xfId="5" applyFont="1" applyBorder="1" applyAlignment="1">
      <alignment horizontal="center"/>
    </xf>
    <xf numFmtId="0" fontId="15" fillId="0" borderId="95" xfId="5" applyFont="1" applyBorder="1" applyAlignment="1">
      <alignment horizontal="center"/>
    </xf>
    <xf numFmtId="167" fontId="17" fillId="0" borderId="0" xfId="10" applyNumberFormat="1" applyFont="1" applyBorder="1" applyAlignment="1">
      <alignment horizontal="center"/>
    </xf>
    <xf numFmtId="0" fontId="17" fillId="0" borderId="0" xfId="10" applyFont="1" applyBorder="1" applyAlignment="1">
      <alignment horizontal="center"/>
    </xf>
    <xf numFmtId="0" fontId="15" fillId="0" borderId="48" xfId="10" applyFont="1" applyBorder="1" applyAlignment="1">
      <alignment horizontal="center"/>
    </xf>
    <xf numFmtId="0" fontId="15" fillId="0" borderId="99" xfId="10" applyFont="1" applyBorder="1" applyAlignment="1">
      <alignment horizontal="center"/>
    </xf>
    <xf numFmtId="0" fontId="15" fillId="0" borderId="98" xfId="10" applyFont="1" applyBorder="1" applyAlignment="1">
      <alignment horizontal="center"/>
    </xf>
    <xf numFmtId="0" fontId="15" fillId="0" borderId="37" xfId="10" applyFont="1" applyBorder="1" applyAlignment="1">
      <alignment horizontal="center"/>
    </xf>
    <xf numFmtId="0" fontId="15" fillId="0" borderId="5" xfId="4" applyFont="1" applyBorder="1" applyAlignment="1">
      <alignment horizontal="center"/>
    </xf>
    <xf numFmtId="0" fontId="15" fillId="0" borderId="95" xfId="4" applyFont="1" applyBorder="1" applyAlignment="1">
      <alignment horizontal="center"/>
    </xf>
    <xf numFmtId="167" fontId="15" fillId="0" borderId="48" xfId="10" applyNumberFormat="1" applyFont="1" applyBorder="1" applyAlignment="1">
      <alignment horizontal="center"/>
    </xf>
    <xf numFmtId="0" fontId="20" fillId="0" borderId="0" xfId="10" applyFont="1" applyBorder="1" applyAlignment="1">
      <alignment horizontal="center"/>
    </xf>
    <xf numFmtId="0" fontId="20" fillId="0" borderId="95" xfId="10" applyFont="1" applyBorder="1" applyAlignment="1">
      <alignment horizontal="center"/>
    </xf>
    <xf numFmtId="169" fontId="4" fillId="0" borderId="89" xfId="8" applyNumberFormat="1" applyFont="1" applyFill="1" applyBorder="1" applyAlignment="1" applyProtection="1">
      <alignment horizontal="center"/>
      <protection locked="0"/>
    </xf>
    <xf numFmtId="169" fontId="4" fillId="0" borderId="0" xfId="8" applyNumberFormat="1" applyFont="1" applyFill="1" applyBorder="1" applyAlignment="1" applyProtection="1">
      <alignment horizontal="center"/>
      <protection locked="0"/>
    </xf>
    <xf numFmtId="169" fontId="4" fillId="0" borderId="95" xfId="8" applyNumberFormat="1" applyFont="1" applyFill="1" applyBorder="1" applyAlignment="1" applyProtection="1">
      <alignment horizontal="center"/>
      <protection locked="0"/>
    </xf>
    <xf numFmtId="169" fontId="7" fillId="0" borderId="97" xfId="8" applyFont="1" applyFill="1" applyBorder="1" applyAlignment="1">
      <alignment horizontal="center"/>
    </xf>
    <xf numFmtId="0" fontId="7" fillId="0" borderId="97" xfId="0" applyFont="1" applyFill="1" applyBorder="1" applyAlignment="1">
      <alignment horizontal="center"/>
    </xf>
    <xf numFmtId="0" fontId="7" fillId="2" borderId="50" xfId="0" applyFont="1" applyFill="1" applyBorder="1" applyAlignment="1"/>
    <xf numFmtId="0" fontId="7" fillId="2" borderId="51" xfId="0" applyFont="1" applyFill="1" applyBorder="1" applyAlignment="1"/>
    <xf numFmtId="0" fontId="7" fillId="2" borderId="7" xfId="0" applyFont="1" applyFill="1" applyBorder="1" applyAlignment="1"/>
    <xf numFmtId="0" fontId="15" fillId="7" borderId="50" xfId="0" applyFont="1" applyFill="1" applyBorder="1" applyAlignment="1">
      <alignment horizontal="center"/>
    </xf>
    <xf numFmtId="0" fontId="15" fillId="7" borderId="5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/>
    </xf>
    <xf numFmtId="0" fontId="15" fillId="2" borderId="50" xfId="0" applyFont="1" applyFill="1" applyBorder="1" applyAlignment="1"/>
    <xf numFmtId="0" fontId="15" fillId="2" borderId="51" xfId="0" applyFont="1" applyFill="1" applyBorder="1" applyAlignment="1"/>
    <xf numFmtId="0" fontId="15" fillId="2" borderId="7" xfId="0" applyFont="1" applyFill="1" applyBorder="1" applyAlignment="1"/>
    <xf numFmtId="0" fontId="7" fillId="7" borderId="50" xfId="0" applyFont="1" applyFill="1" applyBorder="1" applyAlignment="1">
      <alignment horizontal="center"/>
    </xf>
    <xf numFmtId="0" fontId="7" fillId="7" borderId="51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49" fontId="31" fillId="6" borderId="25" xfId="0" applyNumberFormat="1" applyFont="1" applyFill="1" applyBorder="1" applyAlignment="1">
      <alignment horizontal="center" vertical="top" wrapText="1"/>
    </xf>
    <xf numFmtId="49" fontId="31" fillId="6" borderId="26" xfId="0" applyNumberFormat="1" applyFont="1" applyFill="1" applyBorder="1" applyAlignment="1">
      <alignment horizontal="center" vertical="top" wrapText="1"/>
    </xf>
    <xf numFmtId="49" fontId="31" fillId="6" borderId="9" xfId="0" applyNumberFormat="1" applyFont="1" applyFill="1" applyBorder="1" applyAlignment="1">
      <alignment horizontal="center" vertical="top" wrapText="1"/>
    </xf>
    <xf numFmtId="49" fontId="31" fillId="6" borderId="8" xfId="0" applyNumberFormat="1" applyFont="1" applyFill="1" applyBorder="1" applyAlignment="1">
      <alignment horizontal="center" vertical="top"/>
    </xf>
    <xf numFmtId="49" fontId="31" fillId="6" borderId="0" xfId="0" applyNumberFormat="1" applyFont="1" applyFill="1" applyBorder="1" applyAlignment="1">
      <alignment horizontal="center" vertical="top"/>
    </xf>
    <xf numFmtId="49" fontId="31" fillId="6" borderId="24" xfId="0" applyNumberFormat="1" applyFont="1" applyFill="1" applyBorder="1" applyAlignment="1">
      <alignment horizontal="center" vertical="top"/>
    </xf>
    <xf numFmtId="49" fontId="32" fillId="6" borderId="22" xfId="0" applyNumberFormat="1" applyFont="1" applyFill="1" applyBorder="1" applyAlignment="1">
      <alignment horizontal="center" vertical="top"/>
    </xf>
    <xf numFmtId="49" fontId="32" fillId="6" borderId="10" xfId="0" applyNumberFormat="1" applyFont="1" applyFill="1" applyBorder="1" applyAlignment="1">
      <alignment horizontal="center" vertical="top"/>
    </xf>
    <xf numFmtId="49" fontId="32" fillId="6" borderId="23" xfId="0" applyNumberFormat="1" applyFont="1" applyFill="1" applyBorder="1" applyAlignment="1">
      <alignment horizontal="center" vertical="top"/>
    </xf>
    <xf numFmtId="49" fontId="32" fillId="6" borderId="8" xfId="0" applyNumberFormat="1" applyFont="1" applyFill="1" applyBorder="1" applyAlignment="1">
      <alignment horizontal="center" vertical="top"/>
    </xf>
    <xf numFmtId="49" fontId="32" fillId="6" borderId="0" xfId="0" applyNumberFormat="1" applyFont="1" applyFill="1" applyBorder="1" applyAlignment="1">
      <alignment horizontal="center" vertical="top"/>
    </xf>
    <xf numFmtId="49" fontId="32" fillId="6" borderId="24" xfId="0" applyNumberFormat="1" applyFont="1" applyFill="1" applyBorder="1" applyAlignment="1">
      <alignment horizontal="center" vertical="top"/>
    </xf>
    <xf numFmtId="167" fontId="13" fillId="0" borderId="0" xfId="10" applyNumberFormat="1" applyFont="1" applyBorder="1" applyAlignment="1">
      <alignment horizontal="center"/>
    </xf>
    <xf numFmtId="0" fontId="13" fillId="0" borderId="0" xfId="10" applyFont="1" applyBorder="1" applyAlignment="1">
      <alignment horizontal="center"/>
    </xf>
    <xf numFmtId="0" fontId="22" fillId="5" borderId="100" xfId="10" applyFont="1" applyFill="1" applyBorder="1" applyAlignment="1">
      <alignment horizontal="left" vertical="top" wrapText="1"/>
    </xf>
    <xf numFmtId="0" fontId="22" fillId="5" borderId="38" xfId="10" applyFont="1" applyFill="1" applyBorder="1" applyAlignment="1">
      <alignment horizontal="left" vertical="top" wrapText="1"/>
    </xf>
    <xf numFmtId="0" fontId="22" fillId="5" borderId="39" xfId="10" applyFont="1" applyFill="1" applyBorder="1" applyAlignment="1">
      <alignment horizontal="left" vertical="top" wrapText="1"/>
    </xf>
    <xf numFmtId="0" fontId="22" fillId="5" borderId="15" xfId="10" applyFont="1" applyFill="1" applyBorder="1" applyAlignment="1">
      <alignment horizontal="left" vertical="top" wrapText="1"/>
    </xf>
    <xf numFmtId="0" fontId="22" fillId="5" borderId="6" xfId="10" applyFont="1" applyFill="1" applyBorder="1" applyAlignment="1">
      <alignment horizontal="left" vertical="top" wrapText="1"/>
    </xf>
    <xf numFmtId="0" fontId="22" fillId="5" borderId="16" xfId="10" applyFont="1" applyFill="1" applyBorder="1" applyAlignment="1">
      <alignment horizontal="left" vertical="top" wrapText="1"/>
    </xf>
    <xf numFmtId="0" fontId="22" fillId="5" borderId="11" xfId="10" applyFont="1" applyFill="1" applyBorder="1" applyAlignment="1">
      <alignment horizontal="left" vertical="top" wrapText="1"/>
    </xf>
    <xf numFmtId="0" fontId="22" fillId="5" borderId="12" xfId="10" applyFont="1" applyFill="1" applyBorder="1" applyAlignment="1">
      <alignment horizontal="left" vertical="top" wrapText="1"/>
    </xf>
    <xf numFmtId="0" fontId="22" fillId="5" borderId="13" xfId="10" applyFont="1" applyFill="1" applyBorder="1" applyAlignment="1">
      <alignment horizontal="left" vertical="top" wrapText="1"/>
    </xf>
    <xf numFmtId="0" fontId="22" fillId="5" borderId="50" xfId="10" applyFont="1" applyFill="1" applyBorder="1" applyAlignment="1">
      <alignment horizontal="center" wrapText="1"/>
    </xf>
    <xf numFmtId="0" fontId="22" fillId="5" borderId="51" xfId="10" applyFont="1" applyFill="1" applyBorder="1" applyAlignment="1">
      <alignment horizontal="center" wrapText="1"/>
    </xf>
    <xf numFmtId="0" fontId="22" fillId="5" borderId="7" xfId="10" applyFont="1" applyFill="1" applyBorder="1" applyAlignment="1">
      <alignment horizontal="center" wrapText="1"/>
    </xf>
    <xf numFmtId="0" fontId="15" fillId="0" borderId="46" xfId="5" applyFont="1" applyBorder="1" applyAlignment="1">
      <alignment horizontal="center"/>
    </xf>
    <xf numFmtId="0" fontId="15" fillId="0" borderId="101" xfId="5" applyFont="1" applyBorder="1" applyAlignment="1">
      <alignment horizontal="center"/>
    </xf>
    <xf numFmtId="0" fontId="15" fillId="0" borderId="102" xfId="5" applyFont="1" applyBorder="1" applyAlignment="1">
      <alignment horizontal="center"/>
    </xf>
    <xf numFmtId="0" fontId="15" fillId="2" borderId="77" xfId="10" applyFont="1" applyFill="1" applyBorder="1" applyAlignment="1">
      <alignment horizontal="center"/>
    </xf>
    <xf numFmtId="0" fontId="15" fillId="2" borderId="4" xfId="10" applyFont="1" applyFill="1" applyBorder="1" applyAlignment="1">
      <alignment horizontal="center"/>
    </xf>
    <xf numFmtId="0" fontId="15" fillId="2" borderId="18" xfId="10" applyFont="1" applyFill="1" applyBorder="1" applyAlignment="1">
      <alignment horizontal="center"/>
    </xf>
    <xf numFmtId="0" fontId="16" fillId="0" borderId="103" xfId="10" applyFont="1" applyBorder="1" applyAlignment="1">
      <alignment horizontal="center"/>
    </xf>
    <xf numFmtId="0" fontId="16" fillId="0" borderId="99" xfId="10" applyFont="1" applyBorder="1" applyAlignment="1">
      <alignment horizontal="center"/>
    </xf>
    <xf numFmtId="167" fontId="16" fillId="0" borderId="103" xfId="10" applyNumberFormat="1" applyFont="1" applyBorder="1" applyAlignment="1">
      <alignment horizontal="center"/>
    </xf>
    <xf numFmtId="0" fontId="18" fillId="0" borderId="104" xfId="10" applyFont="1" applyBorder="1" applyAlignment="1">
      <alignment horizontal="center"/>
    </xf>
    <xf numFmtId="0" fontId="18" fillId="0" borderId="102" xfId="10" applyFont="1" applyBorder="1" applyAlignment="1">
      <alignment horizontal="center"/>
    </xf>
    <xf numFmtId="0" fontId="16" fillId="0" borderId="46" xfId="10" applyFont="1" applyBorder="1" applyAlignment="1">
      <alignment horizontal="center"/>
    </xf>
    <xf numFmtId="0" fontId="16" fillId="0" borderId="105" xfId="10" applyFont="1" applyBorder="1" applyAlignment="1">
      <alignment horizontal="center"/>
    </xf>
    <xf numFmtId="0" fontId="15" fillId="0" borderId="101" xfId="4" applyFont="1" applyBorder="1" applyAlignment="1">
      <alignment horizontal="center"/>
    </xf>
    <xf numFmtId="0" fontId="15" fillId="0" borderId="102" xfId="4" applyFont="1" applyBorder="1" applyAlignment="1">
      <alignment horizontal="center"/>
    </xf>
    <xf numFmtId="0" fontId="43" fillId="0" borderId="0" xfId="10" applyFont="1" applyFill="1" applyAlignment="1">
      <alignment horizontal="right"/>
    </xf>
    <xf numFmtId="167" fontId="44" fillId="0" borderId="5" xfId="10" applyNumberFormat="1" applyFont="1" applyFill="1" applyBorder="1" applyAlignment="1">
      <alignment horizontal="center"/>
    </xf>
    <xf numFmtId="0" fontId="13" fillId="0" borderId="0" xfId="10" applyFont="1" applyFill="1" applyAlignment="1">
      <alignment horizontal="center"/>
    </xf>
    <xf numFmtId="0" fontId="45" fillId="0" borderId="0" xfId="10" applyFont="1" applyFill="1" applyAlignment="1"/>
    <xf numFmtId="49" fontId="13" fillId="0" borderId="0" xfId="10" applyNumberFormat="1" applyFont="1" applyFill="1" applyAlignment="1">
      <alignment horizontal="center"/>
    </xf>
    <xf numFmtId="14" fontId="44" fillId="0" borderId="5" xfId="10" applyNumberFormat="1" applyFont="1" applyFill="1" applyBorder="1" applyAlignment="1">
      <alignment horizontal="center"/>
    </xf>
    <xf numFmtId="167" fontId="44" fillId="0" borderId="51" xfId="10" applyNumberFormat="1" applyFont="1" applyFill="1" applyBorder="1" applyAlignment="1">
      <alignment horizontal="center"/>
    </xf>
    <xf numFmtId="0" fontId="45" fillId="0" borderId="0" xfId="10" applyFont="1" applyFill="1" applyAlignment="1">
      <alignment horizontal="center"/>
    </xf>
    <xf numFmtId="0" fontId="46" fillId="0" borderId="48" xfId="0" applyFont="1" applyFill="1" applyBorder="1" applyAlignment="1">
      <alignment horizontal="center" wrapText="1"/>
    </xf>
    <xf numFmtId="0" fontId="46" fillId="0" borderId="0" xfId="0" applyFont="1" applyFill="1" applyBorder="1" applyAlignment="1">
      <alignment horizontal="center" wrapText="1"/>
    </xf>
    <xf numFmtId="0" fontId="46" fillId="0" borderId="31" xfId="0" applyFont="1" applyFill="1" applyBorder="1" applyAlignment="1">
      <alignment horizontal="center" wrapText="1"/>
    </xf>
    <xf numFmtId="0" fontId="47" fillId="0" borderId="31" xfId="0" applyFont="1" applyFill="1" applyBorder="1" applyAlignment="1">
      <alignment horizontal="center" wrapText="1"/>
    </xf>
    <xf numFmtId="0" fontId="47" fillId="0" borderId="49" xfId="0" applyFont="1" applyFill="1" applyBorder="1" applyAlignment="1">
      <alignment horizontal="center" wrapText="1"/>
    </xf>
    <xf numFmtId="0" fontId="48" fillId="0" borderId="0" xfId="0" applyFont="1" applyFill="1" applyAlignment="1">
      <alignment wrapText="1"/>
    </xf>
    <xf numFmtId="0" fontId="50" fillId="11" borderId="109" xfId="11" applyFont="1" applyFill="1" applyBorder="1" applyAlignment="1">
      <alignment horizontal="center" vertical="top" wrapText="1"/>
    </xf>
    <xf numFmtId="0" fontId="48" fillId="0" borderId="40" xfId="0" applyFont="1" applyFill="1" applyBorder="1" applyAlignment="1">
      <alignment horizontal="center" wrapText="1"/>
    </xf>
    <xf numFmtId="0" fontId="11" fillId="0" borderId="109" xfId="12" applyFont="1" applyFill="1" applyBorder="1" applyAlignment="1">
      <alignment horizontal="center" vertical="top" wrapText="1"/>
    </xf>
    <xf numFmtId="0" fontId="48" fillId="0" borderId="40" xfId="0" quotePrefix="1" applyFont="1" applyFill="1" applyBorder="1" applyAlignment="1">
      <alignment horizontal="center" wrapText="1"/>
    </xf>
    <xf numFmtId="167" fontId="51" fillId="0" borderId="109" xfId="12" applyNumberFormat="1" applyFont="1" applyFill="1" applyBorder="1" applyAlignment="1">
      <alignment horizontal="center" vertical="top" wrapText="1"/>
    </xf>
    <xf numFmtId="1" fontId="51" fillId="0" borderId="109" xfId="12" applyNumberFormat="1" applyFont="1" applyFill="1" applyBorder="1" applyAlignment="1">
      <alignment horizontal="center" vertical="top" wrapText="1"/>
    </xf>
    <xf numFmtId="3" fontId="48" fillId="0" borderId="40" xfId="0" applyNumberFormat="1" applyFont="1" applyFill="1" applyBorder="1" applyAlignment="1">
      <alignment horizontal="center" wrapText="1"/>
    </xf>
    <xf numFmtId="0" fontId="49" fillId="0" borderId="109" xfId="12" applyFill="1" applyBorder="1" applyAlignment="1">
      <alignment horizontal="center" vertical="top" wrapText="1"/>
    </xf>
    <xf numFmtId="49" fontId="48" fillId="0" borderId="40" xfId="0" applyNumberFormat="1" applyFont="1" applyFill="1" applyBorder="1" applyAlignment="1">
      <alignment horizontal="center" wrapText="1"/>
    </xf>
    <xf numFmtId="9" fontId="48" fillId="0" borderId="47" xfId="0" applyNumberFormat="1" applyFont="1" applyFill="1" applyBorder="1" applyAlignment="1">
      <alignment horizontal="center" wrapText="1"/>
    </xf>
    <xf numFmtId="1" fontId="48" fillId="0" borderId="87" xfId="0" applyNumberFormat="1" applyFont="1" applyFill="1" applyBorder="1" applyAlignment="1">
      <alignment horizontal="center" wrapText="1"/>
    </xf>
    <xf numFmtId="0" fontId="48" fillId="0" borderId="0" xfId="0" applyFont="1" applyFill="1"/>
    <xf numFmtId="9" fontId="48" fillId="0" borderId="40" xfId="0" applyNumberFormat="1" applyFont="1" applyFill="1" applyBorder="1" applyAlignment="1">
      <alignment horizontal="center" wrapText="1"/>
    </xf>
    <xf numFmtId="1" fontId="48" fillId="0" borderId="88" xfId="0" applyNumberFormat="1" applyFont="1" applyFill="1" applyBorder="1" applyAlignment="1">
      <alignment horizontal="center" wrapText="1"/>
    </xf>
    <xf numFmtId="14" fontId="48" fillId="0" borderId="40" xfId="0" applyNumberFormat="1" applyFont="1" applyFill="1" applyBorder="1" applyAlignment="1">
      <alignment horizontal="center" wrapText="1"/>
    </xf>
    <xf numFmtId="0" fontId="48" fillId="0" borderId="0" xfId="0" applyFont="1" applyFill="1" applyAlignment="1"/>
    <xf numFmtId="0" fontId="50" fillId="12" borderId="109" xfId="11" applyFont="1" applyFill="1" applyBorder="1" applyAlignment="1">
      <alignment horizontal="center" vertical="top" wrapText="1"/>
    </xf>
  </cellXfs>
  <cellStyles count="13">
    <cellStyle name="Comma_Valve Schedule Spreadsheet_Final" xfId="1" xr:uid="{00000000-0005-0000-0000-000000000000}"/>
    <cellStyle name="Hyperlink" xfId="2" builtinId="8"/>
    <cellStyle name="Normal" xfId="0" builtinId="0"/>
    <cellStyle name="Normal 10" xfId="11" xr:uid="{1AB20232-649D-4A6D-AD72-92889F9D2919}"/>
    <cellStyle name="Normal 2" xfId="3" xr:uid="{00000000-0005-0000-0000-000003000000}"/>
    <cellStyle name="Normal 2 2" xfId="12" xr:uid="{44FBBAEA-354C-4140-919D-2C025CC3FBEA}"/>
    <cellStyle name="Normal_1st Floor" xfId="4" xr:uid="{00000000-0005-0000-0000-000004000000}"/>
    <cellStyle name="Normal_1st Floor (2)" xfId="5" xr:uid="{00000000-0005-0000-0000-000005000000}"/>
    <cellStyle name="Normal_Actuator Reference" xfId="6" xr:uid="{00000000-0005-0000-0000-000006000000}"/>
    <cellStyle name="Normal_Box List" xfId="7" xr:uid="{00000000-0005-0000-0000-000007000000}"/>
    <cellStyle name="Normal_Damper Schedule" xfId="8" xr:uid="{00000000-0005-0000-0000-000008000000}"/>
    <cellStyle name="Normal_Valve Reference" xfId="9" xr:uid="{00000000-0005-0000-0000-000009000000}"/>
    <cellStyle name="Normal_Valve Schedule Spreadsheet_Final" xfId="10" xr:uid="{00000000-0005-0000-0000-00000A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S Sans Serif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ill>
        <patternFill>
          <bgColor indexed="1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attachedToolbars" Target="attachedToolbars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</xdr:row>
          <xdr:rowOff>200025</xdr:rowOff>
        </xdr:from>
        <xdr:to>
          <xdr:col>17</xdr:col>
          <xdr:colOff>885825</xdr:colOff>
          <xdr:row>6</xdr:row>
          <xdr:rowOff>200025</xdr:rowOff>
        </xdr:to>
        <xdr:sp macro="" textlink="">
          <xdr:nvSpPr>
            <xdr:cNvPr id="12296" name="Cir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6</xdr:row>
          <xdr:rowOff>219075</xdr:rowOff>
        </xdr:from>
        <xdr:to>
          <xdr:col>17</xdr:col>
          <xdr:colOff>895350</xdr:colOff>
          <xdr:row>7</xdr:row>
          <xdr:rowOff>219075</xdr:rowOff>
        </xdr:to>
        <xdr:sp macro="" textlink="">
          <xdr:nvSpPr>
            <xdr:cNvPr id="12297" name="Rec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</xdr:row>
          <xdr:rowOff>9525</xdr:rowOff>
        </xdr:from>
        <xdr:to>
          <xdr:col>52</xdr:col>
          <xdr:colOff>571500</xdr:colOff>
          <xdr:row>1</xdr:row>
          <xdr:rowOff>209550</xdr:rowOff>
        </xdr:to>
        <xdr:sp macro="" textlink="">
          <xdr:nvSpPr>
            <xdr:cNvPr id="12301" name="CheckBox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2</xdr:row>
          <xdr:rowOff>9525</xdr:rowOff>
        </xdr:from>
        <xdr:to>
          <xdr:col>52</xdr:col>
          <xdr:colOff>571500</xdr:colOff>
          <xdr:row>2</xdr:row>
          <xdr:rowOff>209550</xdr:rowOff>
        </xdr:to>
        <xdr:sp macro="" textlink="">
          <xdr:nvSpPr>
            <xdr:cNvPr id="12302" name="CheckBox2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3</xdr:row>
          <xdr:rowOff>9525</xdr:rowOff>
        </xdr:from>
        <xdr:to>
          <xdr:col>52</xdr:col>
          <xdr:colOff>571500</xdr:colOff>
          <xdr:row>3</xdr:row>
          <xdr:rowOff>209550</xdr:rowOff>
        </xdr:to>
        <xdr:sp macro="" textlink="">
          <xdr:nvSpPr>
            <xdr:cNvPr id="12303" name="CheckBox3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4</xdr:row>
          <xdr:rowOff>9525</xdr:rowOff>
        </xdr:from>
        <xdr:to>
          <xdr:col>52</xdr:col>
          <xdr:colOff>571500</xdr:colOff>
          <xdr:row>4</xdr:row>
          <xdr:rowOff>209550</xdr:rowOff>
        </xdr:to>
        <xdr:sp macro="" textlink="">
          <xdr:nvSpPr>
            <xdr:cNvPr id="12304" name="CheckBox4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5</xdr:row>
          <xdr:rowOff>9525</xdr:rowOff>
        </xdr:from>
        <xdr:to>
          <xdr:col>52</xdr:col>
          <xdr:colOff>571500</xdr:colOff>
          <xdr:row>5</xdr:row>
          <xdr:rowOff>209550</xdr:rowOff>
        </xdr:to>
        <xdr:sp macro="" textlink="">
          <xdr:nvSpPr>
            <xdr:cNvPr id="12305" name="CheckBox5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6</xdr:row>
          <xdr:rowOff>28575</xdr:rowOff>
        </xdr:from>
        <xdr:to>
          <xdr:col>52</xdr:col>
          <xdr:colOff>571500</xdr:colOff>
          <xdr:row>7</xdr:row>
          <xdr:rowOff>0</xdr:rowOff>
        </xdr:to>
        <xdr:sp macro="" textlink="">
          <xdr:nvSpPr>
            <xdr:cNvPr id="12306" name="CheckBox6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4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7</xdr:row>
          <xdr:rowOff>9525</xdr:rowOff>
        </xdr:from>
        <xdr:to>
          <xdr:col>52</xdr:col>
          <xdr:colOff>571500</xdr:colOff>
          <xdr:row>7</xdr:row>
          <xdr:rowOff>209550</xdr:rowOff>
        </xdr:to>
        <xdr:sp macro="" textlink="">
          <xdr:nvSpPr>
            <xdr:cNvPr id="12307" name="CheckBox7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4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19</xdr:row>
          <xdr:rowOff>0</xdr:rowOff>
        </xdr:from>
        <xdr:to>
          <xdr:col>52</xdr:col>
          <xdr:colOff>571500</xdr:colOff>
          <xdr:row>19</xdr:row>
          <xdr:rowOff>200025</xdr:rowOff>
        </xdr:to>
        <xdr:sp macro="" textlink="">
          <xdr:nvSpPr>
            <xdr:cNvPr id="12309" name="CheckBox8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4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38100</xdr:colOff>
          <xdr:row>19</xdr:row>
          <xdr:rowOff>0</xdr:rowOff>
        </xdr:from>
        <xdr:to>
          <xdr:col>52</xdr:col>
          <xdr:colOff>571500</xdr:colOff>
          <xdr:row>19</xdr:row>
          <xdr:rowOff>200025</xdr:rowOff>
        </xdr:to>
        <xdr:sp macro="" textlink="">
          <xdr:nvSpPr>
            <xdr:cNvPr id="12310" name="CheckBox9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24</xdr:row>
      <xdr:rowOff>85725</xdr:rowOff>
    </xdr:from>
    <xdr:to>
      <xdr:col>6</xdr:col>
      <xdr:colOff>657225</xdr:colOff>
      <xdr:row>24</xdr:row>
      <xdr:rowOff>85725</xdr:rowOff>
    </xdr:to>
    <xdr:sp macro="" textlink="">
      <xdr:nvSpPr>
        <xdr:cNvPr id="14647" name="Line 1">
          <a:extLst>
            <a:ext uri="{FF2B5EF4-FFF2-40B4-BE49-F238E27FC236}">
              <a16:creationId xmlns:a16="http://schemas.microsoft.com/office/drawing/2014/main" id="{00000000-0008-0000-0E00-000037390000}"/>
            </a:ext>
          </a:extLst>
        </xdr:cNvPr>
        <xdr:cNvSpPr>
          <a:spLocks noChangeShapeType="1"/>
        </xdr:cNvSpPr>
      </xdr:nvSpPr>
      <xdr:spPr bwMode="auto">
        <a:xfrm flipH="1">
          <a:off x="5534025" y="4914900"/>
          <a:ext cx="5905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alkercha/Local%20Settings/Temporary%20Internet%20Files/OLK39/Valve%20Schedule%20Spreadsheet_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CTECH"/>
      <sheetName val="Terminal Units"/>
      <sheetName val="Vlookup Tables"/>
      <sheetName val="Valve Reference"/>
      <sheetName val="Actuator Reference"/>
      <sheetName val="Original Sheet DO NOT USE!"/>
    </sheetNames>
    <sheetDataSet>
      <sheetData sheetId="0"/>
      <sheetData sheetId="1">
        <row r="1">
          <cell r="A1" t="str">
            <v>xxx JOB NAME xxx Terminal Valve Schedule</v>
          </cell>
        </row>
        <row r="2">
          <cell r="A2" t="str">
            <v>BOX ID TAG</v>
          </cell>
          <cell r="B2" t="str">
            <v>Sizing Information</v>
          </cell>
          <cell r="I2" t="str">
            <v>Model #</v>
          </cell>
          <cell r="K2" t="str">
            <v>VALVE BODY DATA</v>
          </cell>
        </row>
        <row r="3">
          <cell r="B3" t="str">
            <v>GPM</v>
          </cell>
          <cell r="C3" t="str">
            <v>Size</v>
          </cell>
          <cell r="D3" t="str">
            <v>Config</v>
          </cell>
          <cell r="E3" t="str">
            <v>Max Pd</v>
          </cell>
          <cell r="F3" t="str">
            <v>Cal. Cv</v>
          </cell>
          <cell r="G3" t="str">
            <v>Actual Cv</v>
          </cell>
          <cell r="H3" t="str">
            <v>Pd</v>
          </cell>
          <cell r="I3" t="str">
            <v>Act.</v>
          </cell>
          <cell r="J3" t="str">
            <v>Body</v>
          </cell>
          <cell r="K3" t="str">
            <v>Packing</v>
          </cell>
          <cell r="L3" t="str">
            <v>Trim</v>
          </cell>
          <cell r="M3" t="str">
            <v>Flow Ch</v>
          </cell>
          <cell r="N3" t="str">
            <v>Conn</v>
          </cell>
          <cell r="O3" t="str">
            <v>Body</v>
          </cell>
        </row>
        <row r="4">
          <cell r="A4" t="str">
            <v>VAV-EX1</v>
          </cell>
          <cell r="B4">
            <v>1.4</v>
          </cell>
          <cell r="C4" t="str">
            <v>0.5</v>
          </cell>
          <cell r="D4" t="str">
            <v>2-Way</v>
          </cell>
          <cell r="E4">
            <v>4</v>
          </cell>
          <cell r="F4">
            <v>0.7</v>
          </cell>
          <cell r="G4">
            <v>0.63</v>
          </cell>
          <cell r="H4">
            <v>4.9382716049382713</v>
          </cell>
          <cell r="I4">
            <v>259</v>
          </cell>
          <cell r="J4" t="str">
            <v>02032</v>
          </cell>
          <cell r="K4" t="str">
            <v>Standard</v>
          </cell>
          <cell r="L4" t="str">
            <v>BR</v>
          </cell>
          <cell r="M4" t="str">
            <v>Linear</v>
          </cell>
          <cell r="N4" t="str">
            <v>FxF</v>
          </cell>
          <cell r="O4" t="str">
            <v>Globe-Powermite</v>
          </cell>
        </row>
      </sheetData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List1" displayName="List1" ref="AD5:AD8" totalsRowShown="0" headerRowDxfId="8" dataDxfId="7" headerRowCellStyle="Normal_Valve Schedule Spreadsheet_Final">
  <autoFilter ref="AD5:AD8" xr:uid="{00000000-0009-0000-0100-000003000000}"/>
  <tableColumns count="1">
    <tableColumn id="1" xr3:uid="{00000000-0010-0000-0000-000001000000}" name="Column1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ist1" displayName="List1_1" ref="AD1:AD5" totalsRowShown="0" headerRowDxfId="5" dataDxfId="4">
  <autoFilter ref="AD1:AD5" xr:uid="{00000000-0009-0000-0100-000001000000}"/>
  <tableColumns count="1">
    <tableColumn id="1" xr3:uid="{00000000-0010-0000-0100-000001000000}" name="Column1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List113" displayName="List113" ref="AD5:AD8" totalsRowShown="0" headerRowDxfId="2" dataDxfId="1" headerRowCellStyle="Normal_Valve Schedule Spreadsheet_Final">
  <autoFilter ref="AD5:AD8" xr:uid="{00000000-0009-0000-0100-00000C000000}"/>
  <tableColumns count="1">
    <tableColumn id="1" xr3:uid="{00000000-0010-0000-0200-000001000000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iknow.us.abatos.com/infolink/InfoLink.aspx?page=/infolink/automation/appguides/145636/145854.pdf" TargetMode="External"/><Relationship Id="rId13" Type="http://schemas.openxmlformats.org/officeDocument/2006/relationships/hyperlink" Target="http://iknow.us.abatos.com/customsolutions/PDF/Lab/aps/0668p08.pdf" TargetMode="External"/><Relationship Id="rId18" Type="http://schemas.openxmlformats.org/officeDocument/2006/relationships/hyperlink" Target="http://iknow.us.abatos.com/infolink/InfoLink.aspx?page=/infolink/automation/appguides/145636/145825.pdf" TargetMode="External"/><Relationship Id="rId3" Type="http://schemas.openxmlformats.org/officeDocument/2006/relationships/hyperlink" Target="http://iknow.us.abatos.com/infolink/InfoLink.aspx?page=/infolink/automation/appguides/145636/145840.pdf" TargetMode="External"/><Relationship Id="rId21" Type="http://schemas.openxmlformats.org/officeDocument/2006/relationships/hyperlink" Target="http://iknow.us009.siemens.net/infolink/InfoLink.aspx?page=/infolink/automation/appguides/145636/145844.pdf" TargetMode="External"/><Relationship Id="rId7" Type="http://schemas.openxmlformats.org/officeDocument/2006/relationships/hyperlink" Target="http://iknow.us.abatos.com/infolink/InfoLink.aspx?page=/infolink/automation/appguides/145636/145853.pdf" TargetMode="External"/><Relationship Id="rId12" Type="http://schemas.openxmlformats.org/officeDocument/2006/relationships/hyperlink" Target="http://iknow.us.abatos.com/customsolutions/pdf/hvac/aps/0525p08.pdf" TargetMode="External"/><Relationship Id="rId17" Type="http://schemas.openxmlformats.org/officeDocument/2006/relationships/hyperlink" Target="http://iknow.us009.siemens.net/infolink/InfoLink.aspx?page=/infolink/automation/BACnet/Applications/BACnet%20Terminal%20Box%20Controller/1400743/1400743.htm" TargetMode="External"/><Relationship Id="rId2" Type="http://schemas.openxmlformats.org/officeDocument/2006/relationships/hyperlink" Target="http://iknow.us.abatos.com/infolink/InfoLink.aspx?page=/infolink/automation/appguides/145636/145839.pdf" TargetMode="External"/><Relationship Id="rId16" Type="http://schemas.openxmlformats.org/officeDocument/2006/relationships/hyperlink" Target="http://iknow.us009.siemens.net/infolink/InfoLink.aspx?page=/infolink/automation/BACnet/Applications/BACnet%20Terminal%20Box%20Controller/1400741/1400741.htm" TargetMode="External"/><Relationship Id="rId20" Type="http://schemas.openxmlformats.org/officeDocument/2006/relationships/hyperlink" Target="http://iknow.us009.siemens.net/infolink/InfoLink.aspx?page=/infolink/automation/appguides/145636/145843.pdf" TargetMode="External"/><Relationship Id="rId1" Type="http://schemas.openxmlformats.org/officeDocument/2006/relationships/hyperlink" Target="http://iknow.us.abatos.com/infolink/InfoLink.aspx?page=/infolink/automation/appguides/145636/145837.pdf" TargetMode="External"/><Relationship Id="rId6" Type="http://schemas.openxmlformats.org/officeDocument/2006/relationships/hyperlink" Target="http://iknow.us.abatos.com/infolink/InfoLink.aspx?page=/infolink/automation/appguides/145636/145847.pdf" TargetMode="External"/><Relationship Id="rId11" Type="http://schemas.openxmlformats.org/officeDocument/2006/relationships/hyperlink" Target="http://iknow.us.abatos.com/customsolutions/pdf/hvac/aps/0801p082301.pdf" TargetMode="External"/><Relationship Id="rId5" Type="http://schemas.openxmlformats.org/officeDocument/2006/relationships/hyperlink" Target="http://iknow.us.abatos.com/infolink/InfoLink.aspx?page=/infolink/automation/appguides/145636/145845.pdf" TargetMode="External"/><Relationship Id="rId15" Type="http://schemas.openxmlformats.org/officeDocument/2006/relationships/hyperlink" Target="http://iknow.us.abatos.com/customsolutions/pdf/hvac/aps/0844p08b.pdf" TargetMode="External"/><Relationship Id="rId23" Type="http://schemas.openxmlformats.org/officeDocument/2006/relationships/printerSettings" Target="../printerSettings/printerSettings14.bin"/><Relationship Id="rId10" Type="http://schemas.openxmlformats.org/officeDocument/2006/relationships/hyperlink" Target="http://iknow.us009.siemens.net/infolink/InfoLink.aspx?page=/infolink/automation/appguides/145636/145882.pdf" TargetMode="External"/><Relationship Id="rId19" Type="http://schemas.openxmlformats.org/officeDocument/2006/relationships/hyperlink" Target="http://iknow.us009.siemens.net/infolink/InfoLink.aspx?page=/infolink/automation/appguides/145636/145842.pdf" TargetMode="External"/><Relationship Id="rId4" Type="http://schemas.openxmlformats.org/officeDocument/2006/relationships/hyperlink" Target="http://iknow.us.abatos.com/infolink/InfoLink.aspx?page=/infolink/automation/appguides/145636/145841.pdf" TargetMode="External"/><Relationship Id="rId9" Type="http://schemas.openxmlformats.org/officeDocument/2006/relationships/hyperlink" Target="http://iknow.us.abatos.com/infolink/InfoLink.aspx?page=/infolink/critical%20environments/applications/rpc/145870.pdf" TargetMode="External"/><Relationship Id="rId14" Type="http://schemas.openxmlformats.org/officeDocument/2006/relationships/hyperlink" Target="http://iknow.us.abatos.com/customsolutions/PDF/HVAC/aps/0194p08.pdf" TargetMode="External"/><Relationship Id="rId22" Type="http://schemas.openxmlformats.org/officeDocument/2006/relationships/hyperlink" Target="http://iknow.us009.siemens.net/infolink/InfoLink.aspx?page=/infolink/automation/appguides/145636/145846.pdf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31"/>
  </sheetPr>
  <dimension ref="A1:EP1"/>
  <sheetViews>
    <sheetView workbookViewId="0">
      <selection sqref="A1:XFD1"/>
    </sheetView>
  </sheetViews>
  <sheetFormatPr defaultRowHeight="12.75"/>
  <cols>
    <col min="1" max="16384" width="9.140625" style="375"/>
  </cols>
  <sheetData>
    <row r="1" spans="1:146" s="374" customFormat="1">
      <c r="A1" s="374" t="s">
        <v>66</v>
      </c>
      <c r="B1" s="374" t="s">
        <v>378</v>
      </c>
      <c r="C1" s="374" t="s">
        <v>379</v>
      </c>
      <c r="D1" s="374" t="s">
        <v>380</v>
      </c>
      <c r="E1" s="374" t="s">
        <v>347</v>
      </c>
      <c r="F1" s="374" t="s">
        <v>381</v>
      </c>
      <c r="G1" s="374" t="s">
        <v>382</v>
      </c>
      <c r="H1" s="374" t="s">
        <v>383</v>
      </c>
      <c r="I1" s="374" t="s">
        <v>384</v>
      </c>
      <c r="J1" s="374" t="s">
        <v>385</v>
      </c>
      <c r="K1" s="374" t="s">
        <v>386</v>
      </c>
      <c r="L1" s="374" t="s">
        <v>387</v>
      </c>
      <c r="M1" s="374" t="s">
        <v>1182</v>
      </c>
      <c r="N1" s="374" t="s">
        <v>1183</v>
      </c>
      <c r="O1" s="374" t="s">
        <v>359</v>
      </c>
      <c r="P1" s="374" t="s">
        <v>358</v>
      </c>
      <c r="Q1" s="374" t="s">
        <v>388</v>
      </c>
      <c r="R1" s="374" t="s">
        <v>356</v>
      </c>
      <c r="S1" s="374" t="s">
        <v>355</v>
      </c>
      <c r="T1" s="374" t="s">
        <v>354</v>
      </c>
      <c r="U1" s="374" t="s">
        <v>389</v>
      </c>
      <c r="V1" s="374" t="s">
        <v>390</v>
      </c>
      <c r="W1" s="374" t="s">
        <v>391</v>
      </c>
      <c r="X1" s="374" t="s">
        <v>392</v>
      </c>
      <c r="Y1" s="374" t="s">
        <v>393</v>
      </c>
      <c r="Z1" s="374" t="s">
        <v>394</v>
      </c>
      <c r="AA1" s="374" t="s">
        <v>395</v>
      </c>
      <c r="AB1" s="374" t="s">
        <v>396</v>
      </c>
      <c r="AC1" s="374" t="s">
        <v>397</v>
      </c>
      <c r="AD1" s="374" t="s">
        <v>398</v>
      </c>
      <c r="AE1" s="374" t="s">
        <v>399</v>
      </c>
      <c r="AF1" s="374" t="s">
        <v>400</v>
      </c>
      <c r="AG1" s="374" t="s">
        <v>401</v>
      </c>
      <c r="AH1" s="374" t="s">
        <v>402</v>
      </c>
      <c r="AI1" s="374" t="s">
        <v>403</v>
      </c>
      <c r="AJ1" s="374" t="s">
        <v>404</v>
      </c>
      <c r="AK1" s="374" t="s">
        <v>405</v>
      </c>
      <c r="AL1" s="374" t="s">
        <v>406</v>
      </c>
      <c r="AM1" s="374" t="s">
        <v>407</v>
      </c>
      <c r="AN1" s="374" t="s">
        <v>408</v>
      </c>
      <c r="AO1" s="374" t="s">
        <v>409</v>
      </c>
      <c r="AP1" s="374" t="s">
        <v>410</v>
      </c>
      <c r="AQ1" s="374" t="s">
        <v>411</v>
      </c>
      <c r="AR1" s="374" t="s">
        <v>412</v>
      </c>
      <c r="AS1" s="374" t="s">
        <v>413</v>
      </c>
      <c r="AT1" s="374" t="s">
        <v>414</v>
      </c>
      <c r="AU1" s="374" t="s">
        <v>415</v>
      </c>
      <c r="AV1" s="374" t="s">
        <v>416</v>
      </c>
      <c r="AW1" s="374" t="s">
        <v>417</v>
      </c>
      <c r="AX1" s="374" t="s">
        <v>418</v>
      </c>
      <c r="AY1" s="374" t="s">
        <v>419</v>
      </c>
      <c r="AZ1" s="374" t="s">
        <v>420</v>
      </c>
      <c r="BA1" s="374" t="s">
        <v>421</v>
      </c>
      <c r="BB1" s="374" t="s">
        <v>422</v>
      </c>
      <c r="BC1" s="374" t="s">
        <v>423</v>
      </c>
      <c r="BD1" s="374" t="s">
        <v>424</v>
      </c>
      <c r="BE1" s="374" t="s">
        <v>425</v>
      </c>
      <c r="BF1" s="374" t="s">
        <v>426</v>
      </c>
      <c r="BG1" s="374" t="s">
        <v>427</v>
      </c>
      <c r="BH1" s="374" t="s">
        <v>428</v>
      </c>
      <c r="BI1" s="374" t="s">
        <v>429</v>
      </c>
      <c r="BJ1" s="374" t="s">
        <v>430</v>
      </c>
      <c r="BK1" s="374" t="s">
        <v>431</v>
      </c>
      <c r="BL1" s="374" t="s">
        <v>432</v>
      </c>
      <c r="BM1" s="374" t="s">
        <v>433</v>
      </c>
      <c r="BN1" s="374" t="s">
        <v>434</v>
      </c>
      <c r="BO1" s="374" t="s">
        <v>435</v>
      </c>
      <c r="BP1" s="374" t="s">
        <v>436</v>
      </c>
      <c r="BQ1" s="374" t="s">
        <v>437</v>
      </c>
      <c r="BR1" s="374" t="s">
        <v>438</v>
      </c>
      <c r="BS1" s="374" t="s">
        <v>439</v>
      </c>
      <c r="BT1" s="374" t="s">
        <v>440</v>
      </c>
      <c r="BU1" s="374" t="s">
        <v>441</v>
      </c>
      <c r="BV1" s="374" t="s">
        <v>442</v>
      </c>
      <c r="BW1" s="374" t="s">
        <v>443</v>
      </c>
      <c r="BX1" s="374" t="s">
        <v>444</v>
      </c>
      <c r="BY1" s="374" t="s">
        <v>445</v>
      </c>
      <c r="BZ1" s="374" t="s">
        <v>446</v>
      </c>
      <c r="CA1" s="374" t="s">
        <v>447</v>
      </c>
      <c r="CB1" s="374" t="s">
        <v>448</v>
      </c>
      <c r="CC1" s="374" t="s">
        <v>449</v>
      </c>
      <c r="CD1" s="374" t="s">
        <v>450</v>
      </c>
      <c r="CE1" s="374" t="s">
        <v>451</v>
      </c>
      <c r="CF1" s="374" t="s">
        <v>452</v>
      </c>
      <c r="CG1" s="374" t="s">
        <v>453</v>
      </c>
      <c r="CH1" s="374" t="s">
        <v>454</v>
      </c>
      <c r="CI1" s="374" t="s">
        <v>455</v>
      </c>
      <c r="CJ1" s="374" t="s">
        <v>456</v>
      </c>
      <c r="CK1" s="374" t="s">
        <v>457</v>
      </c>
      <c r="CL1" s="374" t="s">
        <v>458</v>
      </c>
      <c r="CM1" s="374" t="s">
        <v>459</v>
      </c>
      <c r="CN1" s="374" t="s">
        <v>460</v>
      </c>
      <c r="CO1" s="374" t="s">
        <v>461</v>
      </c>
      <c r="CP1" s="374" t="s">
        <v>462</v>
      </c>
      <c r="CQ1" s="374" t="s">
        <v>463</v>
      </c>
      <c r="CR1" s="374" t="s">
        <v>464</v>
      </c>
      <c r="CS1" s="374" t="s">
        <v>465</v>
      </c>
      <c r="CT1" s="374" t="s">
        <v>466</v>
      </c>
      <c r="CU1" s="374" t="s">
        <v>467</v>
      </c>
      <c r="CV1" s="374" t="s">
        <v>468</v>
      </c>
      <c r="CW1" s="374" t="s">
        <v>469</v>
      </c>
      <c r="CX1" s="374" t="s">
        <v>470</v>
      </c>
      <c r="CY1" s="374" t="s">
        <v>471</v>
      </c>
      <c r="CZ1" s="374" t="s">
        <v>472</v>
      </c>
      <c r="DA1" s="374" t="s">
        <v>473</v>
      </c>
      <c r="DB1" s="374" t="s">
        <v>474</v>
      </c>
      <c r="DC1" s="374" t="s">
        <v>475</v>
      </c>
      <c r="DD1" s="374" t="s">
        <v>476</v>
      </c>
      <c r="DE1" s="374" t="s">
        <v>477</v>
      </c>
      <c r="DF1" s="374" t="s">
        <v>478</v>
      </c>
      <c r="DG1" s="374" t="s">
        <v>479</v>
      </c>
      <c r="DH1" s="374" t="s">
        <v>480</v>
      </c>
      <c r="DI1" s="374" t="s">
        <v>481</v>
      </c>
      <c r="DJ1" s="374" t="s">
        <v>482</v>
      </c>
      <c r="DK1" s="374" t="s">
        <v>483</v>
      </c>
      <c r="DL1" s="374" t="s">
        <v>484</v>
      </c>
      <c r="DM1" s="374" t="s">
        <v>485</v>
      </c>
      <c r="DN1" s="374" t="s">
        <v>486</v>
      </c>
      <c r="DO1" s="374" t="s">
        <v>1152</v>
      </c>
      <c r="DP1" s="374" t="s">
        <v>1153</v>
      </c>
      <c r="DQ1" s="374" t="s">
        <v>1154</v>
      </c>
      <c r="DR1" s="374" t="s">
        <v>1155</v>
      </c>
      <c r="DS1" s="374" t="s">
        <v>1156</v>
      </c>
      <c r="DT1" s="374" t="s">
        <v>1157</v>
      </c>
      <c r="DU1" s="374" t="s">
        <v>1158</v>
      </c>
      <c r="DV1" s="374" t="s">
        <v>1159</v>
      </c>
      <c r="DW1" s="374" t="s">
        <v>1160</v>
      </c>
      <c r="DX1" s="374" t="s">
        <v>1161</v>
      </c>
      <c r="DY1" s="374" t="s">
        <v>1162</v>
      </c>
      <c r="DZ1" s="374" t="s">
        <v>1163</v>
      </c>
      <c r="EA1" s="374" t="s">
        <v>1164</v>
      </c>
      <c r="EB1" s="374" t="s">
        <v>1165</v>
      </c>
      <c r="EC1" s="374" t="s">
        <v>1166</v>
      </c>
      <c r="ED1" s="374" t="s">
        <v>1167</v>
      </c>
      <c r="EE1" s="374" t="s">
        <v>1168</v>
      </c>
      <c r="EF1" s="374" t="s">
        <v>1169</v>
      </c>
      <c r="EG1" s="374" t="s">
        <v>1170</v>
      </c>
      <c r="EH1" s="374" t="s">
        <v>1171</v>
      </c>
      <c r="EI1" s="374" t="s">
        <v>1172</v>
      </c>
      <c r="EJ1" s="374" t="s">
        <v>1173</v>
      </c>
      <c r="EK1" s="374" t="s">
        <v>1174</v>
      </c>
      <c r="EL1" s="374" t="s">
        <v>1175</v>
      </c>
      <c r="EM1" s="374" t="s">
        <v>1176</v>
      </c>
      <c r="EN1" s="374" t="s">
        <v>1177</v>
      </c>
      <c r="EO1" s="374" t="s">
        <v>1178</v>
      </c>
      <c r="EP1" s="374" t="s">
        <v>1179</v>
      </c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8"/>
  </sheetPr>
  <dimension ref="A1:L1"/>
  <sheetViews>
    <sheetView workbookViewId="0">
      <selection activeCell="I25" sqref="I25"/>
    </sheetView>
  </sheetViews>
  <sheetFormatPr defaultRowHeight="12.75"/>
  <sheetData>
    <row r="1" spans="1:12">
      <c r="A1" s="11" t="s">
        <v>378</v>
      </c>
      <c r="B1" s="11" t="s">
        <v>379</v>
      </c>
      <c r="C1" s="11" t="s">
        <v>380</v>
      </c>
      <c r="D1" s="11" t="s">
        <v>347</v>
      </c>
      <c r="E1" s="11" t="s">
        <v>381</v>
      </c>
      <c r="F1" s="11" t="s">
        <v>382</v>
      </c>
      <c r="G1" s="11" t="s">
        <v>383</v>
      </c>
      <c r="H1" s="11" t="s">
        <v>384</v>
      </c>
      <c r="I1" s="11" t="s">
        <v>385</v>
      </c>
      <c r="J1" s="11" t="s">
        <v>386</v>
      </c>
      <c r="K1" s="11" t="s">
        <v>387</v>
      </c>
      <c r="L1" s="11" t="s">
        <v>359</v>
      </c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8"/>
  </sheetPr>
  <dimension ref="A1:C90"/>
  <sheetViews>
    <sheetView workbookViewId="0">
      <selection activeCell="C26" sqref="C26"/>
    </sheetView>
  </sheetViews>
  <sheetFormatPr defaultRowHeight="12.75"/>
  <cols>
    <col min="1" max="1" width="24.5703125" customWidth="1"/>
    <col min="2" max="2" width="33.85546875" customWidth="1"/>
    <col min="3" max="3" width="21.140625" customWidth="1"/>
  </cols>
  <sheetData>
    <row r="1" spans="1:3" ht="20.25">
      <c r="A1" s="8" t="s">
        <v>369</v>
      </c>
      <c r="B1" s="9" t="s">
        <v>370</v>
      </c>
      <c r="C1" s="10" t="s">
        <v>371</v>
      </c>
    </row>
    <row r="2" spans="1:3" ht="27" customHeight="1">
      <c r="A2" s="2" t="s">
        <v>347</v>
      </c>
      <c r="B2" s="6" t="s">
        <v>348</v>
      </c>
      <c r="C2" s="1"/>
    </row>
    <row r="3" spans="1:3">
      <c r="A3" s="2"/>
      <c r="B3" s="5"/>
      <c r="C3" s="2"/>
    </row>
    <row r="4" spans="1:3">
      <c r="A4" s="2" t="s">
        <v>359</v>
      </c>
      <c r="B4" s="5" t="s">
        <v>362</v>
      </c>
      <c r="C4" s="2" t="s">
        <v>363</v>
      </c>
    </row>
    <row r="5" spans="1:3">
      <c r="A5" s="2"/>
      <c r="B5" s="5" t="s">
        <v>361</v>
      </c>
      <c r="C5" s="2" t="s">
        <v>364</v>
      </c>
    </row>
    <row r="6" spans="1:3">
      <c r="A6" s="2"/>
      <c r="B6" s="5"/>
      <c r="C6" s="2"/>
    </row>
    <row r="7" spans="1:3">
      <c r="A7" s="2" t="s">
        <v>358</v>
      </c>
      <c r="B7" s="5" t="s">
        <v>365</v>
      </c>
      <c r="C7" s="2" t="s">
        <v>367</v>
      </c>
    </row>
    <row r="8" spans="1:3">
      <c r="A8" s="2"/>
      <c r="B8" s="5" t="s">
        <v>366</v>
      </c>
      <c r="C8" s="2" t="s">
        <v>368</v>
      </c>
    </row>
    <row r="9" spans="1:3">
      <c r="A9" s="2"/>
      <c r="B9" s="5"/>
      <c r="C9" s="2"/>
    </row>
    <row r="10" spans="1:3">
      <c r="A10" s="2" t="s">
        <v>357</v>
      </c>
      <c r="B10" s="5" t="s">
        <v>377</v>
      </c>
      <c r="C10" s="2" t="s">
        <v>351</v>
      </c>
    </row>
    <row r="11" spans="1:3">
      <c r="A11" s="2"/>
      <c r="B11" s="5" t="s">
        <v>349</v>
      </c>
      <c r="C11" s="2" t="s">
        <v>352</v>
      </c>
    </row>
    <row r="12" spans="1:3">
      <c r="A12" s="2"/>
      <c r="B12" s="5" t="s">
        <v>350</v>
      </c>
      <c r="C12" s="2" t="s">
        <v>353</v>
      </c>
    </row>
    <row r="13" spans="1:3">
      <c r="A13" s="2"/>
      <c r="B13" s="5"/>
      <c r="C13" s="2"/>
    </row>
    <row r="14" spans="1:3">
      <c r="A14" s="2" t="s">
        <v>356</v>
      </c>
      <c r="B14" s="5" t="s">
        <v>372</v>
      </c>
      <c r="C14" s="2"/>
    </row>
    <row r="15" spans="1:3">
      <c r="A15" s="2"/>
      <c r="B15" s="5" t="s">
        <v>373</v>
      </c>
      <c r="C15" s="2"/>
    </row>
    <row r="16" spans="1:3">
      <c r="A16" s="2"/>
      <c r="B16" s="5" t="s">
        <v>374</v>
      </c>
      <c r="C16" s="2"/>
    </row>
    <row r="17" spans="1:3">
      <c r="A17" s="2"/>
      <c r="B17" s="5"/>
      <c r="C17" s="2"/>
    </row>
    <row r="18" spans="1:3">
      <c r="A18" s="2" t="s">
        <v>355</v>
      </c>
      <c r="B18" s="5" t="s">
        <v>375</v>
      </c>
      <c r="C18" s="2"/>
    </row>
    <row r="19" spans="1:3">
      <c r="A19" s="2"/>
      <c r="B19" s="5" t="s">
        <v>360</v>
      </c>
      <c r="C19" s="2"/>
    </row>
    <row r="20" spans="1:3">
      <c r="A20" s="2"/>
      <c r="B20" s="5" t="s">
        <v>376</v>
      </c>
      <c r="C20" s="2"/>
    </row>
    <row r="21" spans="1:3">
      <c r="A21" s="2"/>
      <c r="B21" s="5"/>
      <c r="C21" s="2"/>
    </row>
    <row r="22" spans="1:3">
      <c r="A22" s="2" t="s">
        <v>354</v>
      </c>
      <c r="B22" s="5" t="s">
        <v>365</v>
      </c>
      <c r="C22" s="2" t="s">
        <v>367</v>
      </c>
    </row>
    <row r="23" spans="1:3">
      <c r="A23" s="4"/>
      <c r="B23" s="7" t="s">
        <v>366</v>
      </c>
      <c r="C23" s="3" t="s">
        <v>368</v>
      </c>
    </row>
    <row r="27" spans="1:3" ht="15.75">
      <c r="A27" s="191" t="s">
        <v>70</v>
      </c>
      <c r="B27" s="191" t="s">
        <v>68</v>
      </c>
    </row>
    <row r="28" spans="1:3" ht="15.75">
      <c r="A28" s="191" t="s">
        <v>71</v>
      </c>
      <c r="B28" s="191" t="s">
        <v>72</v>
      </c>
    </row>
    <row r="29" spans="1:3">
      <c r="A29" s="190" t="s">
        <v>496</v>
      </c>
      <c r="B29" s="190" t="s">
        <v>73</v>
      </c>
    </row>
    <row r="30" spans="1:3">
      <c r="A30" s="190" t="s">
        <v>795</v>
      </c>
      <c r="B30" s="190" t="s">
        <v>74</v>
      </c>
    </row>
    <row r="31" spans="1:3">
      <c r="A31" s="190" t="s">
        <v>884</v>
      </c>
      <c r="B31" s="190" t="s">
        <v>75</v>
      </c>
    </row>
    <row r="32" spans="1:3">
      <c r="A32" s="190" t="s">
        <v>500</v>
      </c>
      <c r="B32" s="190" t="s">
        <v>76</v>
      </c>
    </row>
    <row r="33" spans="1:2">
      <c r="A33" s="190" t="s">
        <v>888</v>
      </c>
      <c r="B33" s="190" t="s">
        <v>77</v>
      </c>
    </row>
    <row r="34" spans="1:2">
      <c r="A34" s="190" t="s">
        <v>1095</v>
      </c>
      <c r="B34" s="190" t="s">
        <v>78</v>
      </c>
    </row>
    <row r="35" spans="1:2">
      <c r="A35" s="190" t="s">
        <v>1106</v>
      </c>
      <c r="B35" s="190" t="s">
        <v>79</v>
      </c>
    </row>
    <row r="36" spans="1:2">
      <c r="A36" s="190" t="s">
        <v>501</v>
      </c>
      <c r="B36" s="190" t="s">
        <v>80</v>
      </c>
    </row>
    <row r="37" spans="1:2">
      <c r="A37" s="190" t="s">
        <v>1107</v>
      </c>
      <c r="B37" s="190" t="s">
        <v>81</v>
      </c>
    </row>
    <row r="38" spans="1:2">
      <c r="A38" s="190" t="s">
        <v>1108</v>
      </c>
      <c r="B38" s="190" t="s">
        <v>82</v>
      </c>
    </row>
    <row r="39" spans="1:2">
      <c r="A39" s="190" t="s">
        <v>1096</v>
      </c>
      <c r="B39" s="190" t="s">
        <v>83</v>
      </c>
    </row>
    <row r="40" spans="1:2">
      <c r="A40" s="190" t="s">
        <v>1110</v>
      </c>
      <c r="B40" s="190" t="s">
        <v>84</v>
      </c>
    </row>
    <row r="41" spans="1:2">
      <c r="A41" s="190" t="s">
        <v>1111</v>
      </c>
      <c r="B41" s="190" t="s">
        <v>85</v>
      </c>
    </row>
    <row r="42" spans="1:2">
      <c r="A42" s="190" t="s">
        <v>505</v>
      </c>
      <c r="B42" s="190" t="s">
        <v>86</v>
      </c>
    </row>
    <row r="43" spans="1:2">
      <c r="A43" s="190" t="s">
        <v>1112</v>
      </c>
      <c r="B43" s="190" t="s">
        <v>87</v>
      </c>
    </row>
    <row r="44" spans="1:2">
      <c r="A44" s="190" t="s">
        <v>1113</v>
      </c>
      <c r="B44" s="190" t="s">
        <v>88</v>
      </c>
    </row>
    <row r="45" spans="1:2">
      <c r="A45" s="190" t="s">
        <v>783</v>
      </c>
      <c r="B45" s="190" t="s">
        <v>89</v>
      </c>
    </row>
    <row r="46" spans="1:2">
      <c r="A46" s="190" t="s">
        <v>1114</v>
      </c>
      <c r="B46" s="190" t="s">
        <v>90</v>
      </c>
    </row>
    <row r="47" spans="1:2">
      <c r="A47" s="190" t="s">
        <v>1116</v>
      </c>
      <c r="B47" s="190" t="s">
        <v>91</v>
      </c>
    </row>
    <row r="48" spans="1:2">
      <c r="A48" s="190" t="s">
        <v>1117</v>
      </c>
      <c r="B48" s="190" t="s">
        <v>92</v>
      </c>
    </row>
    <row r="49" spans="1:2">
      <c r="A49" s="190" t="s">
        <v>93</v>
      </c>
      <c r="B49" s="190" t="s">
        <v>94</v>
      </c>
    </row>
    <row r="50" spans="1:2">
      <c r="A50" s="190" t="s">
        <v>95</v>
      </c>
      <c r="B50" s="190" t="s">
        <v>96</v>
      </c>
    </row>
    <row r="51" spans="1:2">
      <c r="A51" s="190" t="s">
        <v>97</v>
      </c>
      <c r="B51" s="190" t="s">
        <v>98</v>
      </c>
    </row>
    <row r="52" spans="1:2">
      <c r="A52" s="190" t="s">
        <v>99</v>
      </c>
      <c r="B52" s="190" t="s">
        <v>100</v>
      </c>
    </row>
    <row r="53" spans="1:2">
      <c r="A53" s="190" t="s">
        <v>101</v>
      </c>
      <c r="B53" s="190" t="s">
        <v>102</v>
      </c>
    </row>
    <row r="54" spans="1:2">
      <c r="A54" s="190" t="s">
        <v>103</v>
      </c>
      <c r="B54" s="190" t="s">
        <v>104</v>
      </c>
    </row>
    <row r="55" spans="1:2">
      <c r="A55" s="190" t="s">
        <v>105</v>
      </c>
      <c r="B55" s="190" t="s">
        <v>106</v>
      </c>
    </row>
    <row r="56" spans="1:2">
      <c r="A56" s="190" t="s">
        <v>107</v>
      </c>
      <c r="B56" s="190" t="s">
        <v>108</v>
      </c>
    </row>
    <row r="57" spans="1:2">
      <c r="A57" s="190" t="s">
        <v>109</v>
      </c>
      <c r="B57" s="190" t="s">
        <v>110</v>
      </c>
    </row>
    <row r="58" spans="1:2">
      <c r="A58" s="190" t="s">
        <v>1119</v>
      </c>
      <c r="B58" s="190" t="s">
        <v>111</v>
      </c>
    </row>
    <row r="59" spans="1:2">
      <c r="A59" s="190" t="s">
        <v>112</v>
      </c>
      <c r="B59" s="190" t="s">
        <v>113</v>
      </c>
    </row>
    <row r="60" spans="1:2">
      <c r="A60" s="190" t="s">
        <v>114</v>
      </c>
      <c r="B60" s="190" t="s">
        <v>115</v>
      </c>
    </row>
    <row r="61" spans="1:2">
      <c r="A61" s="190" t="s">
        <v>116</v>
      </c>
      <c r="B61" s="190" t="s">
        <v>117</v>
      </c>
    </row>
    <row r="62" spans="1:2">
      <c r="A62" s="190" t="s">
        <v>118</v>
      </c>
      <c r="B62" s="190" t="s">
        <v>119</v>
      </c>
    </row>
    <row r="63" spans="1:2">
      <c r="A63" s="190" t="s">
        <v>120</v>
      </c>
      <c r="B63" s="190" t="s">
        <v>121</v>
      </c>
    </row>
    <row r="64" spans="1:2">
      <c r="A64" s="190" t="s">
        <v>122</v>
      </c>
      <c r="B64" s="190" t="s">
        <v>123</v>
      </c>
    </row>
    <row r="65" spans="1:2">
      <c r="A65" s="190" t="s">
        <v>124</v>
      </c>
      <c r="B65" s="190" t="s">
        <v>125</v>
      </c>
    </row>
    <row r="66" spans="1:2">
      <c r="A66" s="190" t="s">
        <v>126</v>
      </c>
      <c r="B66" s="190" t="s">
        <v>127</v>
      </c>
    </row>
    <row r="67" spans="1:2">
      <c r="A67" s="190" t="s">
        <v>128</v>
      </c>
      <c r="B67" s="190" t="s">
        <v>129</v>
      </c>
    </row>
    <row r="68" spans="1:2">
      <c r="A68" s="190" t="s">
        <v>130</v>
      </c>
      <c r="B68" s="190" t="s">
        <v>131</v>
      </c>
    </row>
    <row r="69" spans="1:2">
      <c r="A69" s="190" t="s">
        <v>988</v>
      </c>
      <c r="B69" s="190" t="s">
        <v>132</v>
      </c>
    </row>
    <row r="70" spans="1:2">
      <c r="A70" s="190" t="s">
        <v>133</v>
      </c>
      <c r="B70" s="190" t="s">
        <v>134</v>
      </c>
    </row>
    <row r="71" spans="1:2">
      <c r="A71" s="190" t="s">
        <v>489</v>
      </c>
      <c r="B71" s="190" t="s">
        <v>135</v>
      </c>
    </row>
    <row r="72" spans="1:2">
      <c r="A72" s="190" t="s">
        <v>136</v>
      </c>
      <c r="B72" s="190" t="s">
        <v>137</v>
      </c>
    </row>
    <row r="73" spans="1:2">
      <c r="A73" s="190" t="s">
        <v>1094</v>
      </c>
      <c r="B73" s="190" t="s">
        <v>138</v>
      </c>
    </row>
    <row r="74" spans="1:2">
      <c r="A74" s="190" t="s">
        <v>46</v>
      </c>
      <c r="B74" s="190" t="s">
        <v>139</v>
      </c>
    </row>
    <row r="75" spans="1:2">
      <c r="A75" s="190" t="s">
        <v>488</v>
      </c>
      <c r="B75" s="190" t="s">
        <v>140</v>
      </c>
    </row>
    <row r="76" spans="1:2">
      <c r="A76" s="190" t="s">
        <v>507</v>
      </c>
      <c r="B76" s="190" t="s">
        <v>508</v>
      </c>
    </row>
    <row r="77" spans="1:2">
      <c r="A77" s="190" t="s">
        <v>141</v>
      </c>
      <c r="B77" s="190" t="s">
        <v>142</v>
      </c>
    </row>
    <row r="78" spans="1:2">
      <c r="A78" s="190" t="s">
        <v>143</v>
      </c>
      <c r="B78" s="190" t="s">
        <v>144</v>
      </c>
    </row>
    <row r="79" spans="1:2">
      <c r="A79" s="190" t="s">
        <v>145</v>
      </c>
      <c r="B79" s="190" t="s">
        <v>146</v>
      </c>
    </row>
    <row r="80" spans="1:2">
      <c r="A80" s="190" t="s">
        <v>147</v>
      </c>
      <c r="B80" s="190" t="s">
        <v>148</v>
      </c>
    </row>
    <row r="81" spans="1:2">
      <c r="A81" s="190" t="s">
        <v>149</v>
      </c>
      <c r="B81" s="190" t="s">
        <v>150</v>
      </c>
    </row>
    <row r="82" spans="1:2">
      <c r="A82" s="190" t="s">
        <v>151</v>
      </c>
      <c r="B82" s="190" t="s">
        <v>152</v>
      </c>
    </row>
    <row r="83" spans="1:2">
      <c r="A83" s="190" t="s">
        <v>153</v>
      </c>
      <c r="B83" s="190" t="s">
        <v>154</v>
      </c>
    </row>
    <row r="84" spans="1:2">
      <c r="A84" s="190" t="s">
        <v>155</v>
      </c>
      <c r="B84" s="190" t="s">
        <v>156</v>
      </c>
    </row>
    <row r="85" spans="1:2">
      <c r="A85" s="190" t="s">
        <v>157</v>
      </c>
      <c r="B85" s="190" t="s">
        <v>158</v>
      </c>
    </row>
    <row r="86" spans="1:2">
      <c r="A86" s="190" t="s">
        <v>1143</v>
      </c>
      <c r="B86" s="190" t="s">
        <v>159</v>
      </c>
    </row>
    <row r="87" spans="1:2">
      <c r="A87" s="190" t="s">
        <v>160</v>
      </c>
      <c r="B87" s="190" t="s">
        <v>161</v>
      </c>
    </row>
    <row r="88" spans="1:2">
      <c r="A88" s="190" t="s">
        <v>162</v>
      </c>
      <c r="B88" s="190" t="s">
        <v>163</v>
      </c>
    </row>
    <row r="89" spans="1:2">
      <c r="A89" s="190" t="s">
        <v>164</v>
      </c>
      <c r="B89" s="190" t="s">
        <v>165</v>
      </c>
    </row>
    <row r="90" spans="1:2">
      <c r="A90" s="190" t="s">
        <v>166</v>
      </c>
      <c r="B90" s="190" t="s">
        <v>167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indexed="31"/>
    <pageSetUpPr fitToPage="1"/>
  </sheetPr>
  <dimension ref="A1:S190"/>
  <sheetViews>
    <sheetView topLeftCell="B1" zoomScale="115" zoomScaleNormal="115" workbookViewId="0">
      <selection activeCell="Z6" sqref="Z6"/>
    </sheetView>
  </sheetViews>
  <sheetFormatPr defaultColWidth="5" defaultRowHeight="12.75"/>
  <cols>
    <col min="1" max="1" width="2" style="630" hidden="1" customWidth="1"/>
    <col min="2" max="2" width="3" style="630" bestFit="1" customWidth="1"/>
    <col min="3" max="3" width="2" style="630" bestFit="1" customWidth="1"/>
    <col min="4" max="4" width="3" style="630" bestFit="1" customWidth="1"/>
    <col min="5" max="5" width="5" style="630"/>
    <col min="6" max="6" width="8" style="630" bestFit="1" customWidth="1"/>
    <col min="7" max="7" width="5" style="630"/>
    <col min="8" max="8" width="11.5703125" style="630" bestFit="1" customWidth="1"/>
    <col min="9" max="9" width="15.42578125" style="630" bestFit="1" customWidth="1"/>
    <col min="10" max="10" width="5.7109375" style="630" hidden="1" customWidth="1"/>
    <col min="11" max="12" width="3.28515625" style="630" hidden="1" customWidth="1"/>
    <col min="13" max="13" width="3.5703125" style="630" bestFit="1" customWidth="1"/>
    <col min="14" max="14" width="5.7109375" style="630" hidden="1" customWidth="1"/>
    <col min="15" max="19" width="0" style="630" hidden="1" customWidth="1"/>
    <col min="20" max="16384" width="5" style="630"/>
  </cols>
  <sheetData>
    <row r="1" spans="1:19" ht="12.75" customHeight="1">
      <c r="B1" s="499" t="s">
        <v>1337</v>
      </c>
      <c r="C1" s="608"/>
      <c r="D1" s="608"/>
      <c r="E1" s="608"/>
      <c r="F1" s="608"/>
      <c r="G1" s="608"/>
      <c r="H1" s="608"/>
      <c r="I1" s="608"/>
      <c r="J1" s="608"/>
      <c r="K1" s="608"/>
      <c r="L1" s="500"/>
      <c r="M1" s="608"/>
      <c r="N1" s="608"/>
      <c r="O1" s="608"/>
      <c r="P1" s="608"/>
      <c r="Q1" s="608"/>
      <c r="R1" s="608"/>
      <c r="S1" s="609"/>
    </row>
    <row r="2" spans="1:19" s="367" customFormat="1" ht="65.099999999999994" customHeight="1">
      <c r="A2" s="610"/>
      <c r="B2" s="611" t="s">
        <v>1221</v>
      </c>
      <c r="C2" s="611" t="s">
        <v>347</v>
      </c>
      <c r="D2" s="611" t="s">
        <v>384</v>
      </c>
      <c r="E2" s="611" t="s">
        <v>1222</v>
      </c>
      <c r="F2" s="611" t="s">
        <v>175</v>
      </c>
      <c r="G2" s="611" t="s">
        <v>385</v>
      </c>
      <c r="H2" s="611" t="s">
        <v>1223</v>
      </c>
      <c r="I2" s="611" t="s">
        <v>317</v>
      </c>
      <c r="J2" s="611" t="s">
        <v>1224</v>
      </c>
      <c r="K2" s="611" t="s">
        <v>1225</v>
      </c>
      <c r="L2" s="611" t="s">
        <v>287</v>
      </c>
      <c r="M2" s="611" t="s">
        <v>522</v>
      </c>
      <c r="N2" s="611" t="s">
        <v>1226</v>
      </c>
      <c r="O2" s="611" t="s">
        <v>1227</v>
      </c>
      <c r="P2" s="611" t="s">
        <v>1228</v>
      </c>
      <c r="Q2" s="611" t="s">
        <v>1229</v>
      </c>
      <c r="R2" s="611" t="s">
        <v>1230</v>
      </c>
      <c r="S2" s="611" t="s">
        <v>1236</v>
      </c>
    </row>
    <row r="3" spans="1:19">
      <c r="A3" s="632">
        <v>1</v>
      </c>
      <c r="B3" s="632">
        <v>6</v>
      </c>
      <c r="C3" s="632">
        <v>1</v>
      </c>
      <c r="D3" s="632">
        <v>1</v>
      </c>
      <c r="E3" s="632" t="s">
        <v>1353</v>
      </c>
      <c r="F3" s="632" t="s">
        <v>1532</v>
      </c>
      <c r="G3" s="632" t="s">
        <v>1342</v>
      </c>
      <c r="H3" s="632" t="s">
        <v>1368</v>
      </c>
      <c r="I3" s="632" t="s">
        <v>1533</v>
      </c>
      <c r="J3" s="632"/>
      <c r="K3" s="632"/>
      <c r="L3" s="632"/>
      <c r="M3" s="632" t="s">
        <v>1361</v>
      </c>
      <c r="N3" s="632">
        <v>1.44</v>
      </c>
      <c r="O3" s="632"/>
      <c r="P3" s="632"/>
      <c r="Q3" s="632"/>
      <c r="R3" s="632"/>
      <c r="S3" s="632"/>
    </row>
    <row r="4" spans="1:19">
      <c r="A4" s="635">
        <v>1</v>
      </c>
      <c r="B4" s="635">
        <v>6</v>
      </c>
      <c r="C4" s="635">
        <v>1</v>
      </c>
      <c r="D4" s="635">
        <v>2</v>
      </c>
      <c r="E4" s="635" t="s">
        <v>1353</v>
      </c>
      <c r="F4" s="635" t="s">
        <v>1534</v>
      </c>
      <c r="G4" s="635" t="s">
        <v>1342</v>
      </c>
      <c r="H4" s="635" t="s">
        <v>1369</v>
      </c>
      <c r="I4" s="635" t="s">
        <v>1535</v>
      </c>
      <c r="J4" s="635"/>
      <c r="K4" s="635"/>
      <c r="L4" s="635"/>
      <c r="M4" s="635" t="s">
        <v>1362</v>
      </c>
      <c r="N4" s="635">
        <v>2.62</v>
      </c>
      <c r="O4" s="635"/>
      <c r="P4" s="635"/>
      <c r="Q4" s="635"/>
      <c r="R4" s="635"/>
      <c r="S4" s="635"/>
    </row>
    <row r="5" spans="1:19">
      <c r="A5" s="635">
        <v>1</v>
      </c>
      <c r="B5" s="635">
        <v>6</v>
      </c>
      <c r="C5" s="635">
        <v>1</v>
      </c>
      <c r="D5" s="635">
        <v>3</v>
      </c>
      <c r="E5" s="635" t="s">
        <v>1353</v>
      </c>
      <c r="F5" s="635" t="s">
        <v>1536</v>
      </c>
      <c r="G5" s="635" t="s">
        <v>1342</v>
      </c>
      <c r="H5" s="635" t="s">
        <v>1370</v>
      </c>
      <c r="I5" s="635" t="s">
        <v>1537</v>
      </c>
      <c r="J5" s="635"/>
      <c r="K5" s="635"/>
      <c r="L5" s="635"/>
      <c r="M5" s="635" t="s">
        <v>1362</v>
      </c>
      <c r="N5" s="635">
        <v>2.62</v>
      </c>
      <c r="O5" s="635"/>
      <c r="P5" s="635"/>
      <c r="Q5" s="635"/>
      <c r="R5" s="635"/>
      <c r="S5" s="635"/>
    </row>
    <row r="6" spans="1:19">
      <c r="A6" s="635">
        <v>1</v>
      </c>
      <c r="B6" s="635">
        <v>6</v>
      </c>
      <c r="C6" s="635">
        <v>1</v>
      </c>
      <c r="D6" s="635">
        <v>4</v>
      </c>
      <c r="E6" s="635" t="s">
        <v>1353</v>
      </c>
      <c r="F6" s="635" t="s">
        <v>1538</v>
      </c>
      <c r="G6" s="635" t="s">
        <v>1342</v>
      </c>
      <c r="H6" s="635" t="s">
        <v>1371</v>
      </c>
      <c r="I6" s="635" t="s">
        <v>1539</v>
      </c>
      <c r="J6" s="635"/>
      <c r="K6" s="635"/>
      <c r="L6" s="635"/>
      <c r="M6" s="635" t="s">
        <v>1362</v>
      </c>
      <c r="N6" s="635">
        <v>1.7</v>
      </c>
      <c r="O6" s="635"/>
      <c r="P6" s="635"/>
      <c r="Q6" s="635"/>
      <c r="R6" s="635"/>
      <c r="S6" s="635"/>
    </row>
    <row r="7" spans="1:19">
      <c r="A7" s="635">
        <v>1</v>
      </c>
      <c r="B7" s="635">
        <v>6</v>
      </c>
      <c r="C7" s="635">
        <v>1</v>
      </c>
      <c r="D7" s="635">
        <v>5</v>
      </c>
      <c r="E7" s="635" t="s">
        <v>1353</v>
      </c>
      <c r="F7" s="635" t="s">
        <v>1540</v>
      </c>
      <c r="G7" s="635" t="s">
        <v>1342</v>
      </c>
      <c r="H7" s="635" t="s">
        <v>1372</v>
      </c>
      <c r="I7" s="635" t="s">
        <v>1541</v>
      </c>
      <c r="J7" s="635"/>
      <c r="K7" s="635"/>
      <c r="L7" s="635"/>
      <c r="M7" s="635" t="s">
        <v>1362</v>
      </c>
      <c r="N7" s="635">
        <v>1.76</v>
      </c>
      <c r="O7" s="635"/>
      <c r="P7" s="635"/>
      <c r="Q7" s="635"/>
      <c r="R7" s="635"/>
      <c r="S7" s="635"/>
    </row>
    <row r="8" spans="1:19">
      <c r="A8" s="635">
        <v>1</v>
      </c>
      <c r="B8" s="635">
        <v>6</v>
      </c>
      <c r="C8" s="635">
        <v>1</v>
      </c>
      <c r="D8" s="635">
        <v>6</v>
      </c>
      <c r="E8" s="635" t="s">
        <v>1353</v>
      </c>
      <c r="F8" s="635" t="s">
        <v>1542</v>
      </c>
      <c r="G8" s="635" t="s">
        <v>1342</v>
      </c>
      <c r="H8" s="635" t="s">
        <v>1373</v>
      </c>
      <c r="I8" s="635" t="s">
        <v>1543</v>
      </c>
      <c r="J8" s="635"/>
      <c r="K8" s="635"/>
      <c r="L8" s="635"/>
      <c r="M8" s="635" t="s">
        <v>1362</v>
      </c>
      <c r="N8" s="635">
        <v>2.62</v>
      </c>
      <c r="O8" s="635"/>
      <c r="P8" s="635"/>
      <c r="Q8" s="635"/>
      <c r="R8" s="635"/>
      <c r="S8" s="635"/>
    </row>
    <row r="9" spans="1:19">
      <c r="A9" s="635">
        <v>1</v>
      </c>
      <c r="B9" s="635">
        <v>6</v>
      </c>
      <c r="C9" s="635">
        <v>1</v>
      </c>
      <c r="D9" s="635">
        <v>7</v>
      </c>
      <c r="E9" s="635" t="s">
        <v>1353</v>
      </c>
      <c r="F9" s="635" t="s">
        <v>1544</v>
      </c>
      <c r="G9" s="635" t="s">
        <v>1342</v>
      </c>
      <c r="H9" s="635" t="s">
        <v>1374</v>
      </c>
      <c r="I9" s="635" t="s">
        <v>1545</v>
      </c>
      <c r="J9" s="635"/>
      <c r="K9" s="635"/>
      <c r="L9" s="635"/>
      <c r="M9" s="635" t="s">
        <v>1362</v>
      </c>
      <c r="N9" s="635">
        <v>0.66</v>
      </c>
      <c r="O9" s="635"/>
      <c r="P9" s="635"/>
      <c r="Q9" s="635"/>
      <c r="R9" s="635"/>
      <c r="S9" s="635"/>
    </row>
    <row r="10" spans="1:19">
      <c r="A10" s="635">
        <v>1</v>
      </c>
      <c r="B10" s="635">
        <v>6</v>
      </c>
      <c r="C10" s="635">
        <v>1</v>
      </c>
      <c r="D10" s="635">
        <v>8</v>
      </c>
      <c r="E10" s="635" t="s">
        <v>1353</v>
      </c>
      <c r="F10" s="635" t="s">
        <v>1546</v>
      </c>
      <c r="G10" s="635" t="s">
        <v>1342</v>
      </c>
      <c r="H10" s="635" t="s">
        <v>1375</v>
      </c>
      <c r="I10" s="635" t="s">
        <v>1547</v>
      </c>
      <c r="J10" s="635"/>
      <c r="K10" s="635"/>
      <c r="L10" s="635"/>
      <c r="M10" s="635" t="s">
        <v>1361</v>
      </c>
      <c r="N10" s="635">
        <v>1.42</v>
      </c>
      <c r="O10" s="635"/>
      <c r="P10" s="635"/>
      <c r="Q10" s="635"/>
      <c r="R10" s="635"/>
      <c r="S10" s="635"/>
    </row>
    <row r="11" spans="1:19">
      <c r="A11" s="635">
        <v>1</v>
      </c>
      <c r="B11" s="635">
        <v>6</v>
      </c>
      <c r="C11" s="635">
        <v>1</v>
      </c>
      <c r="D11" s="635">
        <v>9</v>
      </c>
      <c r="E11" s="635" t="s">
        <v>1353</v>
      </c>
      <c r="F11" s="635" t="s">
        <v>1548</v>
      </c>
      <c r="G11" s="635" t="s">
        <v>1342</v>
      </c>
      <c r="H11" s="635" t="s">
        <v>1376</v>
      </c>
      <c r="I11" s="635" t="s">
        <v>1549</v>
      </c>
      <c r="J11" s="635"/>
      <c r="K11" s="635"/>
      <c r="L11" s="635"/>
      <c r="M11" s="635" t="s">
        <v>1361</v>
      </c>
      <c r="N11" s="635">
        <v>4.7</v>
      </c>
      <c r="O11" s="635"/>
      <c r="P11" s="635"/>
      <c r="Q11" s="635"/>
      <c r="R11" s="635"/>
      <c r="S11" s="635"/>
    </row>
    <row r="12" spans="1:19">
      <c r="A12" s="635">
        <v>1</v>
      </c>
      <c r="B12" s="635">
        <v>6</v>
      </c>
      <c r="C12" s="635">
        <v>1</v>
      </c>
      <c r="D12" s="635">
        <v>10</v>
      </c>
      <c r="E12" s="635" t="s">
        <v>1353</v>
      </c>
      <c r="F12" s="635" t="s">
        <v>1550</v>
      </c>
      <c r="G12" s="635" t="s">
        <v>1342</v>
      </c>
      <c r="H12" s="635" t="s">
        <v>1377</v>
      </c>
      <c r="I12" s="635" t="s">
        <v>1551</v>
      </c>
      <c r="J12" s="635"/>
      <c r="K12" s="635"/>
      <c r="L12" s="635"/>
      <c r="M12" s="635" t="s">
        <v>1361</v>
      </c>
      <c r="N12" s="635">
        <v>1.5</v>
      </c>
      <c r="O12" s="635"/>
      <c r="P12" s="635"/>
      <c r="Q12" s="635"/>
      <c r="R12" s="635"/>
      <c r="S12" s="635"/>
    </row>
    <row r="13" spans="1:19">
      <c r="A13" s="635">
        <v>1</v>
      </c>
      <c r="B13" s="635">
        <v>6</v>
      </c>
      <c r="C13" s="635">
        <v>1</v>
      </c>
      <c r="D13" s="635">
        <v>11</v>
      </c>
      <c r="E13" s="635" t="s">
        <v>1353</v>
      </c>
      <c r="F13" s="635" t="s">
        <v>1552</v>
      </c>
      <c r="G13" s="635" t="s">
        <v>1342</v>
      </c>
      <c r="H13" s="635" t="s">
        <v>1378</v>
      </c>
      <c r="I13" s="635" t="s">
        <v>1553</v>
      </c>
      <c r="J13" s="635"/>
      <c r="K13" s="635"/>
      <c r="L13" s="635"/>
      <c r="M13" s="635" t="s">
        <v>1361</v>
      </c>
      <c r="N13" s="635">
        <v>1.71</v>
      </c>
      <c r="O13" s="635"/>
      <c r="P13" s="635"/>
      <c r="Q13" s="635"/>
      <c r="R13" s="635"/>
      <c r="S13" s="635"/>
    </row>
    <row r="14" spans="1:19">
      <c r="A14" s="635">
        <v>1</v>
      </c>
      <c r="B14" s="635">
        <v>6</v>
      </c>
      <c r="C14" s="635">
        <v>1</v>
      </c>
      <c r="D14" s="635">
        <v>12</v>
      </c>
      <c r="E14" s="635" t="s">
        <v>1353</v>
      </c>
      <c r="F14" s="635" t="s">
        <v>1554</v>
      </c>
      <c r="G14" s="635" t="s">
        <v>1342</v>
      </c>
      <c r="H14" s="635" t="s">
        <v>1379</v>
      </c>
      <c r="I14" s="635" t="s">
        <v>1555</v>
      </c>
      <c r="J14" s="635"/>
      <c r="K14" s="635"/>
      <c r="L14" s="635"/>
      <c r="M14" s="635" t="s">
        <v>1361</v>
      </c>
      <c r="N14" s="635">
        <v>1.7</v>
      </c>
      <c r="O14" s="635"/>
      <c r="P14" s="635"/>
      <c r="Q14" s="635"/>
      <c r="R14" s="635"/>
      <c r="S14" s="635"/>
    </row>
    <row r="15" spans="1:19">
      <c r="A15" s="635">
        <v>1</v>
      </c>
      <c r="B15" s="635">
        <v>6</v>
      </c>
      <c r="C15" s="635">
        <v>1</v>
      </c>
      <c r="D15" s="635">
        <v>13</v>
      </c>
      <c r="E15" s="635" t="s">
        <v>1353</v>
      </c>
      <c r="F15" s="635" t="s">
        <v>1556</v>
      </c>
      <c r="G15" s="635" t="s">
        <v>1342</v>
      </c>
      <c r="H15" s="635" t="s">
        <v>1380</v>
      </c>
      <c r="I15" s="635" t="s">
        <v>1557</v>
      </c>
      <c r="J15" s="635"/>
      <c r="K15" s="635"/>
      <c r="L15" s="635"/>
      <c r="M15" s="635" t="s">
        <v>1361</v>
      </c>
      <c r="N15" s="635">
        <v>2.34</v>
      </c>
      <c r="O15" s="635"/>
      <c r="P15" s="635"/>
      <c r="Q15" s="635"/>
      <c r="R15" s="635"/>
      <c r="S15" s="635"/>
    </row>
    <row r="16" spans="1:19">
      <c r="A16" s="635">
        <v>1</v>
      </c>
      <c r="B16" s="635">
        <v>6</v>
      </c>
      <c r="C16" s="635">
        <v>1</v>
      </c>
      <c r="D16" s="635">
        <v>14</v>
      </c>
      <c r="E16" s="635" t="s">
        <v>1353</v>
      </c>
      <c r="F16" s="635" t="s">
        <v>1558</v>
      </c>
      <c r="G16" s="635" t="s">
        <v>1342</v>
      </c>
      <c r="H16" s="635" t="s">
        <v>1381</v>
      </c>
      <c r="I16" s="635" t="s">
        <v>1559</v>
      </c>
      <c r="J16" s="635"/>
      <c r="K16" s="635"/>
      <c r="L16" s="635"/>
      <c r="M16" s="635" t="s">
        <v>1362</v>
      </c>
      <c r="N16" s="635">
        <v>0.31</v>
      </c>
      <c r="O16" s="635"/>
      <c r="P16" s="635"/>
      <c r="Q16" s="635"/>
      <c r="R16" s="635"/>
      <c r="S16" s="635"/>
    </row>
    <row r="17" spans="1:19">
      <c r="A17" s="635">
        <v>1</v>
      </c>
      <c r="B17" s="635">
        <v>6</v>
      </c>
      <c r="C17" s="635">
        <v>1</v>
      </c>
      <c r="D17" s="635">
        <v>15</v>
      </c>
      <c r="E17" s="635" t="s">
        <v>1353</v>
      </c>
      <c r="F17" s="635" t="s">
        <v>1560</v>
      </c>
      <c r="G17" s="635" t="s">
        <v>1342</v>
      </c>
      <c r="H17" s="635" t="s">
        <v>1382</v>
      </c>
      <c r="I17" s="635" t="s">
        <v>1561</v>
      </c>
      <c r="J17" s="635"/>
      <c r="K17" s="635"/>
      <c r="L17" s="635"/>
      <c r="M17" s="635" t="s">
        <v>1362</v>
      </c>
      <c r="N17" s="635">
        <v>3.31</v>
      </c>
      <c r="O17" s="635"/>
      <c r="P17" s="635"/>
      <c r="Q17" s="635"/>
      <c r="R17" s="635"/>
      <c r="S17" s="635"/>
    </row>
    <row r="18" spans="1:19">
      <c r="A18" s="635">
        <v>1</v>
      </c>
      <c r="B18" s="635">
        <v>6</v>
      </c>
      <c r="C18" s="635">
        <v>1</v>
      </c>
      <c r="D18" s="635">
        <v>16</v>
      </c>
      <c r="E18" s="635" t="s">
        <v>1353</v>
      </c>
      <c r="F18" s="635" t="s">
        <v>1562</v>
      </c>
      <c r="G18" s="635" t="s">
        <v>1342</v>
      </c>
      <c r="H18" s="635" t="s">
        <v>1383</v>
      </c>
      <c r="I18" s="635" t="s">
        <v>1563</v>
      </c>
      <c r="J18" s="635"/>
      <c r="K18" s="635"/>
      <c r="L18" s="635"/>
      <c r="M18" s="635" t="s">
        <v>1362</v>
      </c>
      <c r="N18" s="635">
        <v>1</v>
      </c>
      <c r="O18" s="635"/>
      <c r="P18" s="635"/>
      <c r="Q18" s="635"/>
      <c r="R18" s="635"/>
      <c r="S18" s="635"/>
    </row>
    <row r="19" spans="1:19">
      <c r="A19" s="635">
        <v>1</v>
      </c>
      <c r="B19" s="635">
        <v>6</v>
      </c>
      <c r="C19" s="635">
        <v>1</v>
      </c>
      <c r="D19" s="635">
        <v>17</v>
      </c>
      <c r="E19" s="635" t="s">
        <v>1353</v>
      </c>
      <c r="F19" s="635" t="s">
        <v>1564</v>
      </c>
      <c r="G19" s="635" t="s">
        <v>1342</v>
      </c>
      <c r="H19" s="635" t="s">
        <v>1384</v>
      </c>
      <c r="I19" s="635" t="s">
        <v>1565</v>
      </c>
      <c r="J19" s="635"/>
      <c r="K19" s="635"/>
      <c r="L19" s="635"/>
      <c r="M19" s="635" t="s">
        <v>1361</v>
      </c>
      <c r="N19" s="635">
        <v>0.78</v>
      </c>
      <c r="O19" s="635"/>
      <c r="P19" s="635"/>
      <c r="Q19" s="635"/>
      <c r="R19" s="635"/>
      <c r="S19" s="635"/>
    </row>
    <row r="20" spans="1:19">
      <c r="A20" s="635">
        <v>1</v>
      </c>
      <c r="B20" s="635">
        <v>6</v>
      </c>
      <c r="C20" s="635">
        <v>1</v>
      </c>
      <c r="D20" s="635">
        <v>18</v>
      </c>
      <c r="E20" s="635" t="s">
        <v>1353</v>
      </c>
      <c r="F20" s="635" t="s">
        <v>1566</v>
      </c>
      <c r="G20" s="635" t="s">
        <v>1342</v>
      </c>
      <c r="H20" s="635" t="s">
        <v>1385</v>
      </c>
      <c r="I20" s="635" t="s">
        <v>1567</v>
      </c>
      <c r="J20" s="635"/>
      <c r="K20" s="635"/>
      <c r="L20" s="635"/>
      <c r="M20" s="635" t="s">
        <v>1362</v>
      </c>
      <c r="N20" s="635">
        <v>1.1200000000000001</v>
      </c>
      <c r="O20" s="635"/>
      <c r="P20" s="635"/>
      <c r="Q20" s="635"/>
      <c r="R20" s="635"/>
      <c r="S20" s="635"/>
    </row>
    <row r="21" spans="1:19">
      <c r="A21" s="635">
        <v>1</v>
      </c>
      <c r="B21" s="635">
        <v>6</v>
      </c>
      <c r="C21" s="635">
        <v>1</v>
      </c>
      <c r="D21" s="635">
        <v>19</v>
      </c>
      <c r="E21" s="635" t="s">
        <v>1353</v>
      </c>
      <c r="F21" s="635" t="s">
        <v>1568</v>
      </c>
      <c r="G21" s="635" t="s">
        <v>1342</v>
      </c>
      <c r="H21" s="635" t="s">
        <v>1386</v>
      </c>
      <c r="I21" s="635" t="s">
        <v>1569</v>
      </c>
      <c r="J21" s="635"/>
      <c r="K21" s="635"/>
      <c r="L21" s="635"/>
      <c r="M21" s="635" t="s">
        <v>1362</v>
      </c>
      <c r="N21" s="635">
        <v>1.7</v>
      </c>
      <c r="O21" s="635"/>
      <c r="P21" s="635"/>
      <c r="Q21" s="635"/>
      <c r="R21" s="635"/>
      <c r="S21" s="635"/>
    </row>
    <row r="22" spans="1:19">
      <c r="A22" s="635">
        <v>1</v>
      </c>
      <c r="B22" s="635">
        <v>6</v>
      </c>
      <c r="C22" s="635">
        <v>1</v>
      </c>
      <c r="D22" s="635">
        <v>20</v>
      </c>
      <c r="E22" s="635" t="s">
        <v>1353</v>
      </c>
      <c r="F22" s="635" t="s">
        <v>1570</v>
      </c>
      <c r="G22" s="635" t="s">
        <v>1342</v>
      </c>
      <c r="H22" s="635" t="s">
        <v>1387</v>
      </c>
      <c r="I22" s="635" t="s">
        <v>1571</v>
      </c>
      <c r="J22" s="635"/>
      <c r="K22" s="635"/>
      <c r="L22" s="635"/>
      <c r="M22" s="635" t="s">
        <v>1362</v>
      </c>
      <c r="N22" s="635">
        <v>2.39</v>
      </c>
      <c r="O22" s="635"/>
      <c r="P22" s="635"/>
      <c r="Q22" s="635"/>
      <c r="R22" s="635"/>
      <c r="S22" s="635"/>
    </row>
    <row r="23" spans="1:19">
      <c r="A23" s="635">
        <v>1</v>
      </c>
      <c r="B23" s="635">
        <v>6</v>
      </c>
      <c r="C23" s="635">
        <v>1</v>
      </c>
      <c r="D23" s="635">
        <v>21</v>
      </c>
      <c r="E23" s="635" t="s">
        <v>1353</v>
      </c>
      <c r="F23" s="635" t="s">
        <v>1572</v>
      </c>
      <c r="G23" s="635" t="s">
        <v>1342</v>
      </c>
      <c r="H23" s="635" t="s">
        <v>1388</v>
      </c>
      <c r="I23" s="635" t="s">
        <v>1573</v>
      </c>
      <c r="J23" s="635"/>
      <c r="K23" s="635"/>
      <c r="L23" s="635"/>
      <c r="M23" s="635" t="s">
        <v>1361</v>
      </c>
      <c r="N23" s="635">
        <v>2.19</v>
      </c>
      <c r="O23" s="635"/>
      <c r="P23" s="635"/>
      <c r="Q23" s="635"/>
      <c r="R23" s="635"/>
      <c r="S23" s="635"/>
    </row>
    <row r="24" spans="1:19">
      <c r="A24" s="635">
        <v>1</v>
      </c>
      <c r="B24" s="635">
        <v>6</v>
      </c>
      <c r="C24" s="635">
        <v>1</v>
      </c>
      <c r="D24" s="635">
        <v>22</v>
      </c>
      <c r="E24" s="635" t="s">
        <v>1353</v>
      </c>
      <c r="F24" s="635" t="s">
        <v>1574</v>
      </c>
      <c r="G24" s="635" t="s">
        <v>1342</v>
      </c>
      <c r="H24" s="635" t="s">
        <v>1389</v>
      </c>
      <c r="I24" s="635" t="s">
        <v>1575</v>
      </c>
      <c r="J24" s="635"/>
      <c r="K24" s="635"/>
      <c r="L24" s="635"/>
      <c r="M24" s="635" t="s">
        <v>1361</v>
      </c>
      <c r="N24" s="635">
        <v>1.32</v>
      </c>
      <c r="O24" s="635"/>
      <c r="P24" s="635"/>
      <c r="Q24" s="635"/>
      <c r="R24" s="635"/>
      <c r="S24" s="635"/>
    </row>
    <row r="25" spans="1:19">
      <c r="A25" s="635">
        <v>1</v>
      </c>
      <c r="B25" s="635">
        <v>6</v>
      </c>
      <c r="C25" s="635">
        <v>1</v>
      </c>
      <c r="D25" s="635">
        <v>23</v>
      </c>
      <c r="E25" s="635" t="s">
        <v>1353</v>
      </c>
      <c r="F25" s="635" t="s">
        <v>1576</v>
      </c>
      <c r="G25" s="635" t="s">
        <v>1342</v>
      </c>
      <c r="H25" s="635" t="s">
        <v>1390</v>
      </c>
      <c r="I25" s="635" t="s">
        <v>1577</v>
      </c>
      <c r="J25" s="635"/>
      <c r="K25" s="635"/>
      <c r="L25" s="635"/>
      <c r="M25" s="635" t="s">
        <v>1361</v>
      </c>
      <c r="N25" s="635">
        <v>4.51</v>
      </c>
      <c r="O25" s="635"/>
      <c r="P25" s="635"/>
      <c r="Q25" s="635"/>
      <c r="R25" s="635"/>
      <c r="S25" s="635"/>
    </row>
    <row r="26" spans="1:19">
      <c r="A26" s="635">
        <v>1</v>
      </c>
      <c r="B26" s="635">
        <v>6</v>
      </c>
      <c r="C26" s="635">
        <v>1</v>
      </c>
      <c r="D26" s="635">
        <v>24</v>
      </c>
      <c r="E26" s="635" t="s">
        <v>1353</v>
      </c>
      <c r="F26" s="635" t="s">
        <v>1578</v>
      </c>
      <c r="G26" s="635" t="s">
        <v>1342</v>
      </c>
      <c r="H26" s="635" t="s">
        <v>1391</v>
      </c>
      <c r="I26" s="635" t="s">
        <v>1579</v>
      </c>
      <c r="J26" s="635"/>
      <c r="K26" s="635"/>
      <c r="L26" s="635"/>
      <c r="M26" s="635" t="s">
        <v>1361</v>
      </c>
      <c r="N26" s="635">
        <v>1.58</v>
      </c>
      <c r="O26" s="635"/>
      <c r="P26" s="635"/>
      <c r="Q26" s="635"/>
      <c r="R26" s="635"/>
      <c r="S26" s="635"/>
    </row>
    <row r="27" spans="1:19">
      <c r="A27" s="635">
        <v>1</v>
      </c>
      <c r="B27" s="635">
        <v>6</v>
      </c>
      <c r="C27" s="635">
        <v>1</v>
      </c>
      <c r="D27" s="635">
        <v>25</v>
      </c>
      <c r="E27" s="635" t="s">
        <v>1353</v>
      </c>
      <c r="F27" s="635" t="s">
        <v>1580</v>
      </c>
      <c r="G27" s="635" t="s">
        <v>1342</v>
      </c>
      <c r="H27" s="635" t="s">
        <v>1392</v>
      </c>
      <c r="I27" s="635" t="s">
        <v>1581</v>
      </c>
      <c r="J27" s="635"/>
      <c r="K27" s="635"/>
      <c r="L27" s="635"/>
      <c r="M27" s="635" t="s">
        <v>1362</v>
      </c>
      <c r="N27" s="635">
        <v>0.78</v>
      </c>
      <c r="O27" s="635"/>
      <c r="P27" s="635"/>
      <c r="Q27" s="635"/>
      <c r="R27" s="635"/>
      <c r="S27" s="635"/>
    </row>
    <row r="28" spans="1:19">
      <c r="A28" s="635">
        <v>1</v>
      </c>
      <c r="B28" s="635">
        <v>6</v>
      </c>
      <c r="C28" s="635">
        <v>1</v>
      </c>
      <c r="D28" s="635">
        <v>26</v>
      </c>
      <c r="E28" s="635" t="s">
        <v>1353</v>
      </c>
      <c r="F28" s="635" t="s">
        <v>1582</v>
      </c>
      <c r="G28" s="635" t="s">
        <v>1342</v>
      </c>
      <c r="H28" s="635" t="s">
        <v>1393</v>
      </c>
      <c r="I28" s="635" t="s">
        <v>1583</v>
      </c>
      <c r="J28" s="635"/>
      <c r="K28" s="635"/>
      <c r="L28" s="635"/>
      <c r="M28" s="635" t="s">
        <v>1362</v>
      </c>
      <c r="N28" s="635">
        <v>0.85</v>
      </c>
      <c r="O28" s="635"/>
      <c r="P28" s="635"/>
      <c r="Q28" s="635"/>
      <c r="R28" s="635"/>
      <c r="S28" s="635"/>
    </row>
    <row r="29" spans="1:19">
      <c r="A29" s="635">
        <v>1</v>
      </c>
      <c r="B29" s="635">
        <v>6</v>
      </c>
      <c r="C29" s="635">
        <v>1</v>
      </c>
      <c r="D29" s="635">
        <v>27</v>
      </c>
      <c r="E29" s="635" t="s">
        <v>1353</v>
      </c>
      <c r="F29" s="635" t="s">
        <v>1584</v>
      </c>
      <c r="G29" s="635" t="s">
        <v>1342</v>
      </c>
      <c r="H29" s="635" t="s">
        <v>1394</v>
      </c>
      <c r="I29" s="635" t="s">
        <v>1585</v>
      </c>
      <c r="J29" s="635"/>
      <c r="K29" s="635"/>
      <c r="L29" s="635"/>
      <c r="M29" s="635" t="s">
        <v>1362</v>
      </c>
      <c r="N29" s="635">
        <v>1.55</v>
      </c>
      <c r="O29" s="635"/>
      <c r="P29" s="635"/>
      <c r="Q29" s="635"/>
      <c r="R29" s="635"/>
      <c r="S29" s="635"/>
    </row>
    <row r="30" spans="1:19">
      <c r="A30" s="635">
        <v>1</v>
      </c>
      <c r="B30" s="635">
        <v>6</v>
      </c>
      <c r="C30" s="635">
        <v>1</v>
      </c>
      <c r="D30" s="635">
        <v>28</v>
      </c>
      <c r="E30" s="635" t="s">
        <v>1353</v>
      </c>
      <c r="F30" s="635" t="s">
        <v>1586</v>
      </c>
      <c r="G30" s="635" t="s">
        <v>1342</v>
      </c>
      <c r="H30" s="635" t="s">
        <v>1395</v>
      </c>
      <c r="I30" s="635" t="s">
        <v>1587</v>
      </c>
      <c r="J30" s="635"/>
      <c r="K30" s="635"/>
      <c r="L30" s="635"/>
      <c r="M30" s="635" t="s">
        <v>1362</v>
      </c>
      <c r="N30" s="635">
        <v>1.56</v>
      </c>
      <c r="O30" s="635"/>
      <c r="P30" s="635"/>
      <c r="Q30" s="635"/>
      <c r="R30" s="635"/>
      <c r="S30" s="635"/>
    </row>
    <row r="31" spans="1:19">
      <c r="A31" s="635">
        <v>1</v>
      </c>
      <c r="B31" s="635">
        <v>6</v>
      </c>
      <c r="C31" s="635">
        <v>1</v>
      </c>
      <c r="D31" s="635">
        <v>29</v>
      </c>
      <c r="E31" s="635" t="s">
        <v>1353</v>
      </c>
      <c r="F31" s="635" t="s">
        <v>1588</v>
      </c>
      <c r="G31" s="635" t="s">
        <v>1342</v>
      </c>
      <c r="H31" s="635" t="s">
        <v>1396</v>
      </c>
      <c r="I31" s="635" t="s">
        <v>1589</v>
      </c>
      <c r="J31" s="635"/>
      <c r="K31" s="635"/>
      <c r="L31" s="635"/>
      <c r="M31" s="635" t="s">
        <v>1362</v>
      </c>
      <c r="N31" s="635">
        <v>1.85</v>
      </c>
      <c r="O31" s="635"/>
      <c r="P31" s="635"/>
      <c r="Q31" s="635"/>
      <c r="R31" s="635"/>
      <c r="S31" s="635"/>
    </row>
    <row r="32" spans="1:19">
      <c r="A32" s="635">
        <v>1</v>
      </c>
      <c r="B32" s="635">
        <v>6</v>
      </c>
      <c r="C32" s="635">
        <v>1</v>
      </c>
      <c r="D32" s="635">
        <v>30</v>
      </c>
      <c r="E32" s="635" t="s">
        <v>1353</v>
      </c>
      <c r="F32" s="635" t="s">
        <v>1590</v>
      </c>
      <c r="G32" s="635" t="s">
        <v>1342</v>
      </c>
      <c r="H32" s="635" t="s">
        <v>1397</v>
      </c>
      <c r="I32" s="635" t="s">
        <v>1591</v>
      </c>
      <c r="J32" s="635"/>
      <c r="K32" s="635"/>
      <c r="L32" s="635"/>
      <c r="M32" s="635" t="s">
        <v>1361</v>
      </c>
      <c r="N32" s="635">
        <v>0.78</v>
      </c>
      <c r="O32" s="635"/>
      <c r="P32" s="635"/>
      <c r="Q32" s="635"/>
      <c r="R32" s="635"/>
      <c r="S32" s="635"/>
    </row>
    <row r="33" spans="1:19">
      <c r="A33" s="635">
        <v>1</v>
      </c>
      <c r="B33" s="635">
        <v>6</v>
      </c>
      <c r="C33" s="635">
        <v>1</v>
      </c>
      <c r="D33" s="635">
        <v>31</v>
      </c>
      <c r="E33" s="635" t="s">
        <v>1353</v>
      </c>
      <c r="F33" s="635" t="s">
        <v>1592</v>
      </c>
      <c r="G33" s="635" t="s">
        <v>1342</v>
      </c>
      <c r="H33" s="635" t="s">
        <v>1398</v>
      </c>
      <c r="I33" s="635" t="s">
        <v>1593</v>
      </c>
      <c r="J33" s="635"/>
      <c r="K33" s="635"/>
      <c r="L33" s="635"/>
      <c r="M33" s="635" t="s">
        <v>1361</v>
      </c>
      <c r="N33" s="635">
        <v>1.56</v>
      </c>
      <c r="O33" s="635"/>
      <c r="P33" s="635"/>
      <c r="Q33" s="635"/>
      <c r="R33" s="635"/>
      <c r="S33" s="635"/>
    </row>
    <row r="34" spans="1:19">
      <c r="A34" s="635">
        <v>1</v>
      </c>
      <c r="B34" s="635">
        <v>6</v>
      </c>
      <c r="C34" s="635">
        <v>1</v>
      </c>
      <c r="D34" s="635">
        <v>32</v>
      </c>
      <c r="E34" s="635" t="s">
        <v>1353</v>
      </c>
      <c r="F34" s="635" t="s">
        <v>1594</v>
      </c>
      <c r="G34" s="635" t="s">
        <v>1342</v>
      </c>
      <c r="H34" s="635" t="s">
        <v>1399</v>
      </c>
      <c r="I34" s="635" t="s">
        <v>1595</v>
      </c>
      <c r="J34" s="635"/>
      <c r="K34" s="635"/>
      <c r="L34" s="635"/>
      <c r="M34" s="635" t="s">
        <v>1361</v>
      </c>
      <c r="N34" s="635">
        <v>1.58</v>
      </c>
      <c r="O34" s="635"/>
      <c r="P34" s="635"/>
      <c r="Q34" s="635"/>
      <c r="R34" s="635"/>
      <c r="S34" s="635"/>
    </row>
    <row r="35" spans="1:19">
      <c r="A35" s="635">
        <v>1</v>
      </c>
      <c r="B35" s="635">
        <v>6</v>
      </c>
      <c r="C35" s="635">
        <v>1</v>
      </c>
      <c r="D35" s="635">
        <v>33</v>
      </c>
      <c r="E35" s="635" t="s">
        <v>1353</v>
      </c>
      <c r="F35" s="635" t="s">
        <v>1596</v>
      </c>
      <c r="G35" s="635" t="s">
        <v>1342</v>
      </c>
      <c r="H35" s="635" t="s">
        <v>1400</v>
      </c>
      <c r="I35" s="635" t="s">
        <v>1597</v>
      </c>
      <c r="J35" s="635"/>
      <c r="K35" s="635"/>
      <c r="L35" s="635"/>
      <c r="M35" s="635" t="s">
        <v>1361</v>
      </c>
      <c r="N35" s="635">
        <v>1.0900000000000001</v>
      </c>
      <c r="O35" s="635"/>
      <c r="P35" s="635"/>
      <c r="Q35" s="635"/>
      <c r="R35" s="635"/>
      <c r="S35" s="635"/>
    </row>
    <row r="36" spans="1:19">
      <c r="A36" s="635">
        <v>1</v>
      </c>
      <c r="B36" s="635">
        <v>6</v>
      </c>
      <c r="C36" s="635">
        <v>1</v>
      </c>
      <c r="D36" s="635">
        <v>34</v>
      </c>
      <c r="E36" s="635" t="s">
        <v>1353</v>
      </c>
      <c r="F36" s="635" t="s">
        <v>1598</v>
      </c>
      <c r="G36" s="635" t="s">
        <v>1342</v>
      </c>
      <c r="H36" s="635" t="s">
        <v>1401</v>
      </c>
      <c r="I36" s="635" t="s">
        <v>1599</v>
      </c>
      <c r="J36" s="635"/>
      <c r="K36" s="635"/>
      <c r="L36" s="635"/>
      <c r="M36" s="635" t="s">
        <v>1362</v>
      </c>
      <c r="N36" s="635">
        <v>0.93</v>
      </c>
      <c r="O36" s="635"/>
      <c r="P36" s="635"/>
      <c r="Q36" s="635"/>
      <c r="R36" s="635"/>
      <c r="S36" s="635"/>
    </row>
    <row r="37" spans="1:19">
      <c r="A37" s="635">
        <v>1</v>
      </c>
      <c r="B37" s="635">
        <v>6</v>
      </c>
      <c r="C37" s="635">
        <v>1</v>
      </c>
      <c r="D37" s="635">
        <v>35</v>
      </c>
      <c r="E37" s="635" t="s">
        <v>1353</v>
      </c>
      <c r="F37" s="635" t="s">
        <v>1600</v>
      </c>
      <c r="G37" s="635" t="s">
        <v>1342</v>
      </c>
      <c r="H37" s="635" t="s">
        <v>1402</v>
      </c>
      <c r="I37" s="635" t="s">
        <v>1601</v>
      </c>
      <c r="J37" s="635"/>
      <c r="K37" s="635"/>
      <c r="L37" s="635"/>
      <c r="M37" s="635" t="s">
        <v>1362</v>
      </c>
      <c r="N37" s="635">
        <v>3.44</v>
      </c>
      <c r="O37" s="635"/>
      <c r="P37" s="635"/>
      <c r="Q37" s="635"/>
      <c r="R37" s="635"/>
      <c r="S37" s="635"/>
    </row>
    <row r="38" spans="1:19">
      <c r="A38" s="635">
        <v>1</v>
      </c>
      <c r="B38" s="635">
        <v>6</v>
      </c>
      <c r="C38" s="635">
        <v>1</v>
      </c>
      <c r="D38" s="635">
        <v>36</v>
      </c>
      <c r="E38" s="635" t="s">
        <v>1353</v>
      </c>
      <c r="F38" s="635" t="s">
        <v>1602</v>
      </c>
      <c r="G38" s="635" t="s">
        <v>1342</v>
      </c>
      <c r="H38" s="635" t="s">
        <v>1403</v>
      </c>
      <c r="I38" s="635" t="s">
        <v>1603</v>
      </c>
      <c r="J38" s="635"/>
      <c r="K38" s="635"/>
      <c r="L38" s="635"/>
      <c r="M38" s="635" t="s">
        <v>1362</v>
      </c>
      <c r="N38" s="635">
        <v>0.31</v>
      </c>
      <c r="O38" s="635"/>
      <c r="P38" s="635"/>
      <c r="Q38" s="635"/>
      <c r="R38" s="635"/>
      <c r="S38" s="635"/>
    </row>
    <row r="39" spans="1:19">
      <c r="A39" s="635">
        <v>1</v>
      </c>
      <c r="B39" s="635">
        <v>6</v>
      </c>
      <c r="C39" s="635">
        <v>1</v>
      </c>
      <c r="D39" s="635">
        <v>37</v>
      </c>
      <c r="E39" s="635" t="s">
        <v>1353</v>
      </c>
      <c r="F39" s="635" t="s">
        <v>1604</v>
      </c>
      <c r="G39" s="635" t="s">
        <v>1342</v>
      </c>
      <c r="H39" s="635" t="s">
        <v>1404</v>
      </c>
      <c r="I39" s="635" t="s">
        <v>1605</v>
      </c>
      <c r="J39" s="635"/>
      <c r="K39" s="635"/>
      <c r="L39" s="635"/>
      <c r="M39" s="635" t="s">
        <v>1362</v>
      </c>
      <c r="N39" s="635">
        <v>0.95</v>
      </c>
      <c r="O39" s="635"/>
      <c r="P39" s="635"/>
      <c r="Q39" s="635"/>
      <c r="R39" s="635"/>
      <c r="S39" s="635"/>
    </row>
    <row r="40" spans="1:19">
      <c r="A40" s="635">
        <v>1</v>
      </c>
      <c r="B40" s="635">
        <v>6</v>
      </c>
      <c r="C40" s="635">
        <v>1</v>
      </c>
      <c r="D40" s="635">
        <v>38</v>
      </c>
      <c r="E40" s="635" t="s">
        <v>1353</v>
      </c>
      <c r="F40" s="635" t="s">
        <v>1606</v>
      </c>
      <c r="G40" s="635" t="s">
        <v>1342</v>
      </c>
      <c r="H40" s="635" t="s">
        <v>1405</v>
      </c>
      <c r="I40" s="635" t="s">
        <v>1607</v>
      </c>
      <c r="J40" s="635"/>
      <c r="K40" s="635"/>
      <c r="L40" s="635"/>
      <c r="M40" s="635" t="s">
        <v>1362</v>
      </c>
      <c r="N40" s="635">
        <v>1.2</v>
      </c>
      <c r="O40" s="635"/>
      <c r="P40" s="635"/>
      <c r="Q40" s="635"/>
      <c r="R40" s="635"/>
      <c r="S40" s="635"/>
    </row>
    <row r="41" spans="1:19">
      <c r="A41" s="635">
        <v>1</v>
      </c>
      <c r="B41" s="635">
        <v>6</v>
      </c>
      <c r="C41" s="635">
        <v>1</v>
      </c>
      <c r="D41" s="635">
        <v>39</v>
      </c>
      <c r="E41" s="635" t="s">
        <v>1353</v>
      </c>
      <c r="F41" s="635" t="s">
        <v>1608</v>
      </c>
      <c r="G41" s="635" t="s">
        <v>1342</v>
      </c>
      <c r="H41" s="635" t="s">
        <v>1406</v>
      </c>
      <c r="I41" s="635" t="s">
        <v>1609</v>
      </c>
      <c r="J41" s="635"/>
      <c r="K41" s="635"/>
      <c r="L41" s="635"/>
      <c r="M41" s="635" t="s">
        <v>1361</v>
      </c>
      <c r="N41" s="635">
        <v>1.71</v>
      </c>
      <c r="O41" s="635"/>
      <c r="P41" s="635"/>
      <c r="Q41" s="635"/>
      <c r="R41" s="635"/>
      <c r="S41" s="635"/>
    </row>
    <row r="42" spans="1:19">
      <c r="A42" s="635">
        <v>1</v>
      </c>
      <c r="B42" s="635">
        <v>6</v>
      </c>
      <c r="C42" s="635">
        <v>1</v>
      </c>
      <c r="D42" s="635">
        <v>40</v>
      </c>
      <c r="E42" s="635" t="s">
        <v>1353</v>
      </c>
      <c r="F42" s="635" t="s">
        <v>1610</v>
      </c>
      <c r="G42" s="635" t="s">
        <v>1342</v>
      </c>
      <c r="H42" s="635" t="s">
        <v>1407</v>
      </c>
      <c r="I42" s="635" t="s">
        <v>1611</v>
      </c>
      <c r="J42" s="635"/>
      <c r="K42" s="635"/>
      <c r="L42" s="635"/>
      <c r="M42" s="635" t="s">
        <v>1361</v>
      </c>
      <c r="N42" s="635">
        <v>0.78</v>
      </c>
      <c r="O42" s="635"/>
      <c r="P42" s="635"/>
      <c r="Q42" s="635"/>
      <c r="R42" s="635"/>
      <c r="S42" s="635"/>
    </row>
    <row r="43" spans="1:19">
      <c r="A43" s="635">
        <v>1</v>
      </c>
      <c r="B43" s="635">
        <v>6</v>
      </c>
      <c r="C43" s="635">
        <v>1</v>
      </c>
      <c r="D43" s="635">
        <v>41</v>
      </c>
      <c r="E43" s="635" t="s">
        <v>1353</v>
      </c>
      <c r="F43" s="635" t="s">
        <v>1612</v>
      </c>
      <c r="G43" s="635" t="s">
        <v>1342</v>
      </c>
      <c r="H43" s="635" t="s">
        <v>1408</v>
      </c>
      <c r="I43" s="635" t="s">
        <v>1613</v>
      </c>
      <c r="J43" s="635"/>
      <c r="K43" s="635"/>
      <c r="L43" s="635"/>
      <c r="M43" s="635" t="s">
        <v>1361</v>
      </c>
      <c r="N43" s="635">
        <v>1.91</v>
      </c>
      <c r="O43" s="635"/>
      <c r="P43" s="635"/>
      <c r="Q43" s="635"/>
      <c r="R43" s="635"/>
      <c r="S43" s="635"/>
    </row>
    <row r="44" spans="1:19">
      <c r="A44" s="635">
        <v>1</v>
      </c>
      <c r="B44" s="635">
        <v>6</v>
      </c>
      <c r="C44" s="635">
        <v>1</v>
      </c>
      <c r="D44" s="635">
        <v>42</v>
      </c>
      <c r="E44" s="635" t="s">
        <v>1353</v>
      </c>
      <c r="F44" s="635" t="s">
        <v>1614</v>
      </c>
      <c r="G44" s="635" t="s">
        <v>1342</v>
      </c>
      <c r="H44" s="635" t="s">
        <v>1409</v>
      </c>
      <c r="I44" s="635" t="s">
        <v>1615</v>
      </c>
      <c r="J44" s="635"/>
      <c r="K44" s="635"/>
      <c r="L44" s="635"/>
      <c r="M44" s="635" t="s">
        <v>1361</v>
      </c>
      <c r="N44" s="635">
        <v>0.73</v>
      </c>
      <c r="O44" s="635"/>
      <c r="P44" s="635"/>
      <c r="Q44" s="635"/>
      <c r="R44" s="635"/>
      <c r="S44" s="635"/>
    </row>
    <row r="45" spans="1:19" s="631" customFormat="1" ht="12.75" customHeight="1">
      <c r="A45" s="636">
        <v>1</v>
      </c>
      <c r="B45" s="636">
        <v>6</v>
      </c>
      <c r="C45" s="636">
        <v>1</v>
      </c>
      <c r="D45" s="636">
        <v>43</v>
      </c>
      <c r="E45" s="636"/>
      <c r="F45" s="636"/>
      <c r="G45" s="636"/>
      <c r="H45" s="636"/>
      <c r="I45" s="636"/>
      <c r="J45" s="636"/>
      <c r="K45" s="636"/>
      <c r="L45" s="636"/>
      <c r="M45" s="636"/>
      <c r="N45" s="636"/>
      <c r="O45" s="636"/>
      <c r="P45" s="636"/>
      <c r="Q45" s="636"/>
      <c r="R45" s="636"/>
      <c r="S45" s="636"/>
    </row>
    <row r="46" spans="1:19" s="631" customFormat="1" ht="12.75" customHeight="1">
      <c r="A46" s="636">
        <v>1</v>
      </c>
      <c r="B46" s="636">
        <v>6</v>
      </c>
      <c r="C46" s="636">
        <v>1</v>
      </c>
      <c r="D46" s="636">
        <v>44</v>
      </c>
      <c r="E46" s="636"/>
      <c r="F46" s="636"/>
      <c r="G46" s="636"/>
      <c r="H46" s="636"/>
      <c r="I46" s="636"/>
      <c r="J46" s="636"/>
      <c r="K46" s="636"/>
      <c r="L46" s="636"/>
      <c r="M46" s="636"/>
      <c r="N46" s="636"/>
      <c r="O46" s="636"/>
      <c r="P46" s="636"/>
      <c r="Q46" s="636"/>
      <c r="R46" s="636"/>
      <c r="S46" s="636"/>
    </row>
    <row r="47" spans="1:19" s="631" customFormat="1" ht="12.75" customHeight="1">
      <c r="A47" s="636">
        <v>1</v>
      </c>
      <c r="B47" s="636">
        <v>6</v>
      </c>
      <c r="C47" s="636">
        <v>1</v>
      </c>
      <c r="D47" s="636">
        <v>45</v>
      </c>
      <c r="E47" s="636"/>
      <c r="F47" s="636"/>
      <c r="G47" s="636"/>
      <c r="H47" s="636"/>
      <c r="I47" s="636"/>
      <c r="J47" s="636"/>
      <c r="K47" s="636"/>
      <c r="L47" s="636"/>
      <c r="M47" s="636"/>
      <c r="N47" s="636"/>
      <c r="O47" s="636"/>
      <c r="P47" s="636"/>
      <c r="Q47" s="636"/>
      <c r="R47" s="636"/>
      <c r="S47" s="636"/>
    </row>
    <row r="48" spans="1:19" s="631" customFormat="1" ht="12.75" customHeight="1">
      <c r="A48" s="636">
        <v>1</v>
      </c>
      <c r="B48" s="636">
        <v>6</v>
      </c>
      <c r="C48" s="636">
        <v>1</v>
      </c>
      <c r="D48" s="636">
        <v>46</v>
      </c>
      <c r="E48" s="636"/>
      <c r="F48" s="636"/>
      <c r="G48" s="636"/>
      <c r="H48" s="636"/>
      <c r="I48" s="636"/>
      <c r="J48" s="636"/>
      <c r="K48" s="636"/>
      <c r="L48" s="636"/>
      <c r="M48" s="636"/>
      <c r="N48" s="636"/>
      <c r="O48" s="636"/>
      <c r="P48" s="636"/>
      <c r="Q48" s="636"/>
      <c r="R48" s="636"/>
      <c r="S48" s="636"/>
    </row>
    <row r="49" spans="1:19" s="631" customFormat="1" ht="12.75" customHeight="1">
      <c r="A49" s="636">
        <v>1</v>
      </c>
      <c r="B49" s="636">
        <v>6</v>
      </c>
      <c r="C49" s="636">
        <v>1</v>
      </c>
      <c r="D49" s="636">
        <v>47</v>
      </c>
      <c r="E49" s="636"/>
      <c r="F49" s="636"/>
      <c r="G49" s="636"/>
      <c r="H49" s="636"/>
      <c r="I49" s="636"/>
      <c r="J49" s="636"/>
      <c r="K49" s="636"/>
      <c r="L49" s="636"/>
      <c r="M49" s="636"/>
      <c r="N49" s="636"/>
      <c r="O49" s="636"/>
      <c r="P49" s="636"/>
      <c r="Q49" s="636"/>
      <c r="R49" s="636"/>
      <c r="S49" s="636"/>
    </row>
    <row r="50" spans="1:19" s="631" customFormat="1" ht="12.75" customHeight="1">
      <c r="A50" s="636">
        <v>1</v>
      </c>
      <c r="B50" s="636">
        <v>6</v>
      </c>
      <c r="C50" s="636">
        <v>1</v>
      </c>
      <c r="D50" s="636">
        <v>48</v>
      </c>
      <c r="E50" s="636"/>
      <c r="F50" s="636"/>
      <c r="G50" s="636"/>
      <c r="H50" s="636"/>
      <c r="I50" s="636"/>
      <c r="J50" s="636"/>
      <c r="K50" s="636"/>
      <c r="L50" s="636"/>
      <c r="M50" s="636"/>
      <c r="N50" s="636"/>
      <c r="O50" s="636"/>
      <c r="P50" s="636"/>
      <c r="Q50" s="636"/>
      <c r="R50" s="636"/>
      <c r="S50" s="636"/>
    </row>
    <row r="51" spans="1:19" s="631" customFormat="1" ht="12.75" customHeight="1">
      <c r="A51" s="636">
        <v>1</v>
      </c>
      <c r="B51" s="636">
        <v>6</v>
      </c>
      <c r="C51" s="636">
        <v>1</v>
      </c>
      <c r="D51" s="636">
        <v>49</v>
      </c>
      <c r="E51" s="636"/>
      <c r="F51" s="636"/>
      <c r="G51" s="636"/>
      <c r="H51" s="636"/>
      <c r="I51" s="636"/>
      <c r="J51" s="636"/>
      <c r="K51" s="636"/>
      <c r="L51" s="636"/>
      <c r="M51" s="636"/>
      <c r="N51" s="636"/>
      <c r="O51" s="636"/>
      <c r="P51" s="636"/>
      <c r="Q51" s="636"/>
      <c r="R51" s="636"/>
      <c r="S51" s="636"/>
    </row>
    <row r="52" spans="1:19" s="631" customFormat="1" ht="12.75" customHeight="1">
      <c r="A52" s="636">
        <v>1</v>
      </c>
      <c r="B52" s="636">
        <v>6</v>
      </c>
      <c r="C52" s="636">
        <v>1</v>
      </c>
      <c r="D52" s="636">
        <v>50</v>
      </c>
      <c r="E52" s="636"/>
      <c r="F52" s="636"/>
      <c r="G52" s="636"/>
      <c r="H52" s="636"/>
      <c r="I52" s="636"/>
      <c r="J52" s="636"/>
      <c r="K52" s="636"/>
      <c r="L52" s="636"/>
      <c r="M52" s="636"/>
      <c r="N52" s="636"/>
      <c r="O52" s="636"/>
      <c r="P52" s="636"/>
      <c r="Q52" s="636"/>
      <c r="R52" s="636"/>
      <c r="S52" s="636"/>
    </row>
    <row r="53" spans="1:19" s="631" customFormat="1" ht="12.75" customHeight="1">
      <c r="A53" s="636">
        <v>1</v>
      </c>
      <c r="B53" s="636">
        <v>6</v>
      </c>
      <c r="C53" s="636">
        <v>1</v>
      </c>
      <c r="D53" s="636">
        <v>51</v>
      </c>
      <c r="E53" s="636"/>
      <c r="F53" s="636"/>
      <c r="G53" s="636"/>
      <c r="H53" s="636"/>
      <c r="I53" s="636"/>
      <c r="J53" s="636"/>
      <c r="K53" s="636"/>
      <c r="L53" s="636"/>
      <c r="M53" s="636"/>
      <c r="N53" s="636"/>
      <c r="O53" s="636"/>
      <c r="P53" s="636"/>
      <c r="Q53" s="636"/>
      <c r="R53" s="636"/>
      <c r="S53" s="636"/>
    </row>
    <row r="54" spans="1:19" s="631" customFormat="1" ht="12.75" customHeight="1">
      <c r="A54" s="636">
        <v>1</v>
      </c>
      <c r="B54" s="636">
        <v>6</v>
      </c>
      <c r="C54" s="636">
        <v>1</v>
      </c>
      <c r="D54" s="636">
        <v>52</v>
      </c>
      <c r="E54" s="636"/>
      <c r="F54" s="636"/>
      <c r="G54" s="636"/>
      <c r="H54" s="636"/>
      <c r="I54" s="636"/>
      <c r="J54" s="636"/>
      <c r="K54" s="636"/>
      <c r="L54" s="636"/>
      <c r="M54" s="636"/>
      <c r="N54" s="636"/>
      <c r="O54" s="636"/>
      <c r="P54" s="636"/>
      <c r="Q54" s="636"/>
      <c r="R54" s="636"/>
      <c r="S54" s="636"/>
    </row>
    <row r="55" spans="1:19" s="631" customFormat="1" ht="12.75" customHeight="1">
      <c r="B55" s="499" t="s">
        <v>1337</v>
      </c>
      <c r="C55" s="590"/>
      <c r="D55" s="590"/>
      <c r="E55" s="590"/>
      <c r="F55" s="590"/>
      <c r="G55" s="590"/>
      <c r="H55" s="590"/>
      <c r="I55" s="590"/>
      <c r="J55" s="590"/>
      <c r="K55" s="590"/>
      <c r="L55" s="500"/>
      <c r="M55" s="590"/>
      <c r="N55" s="590"/>
      <c r="O55" s="590"/>
      <c r="P55" s="590"/>
      <c r="Q55" s="590"/>
      <c r="R55" s="590"/>
      <c r="S55" s="591"/>
    </row>
    <row r="56" spans="1:19" s="367" customFormat="1" ht="65.099999999999994" customHeight="1">
      <c r="A56" s="610"/>
      <c r="B56" s="611" t="s">
        <v>1221</v>
      </c>
      <c r="C56" s="611" t="s">
        <v>347</v>
      </c>
      <c r="D56" s="611" t="s">
        <v>384</v>
      </c>
      <c r="E56" s="611" t="s">
        <v>1222</v>
      </c>
      <c r="F56" s="611" t="s">
        <v>175</v>
      </c>
      <c r="G56" s="611" t="s">
        <v>385</v>
      </c>
      <c r="H56" s="611" t="s">
        <v>1223</v>
      </c>
      <c r="I56" s="611" t="s">
        <v>317</v>
      </c>
      <c r="J56" s="611" t="s">
        <v>1224</v>
      </c>
      <c r="K56" s="611" t="s">
        <v>1225</v>
      </c>
      <c r="L56" s="611" t="s">
        <v>287</v>
      </c>
      <c r="M56" s="611" t="s">
        <v>522</v>
      </c>
      <c r="N56" s="611" t="s">
        <v>1226</v>
      </c>
      <c r="O56" s="611" t="s">
        <v>1227</v>
      </c>
      <c r="P56" s="611" t="s">
        <v>1228</v>
      </c>
      <c r="Q56" s="611" t="s">
        <v>1229</v>
      </c>
      <c r="R56" s="611" t="s">
        <v>1230</v>
      </c>
      <c r="S56" s="611" t="s">
        <v>1236</v>
      </c>
    </row>
    <row r="57" spans="1:19">
      <c r="A57" s="632">
        <v>1</v>
      </c>
      <c r="B57" s="632">
        <v>7</v>
      </c>
      <c r="C57" s="632">
        <v>1</v>
      </c>
      <c r="D57" s="632">
        <v>1</v>
      </c>
      <c r="E57" s="632" t="s">
        <v>1354</v>
      </c>
      <c r="F57" s="632" t="s">
        <v>1616</v>
      </c>
      <c r="G57" s="632" t="s">
        <v>1498</v>
      </c>
      <c r="H57" s="632" t="s">
        <v>1410</v>
      </c>
      <c r="I57" s="632" t="s">
        <v>1617</v>
      </c>
      <c r="J57" s="632"/>
      <c r="K57" s="632"/>
      <c r="L57" s="632"/>
      <c r="M57" s="632" t="s">
        <v>1363</v>
      </c>
      <c r="N57" s="632">
        <v>0.7</v>
      </c>
      <c r="O57" s="632"/>
      <c r="P57" s="632"/>
      <c r="Q57" s="632"/>
      <c r="R57" s="632"/>
      <c r="S57" s="632"/>
    </row>
    <row r="58" spans="1:19">
      <c r="A58" s="635">
        <v>1</v>
      </c>
      <c r="B58" s="635">
        <v>7</v>
      </c>
      <c r="C58" s="635">
        <v>1</v>
      </c>
      <c r="D58" s="635">
        <v>2</v>
      </c>
      <c r="E58" s="635" t="s">
        <v>1354</v>
      </c>
      <c r="F58" s="635" t="s">
        <v>1618</v>
      </c>
      <c r="G58" s="635" t="s">
        <v>1498</v>
      </c>
      <c r="H58" s="635" t="s">
        <v>1411</v>
      </c>
      <c r="I58" s="635" t="s">
        <v>1619</v>
      </c>
      <c r="J58" s="635"/>
      <c r="K58" s="635"/>
      <c r="L58" s="635"/>
      <c r="M58" s="635" t="s">
        <v>1363</v>
      </c>
      <c r="N58" s="635">
        <v>0.5</v>
      </c>
      <c r="O58" s="635"/>
      <c r="P58" s="635"/>
      <c r="Q58" s="635"/>
      <c r="R58" s="635"/>
      <c r="S58" s="635"/>
    </row>
    <row r="59" spans="1:19">
      <c r="A59" s="635">
        <v>1</v>
      </c>
      <c r="B59" s="635">
        <v>7</v>
      </c>
      <c r="C59" s="635">
        <v>1</v>
      </c>
      <c r="D59" s="635">
        <v>3</v>
      </c>
      <c r="E59" s="635" t="s">
        <v>1354</v>
      </c>
      <c r="F59" s="635" t="s">
        <v>1620</v>
      </c>
      <c r="G59" s="635" t="s">
        <v>1498</v>
      </c>
      <c r="H59" s="635" t="s">
        <v>1412</v>
      </c>
      <c r="I59" s="635" t="s">
        <v>1621</v>
      </c>
      <c r="J59" s="635"/>
      <c r="K59" s="635"/>
      <c r="L59" s="635"/>
      <c r="M59" s="635" t="s">
        <v>1363</v>
      </c>
      <c r="N59" s="635">
        <v>0.9</v>
      </c>
      <c r="O59" s="635"/>
      <c r="P59" s="635"/>
      <c r="Q59" s="635"/>
      <c r="R59" s="635"/>
      <c r="S59" s="635"/>
    </row>
    <row r="60" spans="1:19">
      <c r="A60" s="635">
        <v>1</v>
      </c>
      <c r="B60" s="635">
        <v>7</v>
      </c>
      <c r="C60" s="635">
        <v>1</v>
      </c>
      <c r="D60" s="635">
        <v>4</v>
      </c>
      <c r="E60" s="635" t="s">
        <v>1354</v>
      </c>
      <c r="F60" s="635" t="s">
        <v>1622</v>
      </c>
      <c r="G60" s="635" t="s">
        <v>1498</v>
      </c>
      <c r="H60" s="635" t="s">
        <v>1413</v>
      </c>
      <c r="I60" s="635" t="s">
        <v>1623</v>
      </c>
      <c r="J60" s="635"/>
      <c r="K60" s="635"/>
      <c r="L60" s="635"/>
      <c r="M60" s="635" t="s">
        <v>1363</v>
      </c>
      <c r="N60" s="635">
        <v>0.5</v>
      </c>
      <c r="O60" s="635"/>
      <c r="P60" s="635"/>
      <c r="Q60" s="635"/>
      <c r="R60" s="635"/>
      <c r="S60" s="635"/>
    </row>
    <row r="61" spans="1:19">
      <c r="A61" s="635">
        <v>1</v>
      </c>
      <c r="B61" s="635">
        <v>7</v>
      </c>
      <c r="C61" s="635">
        <v>1</v>
      </c>
      <c r="D61" s="635">
        <v>5</v>
      </c>
      <c r="E61" s="635" t="s">
        <v>1354</v>
      </c>
      <c r="F61" s="635" t="s">
        <v>1624</v>
      </c>
      <c r="G61" s="635" t="s">
        <v>1498</v>
      </c>
      <c r="H61" s="635" t="s">
        <v>1414</v>
      </c>
      <c r="I61" s="635" t="s">
        <v>1625</v>
      </c>
      <c r="J61" s="635"/>
      <c r="K61" s="635"/>
      <c r="L61" s="635"/>
      <c r="M61" s="635" t="s">
        <v>1363</v>
      </c>
      <c r="N61" s="635">
        <v>0</v>
      </c>
      <c r="O61" s="635"/>
      <c r="P61" s="635"/>
      <c r="Q61" s="635"/>
      <c r="R61" s="635"/>
      <c r="S61" s="635"/>
    </row>
    <row r="62" spans="1:19">
      <c r="A62" s="635">
        <v>1</v>
      </c>
      <c r="B62" s="635">
        <v>7</v>
      </c>
      <c r="C62" s="635">
        <v>1</v>
      </c>
      <c r="D62" s="635">
        <v>6</v>
      </c>
      <c r="E62" s="635" t="s">
        <v>1354</v>
      </c>
      <c r="F62" s="635" t="s">
        <v>1626</v>
      </c>
      <c r="G62" s="635" t="s">
        <v>1498</v>
      </c>
      <c r="H62" s="635" t="s">
        <v>1415</v>
      </c>
      <c r="I62" s="635" t="s">
        <v>1627</v>
      </c>
      <c r="J62" s="635"/>
      <c r="K62" s="635"/>
      <c r="L62" s="635"/>
      <c r="M62" s="635" t="s">
        <v>1363</v>
      </c>
      <c r="N62" s="635">
        <v>0</v>
      </c>
      <c r="O62" s="635"/>
      <c r="P62" s="635"/>
      <c r="Q62" s="635"/>
      <c r="R62" s="635"/>
      <c r="S62" s="635"/>
    </row>
    <row r="63" spans="1:19">
      <c r="A63" s="635">
        <v>1</v>
      </c>
      <c r="B63" s="635">
        <v>7</v>
      </c>
      <c r="C63" s="635">
        <v>1</v>
      </c>
      <c r="D63" s="635">
        <v>7</v>
      </c>
      <c r="E63" s="635" t="s">
        <v>1354</v>
      </c>
      <c r="F63" s="635" t="s">
        <v>1628</v>
      </c>
      <c r="G63" s="635" t="s">
        <v>1498</v>
      </c>
      <c r="H63" s="635" t="s">
        <v>1416</v>
      </c>
      <c r="I63" s="635" t="s">
        <v>1629</v>
      </c>
      <c r="J63" s="635"/>
      <c r="K63" s="635"/>
      <c r="L63" s="635"/>
      <c r="M63" s="635" t="s">
        <v>1363</v>
      </c>
      <c r="N63" s="635">
        <v>0</v>
      </c>
      <c r="O63" s="635"/>
      <c r="P63" s="635"/>
      <c r="Q63" s="635"/>
      <c r="R63" s="635"/>
      <c r="S63" s="635"/>
    </row>
    <row r="64" spans="1:19">
      <c r="A64" s="635">
        <v>1</v>
      </c>
      <c r="B64" s="635">
        <v>7</v>
      </c>
      <c r="C64" s="635">
        <v>1</v>
      </c>
      <c r="D64" s="635">
        <v>8</v>
      </c>
      <c r="E64" s="635" t="s">
        <v>1354</v>
      </c>
      <c r="F64" s="635" t="s">
        <v>1630</v>
      </c>
      <c r="G64" s="635" t="s">
        <v>1498</v>
      </c>
      <c r="H64" s="635" t="s">
        <v>1417</v>
      </c>
      <c r="I64" s="635" t="s">
        <v>1631</v>
      </c>
      <c r="J64" s="635"/>
      <c r="K64" s="635"/>
      <c r="L64" s="635"/>
      <c r="M64" s="635" t="s">
        <v>1363</v>
      </c>
      <c r="N64" s="635">
        <v>0</v>
      </c>
      <c r="O64" s="635"/>
      <c r="P64" s="635"/>
      <c r="Q64" s="635"/>
      <c r="R64" s="635"/>
      <c r="S64" s="635"/>
    </row>
    <row r="65" spans="1:19">
      <c r="A65" s="635">
        <v>1</v>
      </c>
      <c r="B65" s="635">
        <v>7</v>
      </c>
      <c r="C65" s="635">
        <v>1</v>
      </c>
      <c r="D65" s="635">
        <v>9</v>
      </c>
      <c r="E65" s="635" t="s">
        <v>1354</v>
      </c>
      <c r="F65" s="635" t="s">
        <v>1632</v>
      </c>
      <c r="G65" s="635" t="s">
        <v>1498</v>
      </c>
      <c r="H65" s="635" t="s">
        <v>1418</v>
      </c>
      <c r="I65" s="635" t="s">
        <v>1633</v>
      </c>
      <c r="J65" s="635"/>
      <c r="K65" s="635"/>
      <c r="L65" s="635"/>
      <c r="M65" s="635" t="s">
        <v>1363</v>
      </c>
      <c r="N65" s="635">
        <v>0</v>
      </c>
      <c r="O65" s="635"/>
      <c r="P65" s="635"/>
      <c r="Q65" s="635"/>
      <c r="R65" s="635"/>
      <c r="S65" s="635"/>
    </row>
    <row r="66" spans="1:19">
      <c r="A66" s="635">
        <v>1</v>
      </c>
      <c r="B66" s="635">
        <v>7</v>
      </c>
      <c r="C66" s="635">
        <v>1</v>
      </c>
      <c r="D66" s="635">
        <v>10</v>
      </c>
      <c r="E66" s="635" t="s">
        <v>1354</v>
      </c>
      <c r="F66" s="635" t="s">
        <v>1634</v>
      </c>
      <c r="G66" s="635" t="s">
        <v>1498</v>
      </c>
      <c r="H66" s="635" t="s">
        <v>1419</v>
      </c>
      <c r="I66" s="635" t="s">
        <v>1635</v>
      </c>
      <c r="J66" s="635"/>
      <c r="K66" s="635"/>
      <c r="L66" s="635"/>
      <c r="M66" s="635" t="s">
        <v>1363</v>
      </c>
      <c r="N66" s="635">
        <v>0</v>
      </c>
      <c r="O66" s="635"/>
      <c r="P66" s="635"/>
      <c r="Q66" s="635"/>
      <c r="R66" s="635"/>
      <c r="S66" s="635"/>
    </row>
    <row r="67" spans="1:19">
      <c r="A67" s="635">
        <v>1</v>
      </c>
      <c r="B67" s="635">
        <v>7</v>
      </c>
      <c r="C67" s="635">
        <v>1</v>
      </c>
      <c r="D67" s="635">
        <v>11</v>
      </c>
      <c r="E67" s="635" t="s">
        <v>1354</v>
      </c>
      <c r="F67" s="635" t="s">
        <v>1636</v>
      </c>
      <c r="G67" s="635" t="s">
        <v>1498</v>
      </c>
      <c r="H67" s="635" t="s">
        <v>1420</v>
      </c>
      <c r="I67" s="635" t="s">
        <v>1637</v>
      </c>
      <c r="J67" s="635"/>
      <c r="K67" s="635"/>
      <c r="L67" s="635"/>
      <c r="M67" s="635" t="s">
        <v>1363</v>
      </c>
      <c r="N67" s="635">
        <v>0</v>
      </c>
      <c r="O67" s="635"/>
      <c r="P67" s="635"/>
      <c r="Q67" s="635"/>
      <c r="R67" s="635"/>
      <c r="S67" s="635"/>
    </row>
    <row r="68" spans="1:19">
      <c r="A68" s="635">
        <v>1</v>
      </c>
      <c r="B68" s="635">
        <v>7</v>
      </c>
      <c r="C68" s="635">
        <v>1</v>
      </c>
      <c r="D68" s="635">
        <v>12</v>
      </c>
      <c r="E68" s="635" t="s">
        <v>1354</v>
      </c>
      <c r="F68" s="635" t="s">
        <v>1638</v>
      </c>
      <c r="G68" s="635" t="s">
        <v>1498</v>
      </c>
      <c r="H68" s="635" t="s">
        <v>1421</v>
      </c>
      <c r="I68" s="635" t="s">
        <v>1639</v>
      </c>
      <c r="J68" s="635"/>
      <c r="K68" s="635"/>
      <c r="L68" s="635"/>
      <c r="M68" s="635" t="s">
        <v>1363</v>
      </c>
      <c r="N68" s="635">
        <v>0</v>
      </c>
      <c r="O68" s="635"/>
      <c r="P68" s="635"/>
      <c r="Q68" s="635"/>
      <c r="R68" s="635"/>
      <c r="S68" s="635"/>
    </row>
    <row r="69" spans="1:19">
      <c r="A69" s="635">
        <v>1</v>
      </c>
      <c r="B69" s="635">
        <v>7</v>
      </c>
      <c r="C69" s="635">
        <v>1</v>
      </c>
      <c r="D69" s="635">
        <v>13</v>
      </c>
      <c r="E69" s="635" t="s">
        <v>1354</v>
      </c>
      <c r="F69" s="635" t="s">
        <v>1640</v>
      </c>
      <c r="G69" s="635" t="s">
        <v>1498</v>
      </c>
      <c r="H69" s="635" t="s">
        <v>1422</v>
      </c>
      <c r="I69" s="635" t="s">
        <v>1641</v>
      </c>
      <c r="J69" s="635"/>
      <c r="K69" s="635"/>
      <c r="L69" s="635"/>
      <c r="M69" s="635" t="s">
        <v>1363</v>
      </c>
      <c r="N69" s="635">
        <v>0</v>
      </c>
      <c r="O69" s="635"/>
      <c r="P69" s="635"/>
      <c r="Q69" s="635"/>
      <c r="R69" s="635"/>
      <c r="S69" s="635"/>
    </row>
    <row r="70" spans="1:19" s="631" customFormat="1" ht="12.75" customHeight="1">
      <c r="A70" s="636">
        <v>1</v>
      </c>
      <c r="B70" s="636">
        <v>7</v>
      </c>
      <c r="C70" s="636">
        <v>1</v>
      </c>
      <c r="D70" s="636">
        <v>14</v>
      </c>
      <c r="E70" s="636"/>
      <c r="F70" s="636"/>
      <c r="G70" s="636"/>
      <c r="H70" s="636"/>
      <c r="I70" s="636"/>
      <c r="J70" s="636"/>
      <c r="K70" s="636"/>
      <c r="L70" s="636"/>
      <c r="M70" s="636"/>
      <c r="N70" s="636"/>
      <c r="O70" s="636"/>
      <c r="P70" s="636"/>
      <c r="Q70" s="636"/>
      <c r="R70" s="636"/>
      <c r="S70" s="636"/>
    </row>
    <row r="71" spans="1:19" s="631" customFormat="1" ht="12.75" customHeight="1">
      <c r="A71" s="636">
        <v>1</v>
      </c>
      <c r="B71" s="636">
        <v>7</v>
      </c>
      <c r="C71" s="636">
        <v>1</v>
      </c>
      <c r="D71" s="636">
        <v>15</v>
      </c>
      <c r="E71" s="636"/>
      <c r="F71" s="636"/>
      <c r="G71" s="636"/>
      <c r="H71" s="636"/>
      <c r="I71" s="636"/>
      <c r="J71" s="636"/>
      <c r="K71" s="636"/>
      <c r="L71" s="636"/>
      <c r="M71" s="636"/>
      <c r="N71" s="636"/>
      <c r="O71" s="636"/>
      <c r="P71" s="636"/>
      <c r="Q71" s="636"/>
      <c r="R71" s="636"/>
      <c r="S71" s="636"/>
    </row>
    <row r="72" spans="1:19" s="631" customFormat="1" ht="12.75" customHeight="1">
      <c r="A72" s="636">
        <v>1</v>
      </c>
      <c r="B72" s="636">
        <v>7</v>
      </c>
      <c r="C72" s="636">
        <v>1</v>
      </c>
      <c r="D72" s="636">
        <v>16</v>
      </c>
      <c r="E72" s="636"/>
      <c r="F72" s="636"/>
      <c r="G72" s="636"/>
      <c r="H72" s="636"/>
      <c r="I72" s="636"/>
      <c r="J72" s="636"/>
      <c r="K72" s="636"/>
      <c r="L72" s="636"/>
      <c r="M72" s="636"/>
      <c r="N72" s="636"/>
      <c r="O72" s="636"/>
      <c r="P72" s="636"/>
      <c r="Q72" s="636"/>
      <c r="R72" s="636"/>
      <c r="S72" s="636"/>
    </row>
    <row r="73" spans="1:19" s="631" customFormat="1" ht="12.75" customHeight="1">
      <c r="A73" s="636">
        <v>1</v>
      </c>
      <c r="B73" s="636">
        <v>7</v>
      </c>
      <c r="C73" s="636">
        <v>1</v>
      </c>
      <c r="D73" s="636">
        <v>17</v>
      </c>
      <c r="E73" s="636"/>
      <c r="F73" s="636"/>
      <c r="G73" s="636"/>
      <c r="H73" s="636"/>
      <c r="I73" s="636"/>
      <c r="J73" s="636"/>
      <c r="K73" s="636"/>
      <c r="L73" s="636"/>
      <c r="M73" s="636"/>
      <c r="N73" s="636"/>
      <c r="O73" s="636"/>
      <c r="P73" s="636"/>
      <c r="Q73" s="636"/>
      <c r="R73" s="636"/>
      <c r="S73" s="636"/>
    </row>
    <row r="74" spans="1:19" s="631" customFormat="1" ht="12.75" customHeight="1">
      <c r="A74" s="636">
        <v>1</v>
      </c>
      <c r="B74" s="636">
        <v>7</v>
      </c>
      <c r="C74" s="636">
        <v>1</v>
      </c>
      <c r="D74" s="636">
        <v>18</v>
      </c>
      <c r="E74" s="636"/>
      <c r="F74" s="636"/>
      <c r="G74" s="636"/>
      <c r="H74" s="636"/>
      <c r="I74" s="636"/>
      <c r="J74" s="636"/>
      <c r="K74" s="636"/>
      <c r="L74" s="636"/>
      <c r="M74" s="636"/>
      <c r="N74" s="636"/>
      <c r="O74" s="636"/>
      <c r="P74" s="636"/>
      <c r="Q74" s="636"/>
      <c r="R74" s="636"/>
      <c r="S74" s="636"/>
    </row>
    <row r="75" spans="1:19" s="631" customFormat="1" ht="12.75" customHeight="1">
      <c r="A75" s="636">
        <v>1</v>
      </c>
      <c r="B75" s="636">
        <v>7</v>
      </c>
      <c r="C75" s="636">
        <v>1</v>
      </c>
      <c r="D75" s="636">
        <v>19</v>
      </c>
      <c r="E75" s="636"/>
      <c r="F75" s="636"/>
      <c r="G75" s="636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6"/>
      <c r="S75" s="636"/>
    </row>
    <row r="76" spans="1:19" s="631" customFormat="1" ht="12.75" customHeight="1">
      <c r="A76" s="636">
        <v>1</v>
      </c>
      <c r="B76" s="636">
        <v>7</v>
      </c>
      <c r="C76" s="636">
        <v>1</v>
      </c>
      <c r="D76" s="636">
        <v>20</v>
      </c>
      <c r="E76" s="636"/>
      <c r="F76" s="636"/>
      <c r="G76" s="636"/>
      <c r="H76" s="636"/>
      <c r="I76" s="636"/>
      <c r="J76" s="636"/>
      <c r="K76" s="636"/>
      <c r="L76" s="636"/>
      <c r="M76" s="636"/>
      <c r="N76" s="636"/>
      <c r="O76" s="636"/>
      <c r="P76" s="636"/>
      <c r="Q76" s="636"/>
      <c r="R76" s="636"/>
      <c r="S76" s="636"/>
    </row>
    <row r="77" spans="1:19" s="631" customFormat="1" ht="12.75" customHeight="1">
      <c r="A77" s="636">
        <v>1</v>
      </c>
      <c r="B77" s="636">
        <v>7</v>
      </c>
      <c r="C77" s="636">
        <v>1</v>
      </c>
      <c r="D77" s="636">
        <v>21</v>
      </c>
      <c r="E77" s="636"/>
      <c r="F77" s="636"/>
      <c r="G77" s="636"/>
      <c r="H77" s="636"/>
      <c r="I77" s="636"/>
      <c r="J77" s="636"/>
      <c r="K77" s="636"/>
      <c r="L77" s="636"/>
      <c r="M77" s="636"/>
      <c r="N77" s="636"/>
      <c r="O77" s="636"/>
      <c r="P77" s="636"/>
      <c r="Q77" s="636"/>
      <c r="R77" s="636"/>
      <c r="S77" s="636"/>
    </row>
    <row r="78" spans="1:19" s="631" customFormat="1" ht="12.75" customHeight="1">
      <c r="A78" s="636">
        <v>1</v>
      </c>
      <c r="B78" s="636">
        <v>7</v>
      </c>
      <c r="C78" s="636">
        <v>1</v>
      </c>
      <c r="D78" s="636">
        <v>22</v>
      </c>
      <c r="E78" s="636"/>
      <c r="F78" s="636"/>
      <c r="G78" s="636"/>
      <c r="H78" s="636"/>
      <c r="I78" s="636"/>
      <c r="J78" s="636"/>
      <c r="K78" s="636"/>
      <c r="L78" s="636"/>
      <c r="M78" s="636"/>
      <c r="N78" s="636"/>
      <c r="O78" s="636"/>
      <c r="P78" s="636"/>
      <c r="Q78" s="636"/>
      <c r="R78" s="636"/>
      <c r="S78" s="636"/>
    </row>
    <row r="79" spans="1:19" s="631" customFormat="1" ht="12.75" customHeight="1">
      <c r="A79" s="636">
        <v>1</v>
      </c>
      <c r="B79" s="636">
        <v>7</v>
      </c>
      <c r="C79" s="636">
        <v>1</v>
      </c>
      <c r="D79" s="636">
        <v>23</v>
      </c>
      <c r="E79" s="636"/>
      <c r="F79" s="636"/>
      <c r="G79" s="636"/>
      <c r="H79" s="636"/>
      <c r="I79" s="636"/>
      <c r="J79" s="636"/>
      <c r="K79" s="636"/>
      <c r="L79" s="636"/>
      <c r="M79" s="636"/>
      <c r="N79" s="636"/>
      <c r="O79" s="636"/>
      <c r="P79" s="636"/>
      <c r="Q79" s="636"/>
      <c r="R79" s="636"/>
      <c r="S79" s="636"/>
    </row>
    <row r="80" spans="1:19" s="631" customFormat="1" ht="12.75" customHeight="1">
      <c r="B80" s="499" t="s">
        <v>1337</v>
      </c>
      <c r="C80" s="590"/>
      <c r="D80" s="590"/>
      <c r="E80" s="590"/>
      <c r="F80" s="590"/>
      <c r="G80" s="590"/>
      <c r="H80" s="590"/>
      <c r="I80" s="590"/>
      <c r="J80" s="590"/>
      <c r="K80" s="590"/>
      <c r="L80" s="500"/>
      <c r="M80" s="590"/>
      <c r="N80" s="590"/>
      <c r="O80" s="590"/>
      <c r="P80" s="590"/>
      <c r="Q80" s="590"/>
      <c r="R80" s="590"/>
      <c r="S80" s="591"/>
    </row>
    <row r="81" spans="1:19" s="367" customFormat="1" ht="65.099999999999994" customHeight="1">
      <c r="A81" s="610"/>
      <c r="B81" s="611" t="s">
        <v>1221</v>
      </c>
      <c r="C81" s="611" t="s">
        <v>347</v>
      </c>
      <c r="D81" s="611" t="s">
        <v>384</v>
      </c>
      <c r="E81" s="611" t="s">
        <v>1222</v>
      </c>
      <c r="F81" s="611" t="s">
        <v>175</v>
      </c>
      <c r="G81" s="611" t="s">
        <v>385</v>
      </c>
      <c r="H81" s="611" t="s">
        <v>1223</v>
      </c>
      <c r="I81" s="611" t="s">
        <v>317</v>
      </c>
      <c r="J81" s="611" t="s">
        <v>1224</v>
      </c>
      <c r="K81" s="611" t="s">
        <v>1225</v>
      </c>
      <c r="L81" s="611" t="s">
        <v>287</v>
      </c>
      <c r="M81" s="611" t="s">
        <v>522</v>
      </c>
      <c r="N81" s="611" t="s">
        <v>1226</v>
      </c>
      <c r="O81" s="611" t="s">
        <v>1227</v>
      </c>
      <c r="P81" s="611" t="s">
        <v>1228</v>
      </c>
      <c r="Q81" s="611" t="s">
        <v>1229</v>
      </c>
      <c r="R81" s="611" t="s">
        <v>1230</v>
      </c>
      <c r="S81" s="611" t="s">
        <v>1236</v>
      </c>
    </row>
    <row r="82" spans="1:19">
      <c r="A82" s="632">
        <v>1</v>
      </c>
      <c r="B82" s="632">
        <v>10</v>
      </c>
      <c r="C82" s="632">
        <v>1</v>
      </c>
      <c r="D82" s="632">
        <v>1</v>
      </c>
      <c r="E82" s="632" t="s">
        <v>1355</v>
      </c>
      <c r="F82" s="632" t="s">
        <v>1642</v>
      </c>
      <c r="G82" s="632" t="s">
        <v>1498</v>
      </c>
      <c r="H82" s="632" t="s">
        <v>1423</v>
      </c>
      <c r="I82" s="632" t="s">
        <v>1643</v>
      </c>
      <c r="J82" s="632"/>
      <c r="K82" s="632"/>
      <c r="L82" s="632"/>
      <c r="M82" s="632" t="s">
        <v>1364</v>
      </c>
      <c r="N82" s="632">
        <v>0</v>
      </c>
      <c r="O82" s="632"/>
      <c r="P82" s="632"/>
      <c r="Q82" s="632"/>
      <c r="R82" s="632"/>
      <c r="S82" s="632"/>
    </row>
    <row r="83" spans="1:19">
      <c r="A83" s="635">
        <v>1</v>
      </c>
      <c r="B83" s="635">
        <v>10</v>
      </c>
      <c r="C83" s="635">
        <v>1</v>
      </c>
      <c r="D83" s="635">
        <v>2</v>
      </c>
      <c r="E83" s="635" t="s">
        <v>1355</v>
      </c>
      <c r="F83" s="635" t="s">
        <v>1644</v>
      </c>
      <c r="G83" s="635" t="s">
        <v>1498</v>
      </c>
      <c r="H83" s="635" t="s">
        <v>1424</v>
      </c>
      <c r="I83" s="635" t="s">
        <v>1645</v>
      </c>
      <c r="J83" s="635"/>
      <c r="K83" s="635"/>
      <c r="L83" s="635"/>
      <c r="M83" s="635" t="s">
        <v>1364</v>
      </c>
      <c r="N83" s="635">
        <v>0</v>
      </c>
      <c r="O83" s="635"/>
      <c r="P83" s="635"/>
      <c r="Q83" s="635"/>
      <c r="R83" s="635"/>
      <c r="S83" s="635"/>
    </row>
    <row r="84" spans="1:19">
      <c r="A84" s="635">
        <v>1</v>
      </c>
      <c r="B84" s="635">
        <v>10</v>
      </c>
      <c r="C84" s="635">
        <v>1</v>
      </c>
      <c r="D84" s="635">
        <v>3</v>
      </c>
      <c r="E84" s="635" t="s">
        <v>1355</v>
      </c>
      <c r="F84" s="635" t="s">
        <v>1646</v>
      </c>
      <c r="G84" s="635" t="s">
        <v>1498</v>
      </c>
      <c r="H84" s="635" t="s">
        <v>1425</v>
      </c>
      <c r="I84" s="635" t="s">
        <v>1647</v>
      </c>
      <c r="J84" s="635"/>
      <c r="K84" s="635"/>
      <c r="L84" s="635"/>
      <c r="M84" s="635" t="s">
        <v>1364</v>
      </c>
      <c r="N84" s="635">
        <v>0</v>
      </c>
      <c r="O84" s="635"/>
      <c r="P84" s="635"/>
      <c r="Q84" s="635"/>
      <c r="R84" s="635"/>
      <c r="S84" s="635"/>
    </row>
    <row r="85" spans="1:19">
      <c r="A85" s="635">
        <v>1</v>
      </c>
      <c r="B85" s="635">
        <v>10</v>
      </c>
      <c r="C85" s="635">
        <v>1</v>
      </c>
      <c r="D85" s="635">
        <v>4</v>
      </c>
      <c r="E85" s="635" t="s">
        <v>1355</v>
      </c>
      <c r="F85" s="635" t="s">
        <v>1648</v>
      </c>
      <c r="G85" s="635" t="s">
        <v>1498</v>
      </c>
      <c r="H85" s="635" t="s">
        <v>1426</v>
      </c>
      <c r="I85" s="635" t="s">
        <v>1649</v>
      </c>
      <c r="J85" s="635"/>
      <c r="K85" s="635"/>
      <c r="L85" s="635"/>
      <c r="M85" s="635" t="s">
        <v>1364</v>
      </c>
      <c r="N85" s="635">
        <v>0</v>
      </c>
      <c r="O85" s="635"/>
      <c r="P85" s="635"/>
      <c r="Q85" s="635"/>
      <c r="R85" s="635"/>
      <c r="S85" s="635"/>
    </row>
    <row r="86" spans="1:19">
      <c r="A86" s="635">
        <v>1</v>
      </c>
      <c r="B86" s="635">
        <v>10</v>
      </c>
      <c r="C86" s="635">
        <v>1</v>
      </c>
      <c r="D86" s="635">
        <v>5</v>
      </c>
      <c r="E86" s="635" t="s">
        <v>1355</v>
      </c>
      <c r="F86" s="635" t="s">
        <v>1650</v>
      </c>
      <c r="G86" s="635" t="s">
        <v>1498</v>
      </c>
      <c r="H86" s="635" t="s">
        <v>1427</v>
      </c>
      <c r="I86" s="635" t="s">
        <v>1651</v>
      </c>
      <c r="J86" s="635"/>
      <c r="K86" s="635"/>
      <c r="L86" s="635"/>
      <c r="M86" s="635" t="s">
        <v>1364</v>
      </c>
      <c r="N86" s="635">
        <v>0</v>
      </c>
      <c r="O86" s="635"/>
      <c r="P86" s="635"/>
      <c r="Q86" s="635"/>
      <c r="R86" s="635"/>
      <c r="S86" s="635"/>
    </row>
    <row r="87" spans="1:19">
      <c r="A87" s="635">
        <v>1</v>
      </c>
      <c r="B87" s="635">
        <v>10</v>
      </c>
      <c r="C87" s="635">
        <v>1</v>
      </c>
      <c r="D87" s="635">
        <v>6</v>
      </c>
      <c r="E87" s="635" t="s">
        <v>1355</v>
      </c>
      <c r="F87" s="635" t="s">
        <v>1652</v>
      </c>
      <c r="G87" s="635" t="s">
        <v>1498</v>
      </c>
      <c r="H87" s="635" t="s">
        <v>1428</v>
      </c>
      <c r="I87" s="635" t="s">
        <v>1653</v>
      </c>
      <c r="J87" s="635"/>
      <c r="K87" s="635"/>
      <c r="L87" s="635"/>
      <c r="M87" s="635" t="s">
        <v>1364</v>
      </c>
      <c r="N87" s="635">
        <v>0</v>
      </c>
      <c r="O87" s="635"/>
      <c r="P87" s="635"/>
      <c r="Q87" s="635"/>
      <c r="R87" s="635"/>
      <c r="S87" s="635"/>
    </row>
    <row r="88" spans="1:19">
      <c r="A88" s="635">
        <v>1</v>
      </c>
      <c r="B88" s="635">
        <v>10</v>
      </c>
      <c r="C88" s="635">
        <v>1</v>
      </c>
      <c r="D88" s="635">
        <v>7</v>
      </c>
      <c r="E88" s="635" t="s">
        <v>1355</v>
      </c>
      <c r="F88" s="635" t="s">
        <v>1654</v>
      </c>
      <c r="G88" s="635" t="s">
        <v>1498</v>
      </c>
      <c r="H88" s="635" t="s">
        <v>1429</v>
      </c>
      <c r="I88" s="635" t="s">
        <v>1655</v>
      </c>
      <c r="J88" s="635"/>
      <c r="K88" s="635"/>
      <c r="L88" s="635"/>
      <c r="M88" s="635" t="s">
        <v>1364</v>
      </c>
      <c r="N88" s="635">
        <v>0</v>
      </c>
      <c r="O88" s="635"/>
      <c r="P88" s="635"/>
      <c r="Q88" s="635"/>
      <c r="R88" s="635"/>
      <c r="S88" s="635"/>
    </row>
    <row r="89" spans="1:19">
      <c r="A89" s="635">
        <v>1</v>
      </c>
      <c r="B89" s="635">
        <v>10</v>
      </c>
      <c r="C89" s="635">
        <v>1</v>
      </c>
      <c r="D89" s="635">
        <v>8</v>
      </c>
      <c r="E89" s="635" t="s">
        <v>1355</v>
      </c>
      <c r="F89" s="635" t="s">
        <v>1656</v>
      </c>
      <c r="G89" s="635" t="s">
        <v>1498</v>
      </c>
      <c r="H89" s="635" t="s">
        <v>1430</v>
      </c>
      <c r="I89" s="635" t="s">
        <v>1657</v>
      </c>
      <c r="J89" s="635"/>
      <c r="K89" s="635"/>
      <c r="L89" s="635"/>
      <c r="M89" s="635" t="s">
        <v>1364</v>
      </c>
      <c r="N89" s="635">
        <v>0</v>
      </c>
      <c r="O89" s="635"/>
      <c r="P89" s="635"/>
      <c r="Q89" s="635"/>
      <c r="R89" s="635"/>
      <c r="S89" s="635"/>
    </row>
    <row r="90" spans="1:19">
      <c r="A90" s="635">
        <v>1</v>
      </c>
      <c r="B90" s="635">
        <v>10</v>
      </c>
      <c r="C90" s="635">
        <v>1</v>
      </c>
      <c r="D90" s="635">
        <v>9</v>
      </c>
      <c r="E90" s="635" t="s">
        <v>1355</v>
      </c>
      <c r="F90" s="635" t="s">
        <v>1658</v>
      </c>
      <c r="G90" s="635" t="s">
        <v>1498</v>
      </c>
      <c r="H90" s="635" t="s">
        <v>1431</v>
      </c>
      <c r="I90" s="635" t="s">
        <v>1659</v>
      </c>
      <c r="J90" s="635"/>
      <c r="K90" s="635"/>
      <c r="L90" s="635"/>
      <c r="M90" s="635" t="s">
        <v>1364</v>
      </c>
      <c r="N90" s="635">
        <v>0</v>
      </c>
      <c r="O90" s="635"/>
      <c r="P90" s="635"/>
      <c r="Q90" s="635"/>
      <c r="R90" s="635"/>
      <c r="S90" s="635"/>
    </row>
    <row r="91" spans="1:19">
      <c r="A91" s="635">
        <v>1</v>
      </c>
      <c r="B91" s="635">
        <v>10</v>
      </c>
      <c r="C91" s="635">
        <v>1</v>
      </c>
      <c r="D91" s="635">
        <v>10</v>
      </c>
      <c r="E91" s="635" t="s">
        <v>1355</v>
      </c>
      <c r="F91" s="635" t="s">
        <v>1660</v>
      </c>
      <c r="G91" s="635" t="s">
        <v>1498</v>
      </c>
      <c r="H91" s="635" t="s">
        <v>1432</v>
      </c>
      <c r="I91" s="635" t="s">
        <v>1661</v>
      </c>
      <c r="J91" s="635"/>
      <c r="K91" s="635"/>
      <c r="L91" s="635"/>
      <c r="M91" s="635" t="s">
        <v>1364</v>
      </c>
      <c r="N91" s="635">
        <v>0</v>
      </c>
      <c r="O91" s="635"/>
      <c r="P91" s="635"/>
      <c r="Q91" s="635"/>
      <c r="R91" s="635"/>
      <c r="S91" s="635"/>
    </row>
    <row r="92" spans="1:19">
      <c r="A92" s="635">
        <v>1</v>
      </c>
      <c r="B92" s="635">
        <v>10</v>
      </c>
      <c r="C92" s="635">
        <v>1</v>
      </c>
      <c r="D92" s="635">
        <v>11</v>
      </c>
      <c r="E92" s="635" t="s">
        <v>1355</v>
      </c>
      <c r="F92" s="635" t="s">
        <v>1662</v>
      </c>
      <c r="G92" s="635" t="s">
        <v>1498</v>
      </c>
      <c r="H92" s="635" t="s">
        <v>1433</v>
      </c>
      <c r="I92" s="635" t="s">
        <v>1663</v>
      </c>
      <c r="J92" s="635"/>
      <c r="K92" s="635"/>
      <c r="L92" s="635"/>
      <c r="M92" s="635" t="s">
        <v>1364</v>
      </c>
      <c r="N92" s="635">
        <v>0</v>
      </c>
      <c r="O92" s="635"/>
      <c r="P92" s="635"/>
      <c r="Q92" s="635"/>
      <c r="R92" s="635"/>
      <c r="S92" s="635"/>
    </row>
    <row r="93" spans="1:19">
      <c r="A93" s="635">
        <v>1</v>
      </c>
      <c r="B93" s="635">
        <v>10</v>
      </c>
      <c r="C93" s="635">
        <v>1</v>
      </c>
      <c r="D93" s="635">
        <v>12</v>
      </c>
      <c r="E93" s="635" t="s">
        <v>1355</v>
      </c>
      <c r="F93" s="635" t="s">
        <v>1664</v>
      </c>
      <c r="G93" s="635" t="s">
        <v>1498</v>
      </c>
      <c r="H93" s="635" t="s">
        <v>1434</v>
      </c>
      <c r="I93" s="635" t="s">
        <v>1665</v>
      </c>
      <c r="J93" s="635"/>
      <c r="K93" s="635"/>
      <c r="L93" s="635"/>
      <c r="M93" s="635" t="s">
        <v>1364</v>
      </c>
      <c r="N93" s="635">
        <v>0</v>
      </c>
      <c r="O93" s="635"/>
      <c r="P93" s="635"/>
      <c r="Q93" s="635"/>
      <c r="R93" s="635"/>
      <c r="S93" s="635"/>
    </row>
    <row r="94" spans="1:19">
      <c r="A94" s="635">
        <v>1</v>
      </c>
      <c r="B94" s="635">
        <v>10</v>
      </c>
      <c r="C94" s="635">
        <v>1</v>
      </c>
      <c r="D94" s="635">
        <v>13</v>
      </c>
      <c r="E94" s="635" t="s">
        <v>1355</v>
      </c>
      <c r="F94" s="635" t="s">
        <v>1666</v>
      </c>
      <c r="G94" s="635" t="s">
        <v>1498</v>
      </c>
      <c r="H94" s="635" t="s">
        <v>1435</v>
      </c>
      <c r="I94" s="635" t="s">
        <v>1667</v>
      </c>
      <c r="J94" s="635"/>
      <c r="K94" s="635"/>
      <c r="L94" s="635"/>
      <c r="M94" s="635" t="s">
        <v>1364</v>
      </c>
      <c r="N94" s="635">
        <v>0</v>
      </c>
      <c r="O94" s="635"/>
      <c r="P94" s="635"/>
      <c r="Q94" s="635"/>
      <c r="R94" s="635"/>
      <c r="S94" s="635"/>
    </row>
    <row r="95" spans="1:19">
      <c r="A95" s="635">
        <v>1</v>
      </c>
      <c r="B95" s="635">
        <v>10</v>
      </c>
      <c r="C95" s="635">
        <v>1</v>
      </c>
      <c r="D95" s="635">
        <v>14</v>
      </c>
      <c r="E95" s="635" t="s">
        <v>1355</v>
      </c>
      <c r="F95" s="635" t="s">
        <v>1668</v>
      </c>
      <c r="G95" s="635" t="s">
        <v>1499</v>
      </c>
      <c r="H95" s="635" t="s">
        <v>1436</v>
      </c>
      <c r="I95" s="635" t="s">
        <v>1669</v>
      </c>
      <c r="J95" s="635"/>
      <c r="K95" s="635"/>
      <c r="L95" s="635"/>
      <c r="M95" s="635" t="s">
        <v>1365</v>
      </c>
      <c r="N95" s="635">
        <v>0</v>
      </c>
      <c r="O95" s="635"/>
      <c r="P95" s="635"/>
      <c r="Q95" s="635"/>
      <c r="R95" s="635"/>
      <c r="S95" s="635"/>
    </row>
    <row r="96" spans="1:19">
      <c r="A96" s="635">
        <v>1</v>
      </c>
      <c r="B96" s="635">
        <v>10</v>
      </c>
      <c r="C96" s="635">
        <v>1</v>
      </c>
      <c r="D96" s="635">
        <v>15</v>
      </c>
      <c r="E96" s="635" t="s">
        <v>1355</v>
      </c>
      <c r="F96" s="635" t="s">
        <v>1670</v>
      </c>
      <c r="G96" s="635" t="s">
        <v>1499</v>
      </c>
      <c r="H96" s="635" t="s">
        <v>1437</v>
      </c>
      <c r="I96" s="635" t="s">
        <v>1671</v>
      </c>
      <c r="J96" s="635"/>
      <c r="K96" s="635"/>
      <c r="L96" s="635"/>
      <c r="M96" s="635" t="s">
        <v>1365</v>
      </c>
      <c r="N96" s="635">
        <v>0</v>
      </c>
      <c r="O96" s="635"/>
      <c r="P96" s="635"/>
      <c r="Q96" s="635"/>
      <c r="R96" s="635"/>
      <c r="S96" s="635"/>
    </row>
    <row r="97" spans="1:19">
      <c r="A97" s="635">
        <v>1</v>
      </c>
      <c r="B97" s="635">
        <v>10</v>
      </c>
      <c r="C97" s="635">
        <v>1</v>
      </c>
      <c r="D97" s="635">
        <v>16</v>
      </c>
      <c r="E97" s="635" t="s">
        <v>1355</v>
      </c>
      <c r="F97" s="635" t="s">
        <v>1672</v>
      </c>
      <c r="G97" s="635" t="s">
        <v>1499</v>
      </c>
      <c r="H97" s="635" t="s">
        <v>1438</v>
      </c>
      <c r="I97" s="635" t="s">
        <v>1673</v>
      </c>
      <c r="J97" s="635"/>
      <c r="K97" s="635"/>
      <c r="L97" s="635"/>
      <c r="M97" s="635" t="s">
        <v>1365</v>
      </c>
      <c r="N97" s="635">
        <v>0</v>
      </c>
      <c r="O97" s="635"/>
      <c r="P97" s="635"/>
      <c r="Q97" s="635"/>
      <c r="R97" s="635"/>
      <c r="S97" s="635"/>
    </row>
    <row r="98" spans="1:19">
      <c r="A98" s="635">
        <v>1</v>
      </c>
      <c r="B98" s="635">
        <v>10</v>
      </c>
      <c r="C98" s="635">
        <v>1</v>
      </c>
      <c r="D98" s="635">
        <v>17</v>
      </c>
      <c r="E98" s="635" t="s">
        <v>1355</v>
      </c>
      <c r="F98" s="635" t="s">
        <v>1674</v>
      </c>
      <c r="G98" s="635" t="s">
        <v>1499</v>
      </c>
      <c r="H98" s="635" t="s">
        <v>1439</v>
      </c>
      <c r="I98" s="635" t="s">
        <v>1675</v>
      </c>
      <c r="J98" s="635"/>
      <c r="K98" s="635"/>
      <c r="L98" s="635"/>
      <c r="M98" s="635" t="s">
        <v>1365</v>
      </c>
      <c r="N98" s="635">
        <v>0</v>
      </c>
      <c r="O98" s="635"/>
      <c r="P98" s="635"/>
      <c r="Q98" s="635"/>
      <c r="R98" s="635"/>
      <c r="S98" s="635"/>
    </row>
    <row r="99" spans="1:19">
      <c r="A99" s="635">
        <v>1</v>
      </c>
      <c r="B99" s="635">
        <v>10</v>
      </c>
      <c r="C99" s="635">
        <v>1</v>
      </c>
      <c r="D99" s="635">
        <v>18</v>
      </c>
      <c r="E99" s="635" t="s">
        <v>1355</v>
      </c>
      <c r="F99" s="635" t="s">
        <v>1676</v>
      </c>
      <c r="G99" s="635" t="s">
        <v>1499</v>
      </c>
      <c r="H99" s="635" t="s">
        <v>1440</v>
      </c>
      <c r="I99" s="635" t="s">
        <v>1677</v>
      </c>
      <c r="J99" s="635"/>
      <c r="K99" s="635"/>
      <c r="L99" s="635"/>
      <c r="M99" s="635" t="s">
        <v>1365</v>
      </c>
      <c r="N99" s="635">
        <v>0</v>
      </c>
      <c r="O99" s="635"/>
      <c r="P99" s="635"/>
      <c r="Q99" s="635"/>
      <c r="R99" s="635"/>
      <c r="S99" s="635"/>
    </row>
    <row r="100" spans="1:19">
      <c r="A100" s="635">
        <v>1</v>
      </c>
      <c r="B100" s="635">
        <v>10</v>
      </c>
      <c r="C100" s="635">
        <v>1</v>
      </c>
      <c r="D100" s="635">
        <v>19</v>
      </c>
      <c r="E100" s="635" t="s">
        <v>1355</v>
      </c>
      <c r="F100" s="635" t="s">
        <v>1678</v>
      </c>
      <c r="G100" s="635" t="s">
        <v>1499</v>
      </c>
      <c r="H100" s="635" t="s">
        <v>1441</v>
      </c>
      <c r="I100" s="635" t="s">
        <v>1679</v>
      </c>
      <c r="J100" s="635"/>
      <c r="K100" s="635"/>
      <c r="L100" s="635"/>
      <c r="M100" s="635" t="s">
        <v>1365</v>
      </c>
      <c r="N100" s="635">
        <v>0</v>
      </c>
      <c r="O100" s="635"/>
      <c r="P100" s="635"/>
      <c r="Q100" s="635"/>
      <c r="R100" s="635"/>
      <c r="S100" s="635"/>
    </row>
    <row r="101" spans="1:19">
      <c r="A101" s="635">
        <v>1</v>
      </c>
      <c r="B101" s="635">
        <v>10</v>
      </c>
      <c r="C101" s="635">
        <v>1</v>
      </c>
      <c r="D101" s="635">
        <v>20</v>
      </c>
      <c r="E101" s="635" t="s">
        <v>1355</v>
      </c>
      <c r="F101" s="635" t="s">
        <v>1680</v>
      </c>
      <c r="G101" s="635" t="s">
        <v>1499</v>
      </c>
      <c r="H101" s="635" t="s">
        <v>1442</v>
      </c>
      <c r="I101" s="635" t="s">
        <v>1681</v>
      </c>
      <c r="J101" s="635"/>
      <c r="K101" s="635"/>
      <c r="L101" s="635"/>
      <c r="M101" s="635" t="s">
        <v>1365</v>
      </c>
      <c r="N101" s="635">
        <v>0</v>
      </c>
      <c r="O101" s="635"/>
      <c r="P101" s="635"/>
      <c r="Q101" s="635"/>
      <c r="R101" s="635"/>
      <c r="S101" s="635"/>
    </row>
    <row r="102" spans="1:19">
      <c r="A102" s="635">
        <v>1</v>
      </c>
      <c r="B102" s="635">
        <v>10</v>
      </c>
      <c r="C102" s="635">
        <v>1</v>
      </c>
      <c r="D102" s="635">
        <v>21</v>
      </c>
      <c r="E102" s="635" t="s">
        <v>1355</v>
      </c>
      <c r="F102" s="635" t="s">
        <v>1682</v>
      </c>
      <c r="G102" s="635" t="s">
        <v>1499</v>
      </c>
      <c r="H102" s="635" t="s">
        <v>1443</v>
      </c>
      <c r="I102" s="635" t="s">
        <v>1683</v>
      </c>
      <c r="J102" s="635"/>
      <c r="K102" s="635"/>
      <c r="L102" s="635"/>
      <c r="M102" s="635" t="s">
        <v>1365</v>
      </c>
      <c r="N102" s="635">
        <v>0</v>
      </c>
      <c r="O102" s="635"/>
      <c r="P102" s="635"/>
      <c r="Q102" s="635"/>
      <c r="R102" s="635"/>
      <c r="S102" s="635"/>
    </row>
    <row r="103" spans="1:19">
      <c r="A103" s="635">
        <v>1</v>
      </c>
      <c r="B103" s="635">
        <v>10</v>
      </c>
      <c r="C103" s="635">
        <v>1</v>
      </c>
      <c r="D103" s="635">
        <v>22</v>
      </c>
      <c r="E103" s="635" t="s">
        <v>1355</v>
      </c>
      <c r="F103" s="635" t="s">
        <v>1684</v>
      </c>
      <c r="G103" s="635" t="s">
        <v>1499</v>
      </c>
      <c r="H103" s="635" t="s">
        <v>1444</v>
      </c>
      <c r="I103" s="635" t="s">
        <v>1685</v>
      </c>
      <c r="J103" s="635"/>
      <c r="K103" s="635"/>
      <c r="L103" s="635"/>
      <c r="M103" s="635" t="s">
        <v>1365</v>
      </c>
      <c r="N103" s="635">
        <v>0</v>
      </c>
      <c r="O103" s="635"/>
      <c r="P103" s="635"/>
      <c r="Q103" s="635"/>
      <c r="R103" s="635"/>
      <c r="S103" s="635"/>
    </row>
    <row r="104" spans="1:19">
      <c r="A104" s="635">
        <v>1</v>
      </c>
      <c r="B104" s="635">
        <v>10</v>
      </c>
      <c r="C104" s="635">
        <v>1</v>
      </c>
      <c r="D104" s="635">
        <v>23</v>
      </c>
      <c r="E104" s="635" t="s">
        <v>1355</v>
      </c>
      <c r="F104" s="635" t="s">
        <v>1686</v>
      </c>
      <c r="G104" s="635" t="s">
        <v>1499</v>
      </c>
      <c r="H104" s="635" t="s">
        <v>1445</v>
      </c>
      <c r="I104" s="635" t="s">
        <v>1687</v>
      </c>
      <c r="J104" s="635"/>
      <c r="K104" s="635"/>
      <c r="L104" s="635"/>
      <c r="M104" s="635" t="s">
        <v>1365</v>
      </c>
      <c r="N104" s="635">
        <v>0</v>
      </c>
      <c r="O104" s="635"/>
      <c r="P104" s="635"/>
      <c r="Q104" s="635"/>
      <c r="R104" s="635"/>
      <c r="S104" s="635"/>
    </row>
    <row r="105" spans="1:19">
      <c r="A105" s="635">
        <v>1</v>
      </c>
      <c r="B105" s="635">
        <v>10</v>
      </c>
      <c r="C105" s="635">
        <v>1</v>
      </c>
      <c r="D105" s="635">
        <v>24</v>
      </c>
      <c r="E105" s="635" t="s">
        <v>1355</v>
      </c>
      <c r="F105" s="635" t="s">
        <v>1688</v>
      </c>
      <c r="G105" s="635" t="s">
        <v>1499</v>
      </c>
      <c r="H105" s="635" t="s">
        <v>1446</v>
      </c>
      <c r="I105" s="635" t="s">
        <v>1689</v>
      </c>
      <c r="J105" s="635"/>
      <c r="K105" s="635"/>
      <c r="L105" s="635"/>
      <c r="M105" s="635" t="s">
        <v>1365</v>
      </c>
      <c r="N105" s="635">
        <v>0</v>
      </c>
      <c r="O105" s="635"/>
      <c r="P105" s="635"/>
      <c r="Q105" s="635"/>
      <c r="R105" s="635"/>
      <c r="S105" s="635"/>
    </row>
    <row r="106" spans="1:19">
      <c r="A106" s="635">
        <v>1</v>
      </c>
      <c r="B106" s="635">
        <v>10</v>
      </c>
      <c r="C106" s="635">
        <v>1</v>
      </c>
      <c r="D106" s="635">
        <v>25</v>
      </c>
      <c r="E106" s="635" t="s">
        <v>1355</v>
      </c>
      <c r="F106" s="635" t="s">
        <v>1690</v>
      </c>
      <c r="G106" s="635" t="s">
        <v>1499</v>
      </c>
      <c r="H106" s="635" t="s">
        <v>1447</v>
      </c>
      <c r="I106" s="635" t="s">
        <v>1691</v>
      </c>
      <c r="J106" s="635"/>
      <c r="K106" s="635"/>
      <c r="L106" s="635"/>
      <c r="M106" s="635" t="s">
        <v>1365</v>
      </c>
      <c r="N106" s="635">
        <v>0</v>
      </c>
      <c r="O106" s="635"/>
      <c r="P106" s="635"/>
      <c r="Q106" s="635"/>
      <c r="R106" s="635"/>
      <c r="S106" s="635"/>
    </row>
    <row r="107" spans="1:19">
      <c r="A107" s="635">
        <v>1</v>
      </c>
      <c r="B107" s="635">
        <v>10</v>
      </c>
      <c r="C107" s="635">
        <v>1</v>
      </c>
      <c r="D107" s="635">
        <v>26</v>
      </c>
      <c r="E107" s="635" t="s">
        <v>1355</v>
      </c>
      <c r="F107" s="635" t="s">
        <v>1692</v>
      </c>
      <c r="G107" s="635" t="s">
        <v>1499</v>
      </c>
      <c r="H107" s="635" t="s">
        <v>1448</v>
      </c>
      <c r="I107" s="635" t="s">
        <v>1693</v>
      </c>
      <c r="J107" s="635"/>
      <c r="K107" s="635"/>
      <c r="L107" s="635"/>
      <c r="M107" s="635" t="s">
        <v>1365</v>
      </c>
      <c r="N107" s="635">
        <v>0</v>
      </c>
      <c r="O107" s="635"/>
      <c r="P107" s="635"/>
      <c r="Q107" s="635"/>
      <c r="R107" s="635"/>
      <c r="S107" s="635"/>
    </row>
    <row r="108" spans="1:19">
      <c r="A108" s="635">
        <v>1</v>
      </c>
      <c r="B108" s="635">
        <v>10</v>
      </c>
      <c r="C108" s="635">
        <v>1</v>
      </c>
      <c r="D108" s="635">
        <v>27</v>
      </c>
      <c r="E108" s="635" t="s">
        <v>1355</v>
      </c>
      <c r="F108" s="635" t="s">
        <v>1694</v>
      </c>
      <c r="G108" s="635" t="s">
        <v>1499</v>
      </c>
      <c r="H108" s="635" t="s">
        <v>1449</v>
      </c>
      <c r="I108" s="635" t="s">
        <v>1695</v>
      </c>
      <c r="J108" s="635"/>
      <c r="K108" s="635"/>
      <c r="L108" s="635"/>
      <c r="M108" s="635" t="s">
        <v>1365</v>
      </c>
      <c r="N108" s="635">
        <v>0</v>
      </c>
      <c r="O108" s="635"/>
      <c r="P108" s="635"/>
      <c r="Q108" s="635"/>
      <c r="R108" s="635"/>
      <c r="S108" s="635"/>
    </row>
    <row r="109" spans="1:19">
      <c r="A109" s="635">
        <v>1</v>
      </c>
      <c r="B109" s="635">
        <v>10</v>
      </c>
      <c r="C109" s="635">
        <v>1</v>
      </c>
      <c r="D109" s="635">
        <v>28</v>
      </c>
      <c r="E109" s="635" t="s">
        <v>1355</v>
      </c>
      <c r="F109" s="635" t="s">
        <v>1696</v>
      </c>
      <c r="G109" s="635" t="s">
        <v>1499</v>
      </c>
      <c r="H109" s="635" t="s">
        <v>1450</v>
      </c>
      <c r="I109" s="635" t="s">
        <v>1697</v>
      </c>
      <c r="J109" s="635"/>
      <c r="K109" s="635"/>
      <c r="L109" s="635"/>
      <c r="M109" s="635" t="s">
        <v>1365</v>
      </c>
      <c r="N109" s="635">
        <v>0</v>
      </c>
      <c r="O109" s="635"/>
      <c r="P109" s="635"/>
      <c r="Q109" s="635"/>
      <c r="R109" s="635"/>
      <c r="S109" s="635"/>
    </row>
    <row r="110" spans="1:19">
      <c r="A110" s="635">
        <v>1</v>
      </c>
      <c r="B110" s="635">
        <v>10</v>
      </c>
      <c r="C110" s="635">
        <v>1</v>
      </c>
      <c r="D110" s="635">
        <v>29</v>
      </c>
      <c r="E110" s="635" t="s">
        <v>1355</v>
      </c>
      <c r="F110" s="635" t="s">
        <v>1698</v>
      </c>
      <c r="G110" s="635" t="s">
        <v>1499</v>
      </c>
      <c r="H110" s="635" t="s">
        <v>1451</v>
      </c>
      <c r="I110" s="635" t="s">
        <v>1699</v>
      </c>
      <c r="J110" s="635"/>
      <c r="K110" s="635"/>
      <c r="L110" s="635"/>
      <c r="M110" s="635" t="s">
        <v>1365</v>
      </c>
      <c r="N110" s="635">
        <v>0</v>
      </c>
      <c r="O110" s="635"/>
      <c r="P110" s="635"/>
      <c r="Q110" s="635"/>
      <c r="R110" s="635"/>
      <c r="S110" s="635"/>
    </row>
    <row r="111" spans="1:19">
      <c r="A111" s="635">
        <v>1</v>
      </c>
      <c r="B111" s="635">
        <v>10</v>
      </c>
      <c r="C111" s="635">
        <v>1</v>
      </c>
      <c r="D111" s="635">
        <v>30</v>
      </c>
      <c r="E111" s="635" t="s">
        <v>1355</v>
      </c>
      <c r="F111" s="635" t="s">
        <v>1700</v>
      </c>
      <c r="G111" s="635" t="s">
        <v>1499</v>
      </c>
      <c r="H111" s="635" t="s">
        <v>1452</v>
      </c>
      <c r="I111" s="635" t="s">
        <v>1701</v>
      </c>
      <c r="J111" s="635"/>
      <c r="K111" s="635"/>
      <c r="L111" s="635"/>
      <c r="M111" s="635" t="s">
        <v>1365</v>
      </c>
      <c r="N111" s="635">
        <v>0</v>
      </c>
      <c r="O111" s="635"/>
      <c r="P111" s="635"/>
      <c r="Q111" s="635"/>
      <c r="R111" s="635"/>
      <c r="S111" s="635"/>
    </row>
    <row r="112" spans="1:19">
      <c r="A112" s="635">
        <v>1</v>
      </c>
      <c r="B112" s="635">
        <v>10</v>
      </c>
      <c r="C112" s="635">
        <v>1</v>
      </c>
      <c r="D112" s="635">
        <v>31</v>
      </c>
      <c r="E112" s="635" t="s">
        <v>1355</v>
      </c>
      <c r="F112" s="635" t="s">
        <v>1702</v>
      </c>
      <c r="G112" s="635" t="s">
        <v>1499</v>
      </c>
      <c r="H112" s="635" t="s">
        <v>1453</v>
      </c>
      <c r="I112" s="635" t="s">
        <v>1703</v>
      </c>
      <c r="J112" s="635"/>
      <c r="K112" s="635"/>
      <c r="L112" s="635"/>
      <c r="M112" s="635" t="s">
        <v>1365</v>
      </c>
      <c r="N112" s="635">
        <v>0</v>
      </c>
      <c r="O112" s="635"/>
      <c r="P112" s="635"/>
      <c r="Q112" s="635"/>
      <c r="R112" s="635"/>
      <c r="S112" s="635"/>
    </row>
    <row r="113" spans="1:19">
      <c r="A113" s="635">
        <v>1</v>
      </c>
      <c r="B113" s="635">
        <v>10</v>
      </c>
      <c r="C113" s="635">
        <v>1</v>
      </c>
      <c r="D113" s="635">
        <v>32</v>
      </c>
      <c r="E113" s="635" t="s">
        <v>1355</v>
      </c>
      <c r="F113" s="635" t="s">
        <v>1704</v>
      </c>
      <c r="G113" s="635" t="s">
        <v>1499</v>
      </c>
      <c r="H113" s="635" t="s">
        <v>1454</v>
      </c>
      <c r="I113" s="635" t="s">
        <v>1705</v>
      </c>
      <c r="J113" s="635"/>
      <c r="K113" s="635"/>
      <c r="L113" s="635"/>
      <c r="M113" s="635" t="s">
        <v>1365</v>
      </c>
      <c r="N113" s="635">
        <v>0</v>
      </c>
      <c r="O113" s="635"/>
      <c r="P113" s="635"/>
      <c r="Q113" s="635"/>
      <c r="R113" s="635"/>
      <c r="S113" s="635"/>
    </row>
    <row r="114" spans="1:19">
      <c r="A114" s="635">
        <v>1</v>
      </c>
      <c r="B114" s="635">
        <v>10</v>
      </c>
      <c r="C114" s="635">
        <v>1</v>
      </c>
      <c r="D114" s="635">
        <v>33</v>
      </c>
      <c r="E114" s="635" t="s">
        <v>1355</v>
      </c>
      <c r="F114" s="635" t="s">
        <v>1706</v>
      </c>
      <c r="G114" s="635" t="s">
        <v>1499</v>
      </c>
      <c r="H114" s="635" t="s">
        <v>1455</v>
      </c>
      <c r="I114" s="635" t="s">
        <v>1707</v>
      </c>
      <c r="J114" s="635"/>
      <c r="K114" s="635"/>
      <c r="L114" s="635"/>
      <c r="M114" s="635" t="s">
        <v>1365</v>
      </c>
      <c r="N114" s="635">
        <v>0</v>
      </c>
      <c r="O114" s="635"/>
      <c r="P114" s="635"/>
      <c r="Q114" s="635"/>
      <c r="R114" s="635"/>
      <c r="S114" s="635"/>
    </row>
    <row r="115" spans="1:19">
      <c r="A115" s="635">
        <v>1</v>
      </c>
      <c r="B115" s="635">
        <v>10</v>
      </c>
      <c r="C115" s="635">
        <v>1</v>
      </c>
      <c r="D115" s="635">
        <v>34</v>
      </c>
      <c r="E115" s="635" t="s">
        <v>1355</v>
      </c>
      <c r="F115" s="635" t="s">
        <v>1708</v>
      </c>
      <c r="G115" s="635" t="s">
        <v>1499</v>
      </c>
      <c r="H115" s="635" t="s">
        <v>1456</v>
      </c>
      <c r="I115" s="635" t="s">
        <v>1709</v>
      </c>
      <c r="J115" s="635"/>
      <c r="K115" s="635"/>
      <c r="L115" s="635"/>
      <c r="M115" s="635" t="s">
        <v>1365</v>
      </c>
      <c r="N115" s="635">
        <v>0</v>
      </c>
      <c r="O115" s="635"/>
      <c r="P115" s="635"/>
      <c r="Q115" s="635"/>
      <c r="R115" s="635"/>
      <c r="S115" s="635"/>
    </row>
    <row r="116" spans="1:19">
      <c r="A116" s="635">
        <v>1</v>
      </c>
      <c r="B116" s="635">
        <v>10</v>
      </c>
      <c r="C116" s="635">
        <v>1</v>
      </c>
      <c r="D116" s="635">
        <v>35</v>
      </c>
      <c r="E116" s="635" t="s">
        <v>1355</v>
      </c>
      <c r="F116" s="635" t="s">
        <v>1710</v>
      </c>
      <c r="G116" s="635" t="s">
        <v>1499</v>
      </c>
      <c r="H116" s="635" t="s">
        <v>1457</v>
      </c>
      <c r="I116" s="635" t="s">
        <v>1711</v>
      </c>
      <c r="J116" s="635"/>
      <c r="K116" s="635"/>
      <c r="L116" s="635"/>
      <c r="M116" s="635" t="s">
        <v>1365</v>
      </c>
      <c r="N116" s="635">
        <v>0</v>
      </c>
      <c r="O116" s="635"/>
      <c r="P116" s="635"/>
      <c r="Q116" s="635"/>
      <c r="R116" s="635"/>
      <c r="S116" s="635"/>
    </row>
    <row r="117" spans="1:19">
      <c r="A117" s="635">
        <v>1</v>
      </c>
      <c r="B117" s="635">
        <v>10</v>
      </c>
      <c r="C117" s="635">
        <v>1</v>
      </c>
      <c r="D117" s="635">
        <v>36</v>
      </c>
      <c r="E117" s="635" t="s">
        <v>1355</v>
      </c>
      <c r="F117" s="635" t="s">
        <v>1712</v>
      </c>
      <c r="G117" s="635" t="s">
        <v>1499</v>
      </c>
      <c r="H117" s="635" t="s">
        <v>1458</v>
      </c>
      <c r="I117" s="635" t="s">
        <v>1713</v>
      </c>
      <c r="J117" s="635"/>
      <c r="K117" s="635"/>
      <c r="L117" s="635"/>
      <c r="M117" s="635" t="s">
        <v>1365</v>
      </c>
      <c r="N117" s="635">
        <v>0</v>
      </c>
      <c r="O117" s="635"/>
      <c r="P117" s="635"/>
      <c r="Q117" s="635"/>
      <c r="R117" s="635"/>
      <c r="S117" s="635"/>
    </row>
    <row r="118" spans="1:19">
      <c r="A118" s="635">
        <v>1</v>
      </c>
      <c r="B118" s="635">
        <v>10</v>
      </c>
      <c r="C118" s="635">
        <v>1</v>
      </c>
      <c r="D118" s="635">
        <v>37</v>
      </c>
      <c r="E118" s="635" t="s">
        <v>1355</v>
      </c>
      <c r="F118" s="635" t="s">
        <v>1714</v>
      </c>
      <c r="G118" s="635" t="s">
        <v>1499</v>
      </c>
      <c r="H118" s="635" t="s">
        <v>1459</v>
      </c>
      <c r="I118" s="635" t="s">
        <v>1715</v>
      </c>
      <c r="J118" s="635"/>
      <c r="K118" s="635"/>
      <c r="L118" s="635"/>
      <c r="M118" s="635" t="s">
        <v>1365</v>
      </c>
      <c r="N118" s="635">
        <v>0</v>
      </c>
      <c r="O118" s="635"/>
      <c r="P118" s="635"/>
      <c r="Q118" s="635"/>
      <c r="R118" s="635"/>
      <c r="S118" s="635"/>
    </row>
    <row r="119" spans="1:19">
      <c r="A119" s="635">
        <v>1</v>
      </c>
      <c r="B119" s="635">
        <v>10</v>
      </c>
      <c r="C119" s="635">
        <v>1</v>
      </c>
      <c r="D119" s="635">
        <v>38</v>
      </c>
      <c r="E119" s="635" t="s">
        <v>1355</v>
      </c>
      <c r="F119" s="635" t="s">
        <v>1716</v>
      </c>
      <c r="G119" s="635" t="s">
        <v>1499</v>
      </c>
      <c r="H119" s="635" t="s">
        <v>1460</v>
      </c>
      <c r="I119" s="635" t="s">
        <v>1717</v>
      </c>
      <c r="J119" s="635"/>
      <c r="K119" s="635"/>
      <c r="L119" s="635"/>
      <c r="M119" s="635" t="s">
        <v>1365</v>
      </c>
      <c r="N119" s="635">
        <v>0</v>
      </c>
      <c r="O119" s="635"/>
      <c r="P119" s="635"/>
      <c r="Q119" s="635"/>
      <c r="R119" s="635"/>
      <c r="S119" s="635"/>
    </row>
    <row r="120" spans="1:19">
      <c r="A120" s="635">
        <v>1</v>
      </c>
      <c r="B120" s="635">
        <v>10</v>
      </c>
      <c r="C120" s="635">
        <v>1</v>
      </c>
      <c r="D120" s="635">
        <v>39</v>
      </c>
      <c r="E120" s="635" t="s">
        <v>1355</v>
      </c>
      <c r="F120" s="635" t="s">
        <v>1718</v>
      </c>
      <c r="G120" s="635" t="s">
        <v>1499</v>
      </c>
      <c r="H120" s="635" t="s">
        <v>1461</v>
      </c>
      <c r="I120" s="635" t="s">
        <v>1719</v>
      </c>
      <c r="J120" s="635"/>
      <c r="K120" s="635"/>
      <c r="L120" s="635"/>
      <c r="M120" s="635" t="s">
        <v>1365</v>
      </c>
      <c r="N120" s="635">
        <v>0</v>
      </c>
      <c r="O120" s="635"/>
      <c r="P120" s="635"/>
      <c r="Q120" s="635"/>
      <c r="R120" s="635"/>
      <c r="S120" s="635"/>
    </row>
    <row r="121" spans="1:19" s="631" customFormat="1" ht="12.75" customHeight="1">
      <c r="A121" s="636">
        <v>1</v>
      </c>
      <c r="B121" s="636">
        <v>10</v>
      </c>
      <c r="C121" s="636">
        <v>1</v>
      </c>
      <c r="D121" s="636">
        <v>40</v>
      </c>
      <c r="E121" s="636"/>
      <c r="F121" s="636"/>
      <c r="G121" s="636"/>
      <c r="H121" s="636"/>
      <c r="I121" s="636"/>
      <c r="J121" s="636"/>
      <c r="K121" s="636"/>
      <c r="L121" s="636"/>
      <c r="M121" s="636"/>
      <c r="N121" s="636"/>
      <c r="O121" s="636"/>
      <c r="P121" s="636"/>
      <c r="Q121" s="636"/>
      <c r="R121" s="636"/>
      <c r="S121" s="636"/>
    </row>
    <row r="122" spans="1:19" s="631" customFormat="1" ht="12.75" customHeight="1">
      <c r="A122" s="636">
        <v>1</v>
      </c>
      <c r="B122" s="636">
        <v>10</v>
      </c>
      <c r="C122" s="636">
        <v>1</v>
      </c>
      <c r="D122" s="636">
        <v>41</v>
      </c>
      <c r="E122" s="636"/>
      <c r="F122" s="636"/>
      <c r="G122" s="636"/>
      <c r="H122" s="636"/>
      <c r="I122" s="636"/>
      <c r="J122" s="636"/>
      <c r="K122" s="636"/>
      <c r="L122" s="636"/>
      <c r="M122" s="636"/>
      <c r="N122" s="636"/>
      <c r="O122" s="636"/>
      <c r="P122" s="636"/>
      <c r="Q122" s="636"/>
      <c r="R122" s="636"/>
      <c r="S122" s="636"/>
    </row>
    <row r="123" spans="1:19" s="631" customFormat="1" ht="12.75" customHeight="1">
      <c r="A123" s="636">
        <v>1</v>
      </c>
      <c r="B123" s="636">
        <v>10</v>
      </c>
      <c r="C123" s="636">
        <v>1</v>
      </c>
      <c r="D123" s="636">
        <v>42</v>
      </c>
      <c r="E123" s="636"/>
      <c r="F123" s="636"/>
      <c r="G123" s="636"/>
      <c r="H123" s="636"/>
      <c r="I123" s="636"/>
      <c r="J123" s="636"/>
      <c r="K123" s="636"/>
      <c r="L123" s="636"/>
      <c r="M123" s="636"/>
      <c r="N123" s="636"/>
      <c r="O123" s="636"/>
      <c r="P123" s="636"/>
      <c r="Q123" s="636"/>
      <c r="R123" s="636"/>
      <c r="S123" s="636"/>
    </row>
    <row r="124" spans="1:19" s="631" customFormat="1" ht="12.75" customHeight="1">
      <c r="A124" s="636">
        <v>1</v>
      </c>
      <c r="B124" s="636">
        <v>10</v>
      </c>
      <c r="C124" s="636">
        <v>1</v>
      </c>
      <c r="D124" s="636">
        <v>43</v>
      </c>
      <c r="E124" s="636"/>
      <c r="F124" s="636"/>
      <c r="G124" s="636"/>
      <c r="H124" s="636"/>
      <c r="I124" s="636"/>
      <c r="J124" s="636"/>
      <c r="K124" s="636"/>
      <c r="L124" s="636"/>
      <c r="M124" s="636"/>
      <c r="N124" s="636"/>
      <c r="O124" s="636"/>
      <c r="P124" s="636"/>
      <c r="Q124" s="636"/>
      <c r="R124" s="636"/>
      <c r="S124" s="636"/>
    </row>
    <row r="125" spans="1:19" s="631" customFormat="1" ht="12.75" customHeight="1">
      <c r="A125" s="636">
        <v>1</v>
      </c>
      <c r="B125" s="636">
        <v>10</v>
      </c>
      <c r="C125" s="636">
        <v>1</v>
      </c>
      <c r="D125" s="636">
        <v>44</v>
      </c>
      <c r="E125" s="636"/>
      <c r="F125" s="636"/>
      <c r="G125" s="636"/>
      <c r="H125" s="636"/>
      <c r="I125" s="636"/>
      <c r="J125" s="636"/>
      <c r="K125" s="636"/>
      <c r="L125" s="636"/>
      <c r="M125" s="636"/>
      <c r="N125" s="636"/>
      <c r="O125" s="636"/>
      <c r="P125" s="636"/>
      <c r="Q125" s="636"/>
      <c r="R125" s="636"/>
      <c r="S125" s="636"/>
    </row>
    <row r="126" spans="1:19" s="631" customFormat="1" ht="12.75" customHeight="1">
      <c r="A126" s="636">
        <v>1</v>
      </c>
      <c r="B126" s="636">
        <v>10</v>
      </c>
      <c r="C126" s="636">
        <v>1</v>
      </c>
      <c r="D126" s="636">
        <v>45</v>
      </c>
      <c r="E126" s="636"/>
      <c r="F126" s="636"/>
      <c r="G126" s="636"/>
      <c r="H126" s="636"/>
      <c r="I126" s="636"/>
      <c r="J126" s="636"/>
      <c r="K126" s="636"/>
      <c r="L126" s="636"/>
      <c r="M126" s="636"/>
      <c r="N126" s="636"/>
      <c r="O126" s="636"/>
      <c r="P126" s="636"/>
      <c r="Q126" s="636"/>
      <c r="R126" s="636"/>
      <c r="S126" s="636"/>
    </row>
    <row r="127" spans="1:19" s="631" customFormat="1" ht="12.75" customHeight="1">
      <c r="A127" s="636">
        <v>1</v>
      </c>
      <c r="B127" s="636">
        <v>10</v>
      </c>
      <c r="C127" s="636">
        <v>1</v>
      </c>
      <c r="D127" s="636">
        <v>46</v>
      </c>
      <c r="E127" s="636"/>
      <c r="F127" s="636"/>
      <c r="G127" s="636"/>
      <c r="H127" s="636"/>
      <c r="I127" s="636"/>
      <c r="J127" s="636"/>
      <c r="K127" s="636"/>
      <c r="L127" s="636"/>
      <c r="M127" s="636"/>
      <c r="N127" s="636"/>
      <c r="O127" s="636"/>
      <c r="P127" s="636"/>
      <c r="Q127" s="636"/>
      <c r="R127" s="636"/>
      <c r="S127" s="636"/>
    </row>
    <row r="128" spans="1:19" s="631" customFormat="1" ht="12.75" customHeight="1">
      <c r="A128" s="636">
        <v>1</v>
      </c>
      <c r="B128" s="636">
        <v>10</v>
      </c>
      <c r="C128" s="636">
        <v>1</v>
      </c>
      <c r="D128" s="636">
        <v>47</v>
      </c>
      <c r="E128" s="636"/>
      <c r="F128" s="636"/>
      <c r="G128" s="636"/>
      <c r="H128" s="636"/>
      <c r="I128" s="636"/>
      <c r="J128" s="636"/>
      <c r="K128" s="636"/>
      <c r="L128" s="636"/>
      <c r="M128" s="636"/>
      <c r="N128" s="636"/>
      <c r="O128" s="636"/>
      <c r="P128" s="636"/>
      <c r="Q128" s="636"/>
      <c r="R128" s="636"/>
      <c r="S128" s="636"/>
    </row>
    <row r="129" spans="1:19" s="631" customFormat="1" ht="12.75" customHeight="1">
      <c r="A129" s="636">
        <v>1</v>
      </c>
      <c r="B129" s="636">
        <v>10</v>
      </c>
      <c r="C129" s="636">
        <v>1</v>
      </c>
      <c r="D129" s="636">
        <v>48</v>
      </c>
      <c r="E129" s="636"/>
      <c r="F129" s="636"/>
      <c r="G129" s="636"/>
      <c r="H129" s="636"/>
      <c r="I129" s="636"/>
      <c r="J129" s="636"/>
      <c r="K129" s="636"/>
      <c r="L129" s="636"/>
      <c r="M129" s="636"/>
      <c r="N129" s="636"/>
      <c r="O129" s="636"/>
      <c r="P129" s="636"/>
      <c r="Q129" s="636"/>
      <c r="R129" s="636"/>
      <c r="S129" s="636"/>
    </row>
    <row r="130" spans="1:19" s="631" customFormat="1" ht="12.75" customHeight="1">
      <c r="A130" s="636">
        <v>1</v>
      </c>
      <c r="B130" s="636">
        <v>10</v>
      </c>
      <c r="C130" s="636">
        <v>1</v>
      </c>
      <c r="D130" s="636">
        <v>49</v>
      </c>
      <c r="E130" s="636"/>
      <c r="F130" s="636"/>
      <c r="G130" s="636"/>
      <c r="H130" s="636"/>
      <c r="I130" s="636"/>
      <c r="J130" s="636"/>
      <c r="K130" s="636"/>
      <c r="L130" s="636"/>
      <c r="M130" s="636"/>
      <c r="N130" s="636"/>
      <c r="O130" s="636"/>
      <c r="P130" s="636"/>
      <c r="Q130" s="636"/>
      <c r="R130" s="636"/>
      <c r="S130" s="636"/>
    </row>
    <row r="131" spans="1:19" s="631" customFormat="1" ht="12.75" customHeight="1">
      <c r="B131" s="499" t="s">
        <v>1337</v>
      </c>
      <c r="C131" s="590"/>
      <c r="D131" s="590"/>
      <c r="E131" s="590"/>
      <c r="F131" s="590"/>
      <c r="G131" s="590"/>
      <c r="H131" s="590"/>
      <c r="I131" s="590"/>
      <c r="J131" s="590"/>
      <c r="K131" s="590"/>
      <c r="L131" s="500"/>
      <c r="M131" s="590"/>
      <c r="N131" s="590"/>
      <c r="O131" s="590"/>
      <c r="P131" s="590"/>
      <c r="Q131" s="590"/>
      <c r="R131" s="590"/>
      <c r="S131" s="591"/>
    </row>
    <row r="132" spans="1:19" s="367" customFormat="1" ht="65.099999999999994" customHeight="1">
      <c r="A132" s="610"/>
      <c r="B132" s="611" t="s">
        <v>1221</v>
      </c>
      <c r="C132" s="611" t="s">
        <v>347</v>
      </c>
      <c r="D132" s="611" t="s">
        <v>384</v>
      </c>
      <c r="E132" s="611" t="s">
        <v>1222</v>
      </c>
      <c r="F132" s="611" t="s">
        <v>175</v>
      </c>
      <c r="G132" s="611" t="s">
        <v>385</v>
      </c>
      <c r="H132" s="611" t="s">
        <v>1223</v>
      </c>
      <c r="I132" s="611" t="s">
        <v>317</v>
      </c>
      <c r="J132" s="611" t="s">
        <v>1224</v>
      </c>
      <c r="K132" s="611" t="s">
        <v>1225</v>
      </c>
      <c r="L132" s="611" t="s">
        <v>287</v>
      </c>
      <c r="M132" s="611" t="s">
        <v>522</v>
      </c>
      <c r="N132" s="611" t="s">
        <v>1226</v>
      </c>
      <c r="O132" s="611" t="s">
        <v>1227</v>
      </c>
      <c r="P132" s="611" t="s">
        <v>1228</v>
      </c>
      <c r="Q132" s="611" t="s">
        <v>1229</v>
      </c>
      <c r="R132" s="611" t="s">
        <v>1230</v>
      </c>
      <c r="S132" s="611" t="s">
        <v>1236</v>
      </c>
    </row>
    <row r="133" spans="1:19">
      <c r="A133" s="632">
        <v>1</v>
      </c>
      <c r="B133" s="632">
        <v>13</v>
      </c>
      <c r="C133" s="632">
        <v>1</v>
      </c>
      <c r="D133" s="632">
        <v>1</v>
      </c>
      <c r="E133" s="632" t="s">
        <v>1357</v>
      </c>
      <c r="F133" s="632" t="s">
        <v>1758</v>
      </c>
      <c r="G133" s="632" t="s">
        <v>1499</v>
      </c>
      <c r="H133" s="632" t="s">
        <v>1481</v>
      </c>
      <c r="I133" s="632" t="s">
        <v>1759</v>
      </c>
      <c r="J133" s="632"/>
      <c r="K133" s="632"/>
      <c r="L133" s="632"/>
      <c r="M133" s="632" t="s">
        <v>1367</v>
      </c>
      <c r="N133" s="632">
        <v>0</v>
      </c>
      <c r="O133" s="632"/>
      <c r="P133" s="632"/>
      <c r="Q133" s="632"/>
      <c r="R133" s="632"/>
      <c r="S133" s="632"/>
    </row>
    <row r="134" spans="1:19">
      <c r="A134" s="635">
        <v>1</v>
      </c>
      <c r="B134" s="635">
        <v>13</v>
      </c>
      <c r="C134" s="635">
        <v>1</v>
      </c>
      <c r="D134" s="635">
        <v>2</v>
      </c>
      <c r="E134" s="635" t="s">
        <v>1357</v>
      </c>
      <c r="F134" s="635" t="s">
        <v>1760</v>
      </c>
      <c r="G134" s="635" t="s">
        <v>1499</v>
      </c>
      <c r="H134" s="635" t="s">
        <v>1482</v>
      </c>
      <c r="I134" s="635" t="s">
        <v>1761</v>
      </c>
      <c r="J134" s="635"/>
      <c r="K134" s="635"/>
      <c r="L134" s="635"/>
      <c r="M134" s="635" t="s">
        <v>1367</v>
      </c>
      <c r="N134" s="635">
        <v>0</v>
      </c>
      <c r="O134" s="635"/>
      <c r="P134" s="635"/>
      <c r="Q134" s="635"/>
      <c r="R134" s="635"/>
      <c r="S134" s="635"/>
    </row>
    <row r="135" spans="1:19">
      <c r="A135" s="635">
        <v>1</v>
      </c>
      <c r="B135" s="635">
        <v>13</v>
      </c>
      <c r="C135" s="635">
        <v>1</v>
      </c>
      <c r="D135" s="635">
        <v>3</v>
      </c>
      <c r="E135" s="635" t="s">
        <v>1357</v>
      </c>
      <c r="F135" s="635" t="s">
        <v>1762</v>
      </c>
      <c r="G135" s="635" t="s">
        <v>1499</v>
      </c>
      <c r="H135" s="635" t="s">
        <v>1483</v>
      </c>
      <c r="I135" s="635" t="s">
        <v>1763</v>
      </c>
      <c r="J135" s="635"/>
      <c r="K135" s="635"/>
      <c r="L135" s="635"/>
      <c r="M135" s="635" t="s">
        <v>1367</v>
      </c>
      <c r="N135" s="635">
        <v>0</v>
      </c>
      <c r="O135" s="635"/>
      <c r="P135" s="635"/>
      <c r="Q135" s="635"/>
      <c r="R135" s="635"/>
      <c r="S135" s="635"/>
    </row>
    <row r="136" spans="1:19">
      <c r="A136" s="635">
        <v>1</v>
      </c>
      <c r="B136" s="635">
        <v>13</v>
      </c>
      <c r="C136" s="635">
        <v>1</v>
      </c>
      <c r="D136" s="635">
        <v>4</v>
      </c>
      <c r="E136" s="635" t="s">
        <v>1357</v>
      </c>
      <c r="F136" s="635" t="s">
        <v>1764</v>
      </c>
      <c r="G136" s="635" t="s">
        <v>1499</v>
      </c>
      <c r="H136" s="635" t="s">
        <v>1484</v>
      </c>
      <c r="I136" s="635" t="s">
        <v>1765</v>
      </c>
      <c r="J136" s="635"/>
      <c r="K136" s="635"/>
      <c r="L136" s="635"/>
      <c r="M136" s="635" t="s">
        <v>1367</v>
      </c>
      <c r="N136" s="635">
        <v>0</v>
      </c>
      <c r="O136" s="635"/>
      <c r="P136" s="635"/>
      <c r="Q136" s="635"/>
      <c r="R136" s="635"/>
      <c r="S136" s="635"/>
    </row>
    <row r="137" spans="1:19">
      <c r="A137" s="635">
        <v>1</v>
      </c>
      <c r="B137" s="635">
        <v>13</v>
      </c>
      <c r="C137" s="635">
        <v>1</v>
      </c>
      <c r="D137" s="635">
        <v>5</v>
      </c>
      <c r="E137" s="635" t="s">
        <v>1357</v>
      </c>
      <c r="F137" s="635" t="s">
        <v>1766</v>
      </c>
      <c r="G137" s="635" t="s">
        <v>1499</v>
      </c>
      <c r="H137" s="635" t="s">
        <v>1485</v>
      </c>
      <c r="I137" s="635" t="s">
        <v>1767</v>
      </c>
      <c r="J137" s="635"/>
      <c r="K137" s="635"/>
      <c r="L137" s="635"/>
      <c r="M137" s="635" t="s">
        <v>1367</v>
      </c>
      <c r="N137" s="635">
        <v>0</v>
      </c>
      <c r="O137" s="635"/>
      <c r="P137" s="635"/>
      <c r="Q137" s="635"/>
      <c r="R137" s="635"/>
      <c r="S137" s="635"/>
    </row>
    <row r="138" spans="1:19">
      <c r="A138" s="635">
        <v>1</v>
      </c>
      <c r="B138" s="635">
        <v>13</v>
      </c>
      <c r="C138" s="635">
        <v>1</v>
      </c>
      <c r="D138" s="635">
        <v>6</v>
      </c>
      <c r="E138" s="635" t="s">
        <v>1357</v>
      </c>
      <c r="F138" s="635" t="s">
        <v>1768</v>
      </c>
      <c r="G138" s="635" t="s">
        <v>1499</v>
      </c>
      <c r="H138" s="635" t="s">
        <v>1486</v>
      </c>
      <c r="I138" s="635" t="s">
        <v>1769</v>
      </c>
      <c r="J138" s="635"/>
      <c r="K138" s="635"/>
      <c r="L138" s="635"/>
      <c r="M138" s="635" t="s">
        <v>1367</v>
      </c>
      <c r="N138" s="635">
        <v>0</v>
      </c>
      <c r="O138" s="635"/>
      <c r="P138" s="635"/>
      <c r="Q138" s="635"/>
      <c r="R138" s="635"/>
      <c r="S138" s="635"/>
    </row>
    <row r="139" spans="1:19">
      <c r="A139" s="635">
        <v>1</v>
      </c>
      <c r="B139" s="635">
        <v>13</v>
      </c>
      <c r="C139" s="635">
        <v>1</v>
      </c>
      <c r="D139" s="635">
        <v>7</v>
      </c>
      <c r="E139" s="635" t="s">
        <v>1357</v>
      </c>
      <c r="F139" s="635" t="s">
        <v>1770</v>
      </c>
      <c r="G139" s="635" t="s">
        <v>1499</v>
      </c>
      <c r="H139" s="635" t="s">
        <v>1487</v>
      </c>
      <c r="I139" s="635" t="s">
        <v>1771</v>
      </c>
      <c r="J139" s="635"/>
      <c r="K139" s="635"/>
      <c r="L139" s="635"/>
      <c r="M139" s="635" t="s">
        <v>1367</v>
      </c>
      <c r="N139" s="635">
        <v>0</v>
      </c>
      <c r="O139" s="635"/>
      <c r="P139" s="635"/>
      <c r="Q139" s="635"/>
      <c r="R139" s="635"/>
      <c r="S139" s="635"/>
    </row>
    <row r="140" spans="1:19">
      <c r="A140" s="635">
        <v>1</v>
      </c>
      <c r="B140" s="635">
        <v>13</v>
      </c>
      <c r="C140" s="635">
        <v>1</v>
      </c>
      <c r="D140" s="635">
        <v>8</v>
      </c>
      <c r="E140" s="635" t="s">
        <v>1357</v>
      </c>
      <c r="F140" s="635" t="s">
        <v>1772</v>
      </c>
      <c r="G140" s="635" t="s">
        <v>1499</v>
      </c>
      <c r="H140" s="635" t="s">
        <v>1488</v>
      </c>
      <c r="I140" s="635" t="s">
        <v>1773</v>
      </c>
      <c r="J140" s="635"/>
      <c r="K140" s="635"/>
      <c r="L140" s="635"/>
      <c r="M140" s="635" t="s">
        <v>1367</v>
      </c>
      <c r="N140" s="635">
        <v>0</v>
      </c>
      <c r="O140" s="635"/>
      <c r="P140" s="635"/>
      <c r="Q140" s="635"/>
      <c r="R140" s="635"/>
      <c r="S140" s="635"/>
    </row>
    <row r="141" spans="1:19">
      <c r="A141" s="635">
        <v>1</v>
      </c>
      <c r="B141" s="635">
        <v>13</v>
      </c>
      <c r="C141" s="635">
        <v>1</v>
      </c>
      <c r="D141" s="635">
        <v>9</v>
      </c>
      <c r="E141" s="635" t="s">
        <v>1357</v>
      </c>
      <c r="F141" s="635" t="s">
        <v>1774</v>
      </c>
      <c r="G141" s="635" t="s">
        <v>1499</v>
      </c>
      <c r="H141" s="635" t="s">
        <v>1489</v>
      </c>
      <c r="I141" s="635" t="s">
        <v>1775</v>
      </c>
      <c r="J141" s="635"/>
      <c r="K141" s="635"/>
      <c r="L141" s="635"/>
      <c r="M141" s="635" t="s">
        <v>1367</v>
      </c>
      <c r="N141" s="635">
        <v>0</v>
      </c>
      <c r="O141" s="635"/>
      <c r="P141" s="635"/>
      <c r="Q141" s="635"/>
      <c r="R141" s="635"/>
      <c r="S141" s="635"/>
    </row>
    <row r="142" spans="1:19">
      <c r="A142" s="635">
        <v>1</v>
      </c>
      <c r="B142" s="635">
        <v>13</v>
      </c>
      <c r="C142" s="635">
        <v>1</v>
      </c>
      <c r="D142" s="635">
        <v>10</v>
      </c>
      <c r="E142" s="635" t="s">
        <v>1357</v>
      </c>
      <c r="F142" s="635" t="s">
        <v>1776</v>
      </c>
      <c r="G142" s="635" t="s">
        <v>1499</v>
      </c>
      <c r="H142" s="635" t="s">
        <v>1490</v>
      </c>
      <c r="I142" s="635" t="s">
        <v>1777</v>
      </c>
      <c r="J142" s="635"/>
      <c r="K142" s="635"/>
      <c r="L142" s="635"/>
      <c r="M142" s="635" t="s">
        <v>1367</v>
      </c>
      <c r="N142" s="635">
        <v>0</v>
      </c>
      <c r="O142" s="635"/>
      <c r="P142" s="635"/>
      <c r="Q142" s="635"/>
      <c r="R142" s="635"/>
      <c r="S142" s="635"/>
    </row>
    <row r="143" spans="1:19">
      <c r="A143" s="635">
        <v>1</v>
      </c>
      <c r="B143" s="635">
        <v>13</v>
      </c>
      <c r="C143" s="635">
        <v>1</v>
      </c>
      <c r="D143" s="635">
        <v>11</v>
      </c>
      <c r="E143" s="635" t="s">
        <v>1357</v>
      </c>
      <c r="F143" s="635" t="s">
        <v>1778</v>
      </c>
      <c r="G143" s="635" t="s">
        <v>1499</v>
      </c>
      <c r="H143" s="635" t="s">
        <v>1491</v>
      </c>
      <c r="I143" s="635" t="s">
        <v>1779</v>
      </c>
      <c r="J143" s="635"/>
      <c r="K143" s="635"/>
      <c r="L143" s="635"/>
      <c r="M143" s="635" t="s">
        <v>1367</v>
      </c>
      <c r="N143" s="635">
        <v>0</v>
      </c>
      <c r="O143" s="635"/>
      <c r="P143" s="635"/>
      <c r="Q143" s="635"/>
      <c r="R143" s="635"/>
      <c r="S143" s="635"/>
    </row>
    <row r="144" spans="1:19">
      <c r="A144" s="635">
        <v>1</v>
      </c>
      <c r="B144" s="635">
        <v>13</v>
      </c>
      <c r="C144" s="635">
        <v>1</v>
      </c>
      <c r="D144" s="635">
        <v>12</v>
      </c>
      <c r="E144" s="635" t="s">
        <v>1357</v>
      </c>
      <c r="F144" s="635" t="s">
        <v>1780</v>
      </c>
      <c r="G144" s="635" t="s">
        <v>1499</v>
      </c>
      <c r="H144" s="635" t="s">
        <v>1492</v>
      </c>
      <c r="I144" s="635" t="s">
        <v>1781</v>
      </c>
      <c r="J144" s="635"/>
      <c r="K144" s="635"/>
      <c r="L144" s="635"/>
      <c r="M144" s="635" t="s">
        <v>1367</v>
      </c>
      <c r="N144" s="635">
        <v>0</v>
      </c>
      <c r="O144" s="635"/>
      <c r="P144" s="635"/>
      <c r="Q144" s="635"/>
      <c r="R144" s="635"/>
      <c r="S144" s="635"/>
    </row>
    <row r="145" spans="1:19">
      <c r="A145" s="635">
        <v>1</v>
      </c>
      <c r="B145" s="635">
        <v>13</v>
      </c>
      <c r="C145" s="635">
        <v>1</v>
      </c>
      <c r="D145" s="635">
        <v>13</v>
      </c>
      <c r="E145" s="635" t="s">
        <v>1357</v>
      </c>
      <c r="F145" s="635" t="s">
        <v>1782</v>
      </c>
      <c r="G145" s="635" t="s">
        <v>1499</v>
      </c>
      <c r="H145" s="635" t="s">
        <v>1493</v>
      </c>
      <c r="I145" s="635" t="s">
        <v>1783</v>
      </c>
      <c r="J145" s="635"/>
      <c r="K145" s="635"/>
      <c r="L145" s="635"/>
      <c r="M145" s="635" t="s">
        <v>1367</v>
      </c>
      <c r="N145" s="635">
        <v>0</v>
      </c>
      <c r="O145" s="635"/>
      <c r="P145" s="635"/>
      <c r="Q145" s="635"/>
      <c r="R145" s="635"/>
      <c r="S145" s="635"/>
    </row>
    <row r="146" spans="1:19">
      <c r="A146" s="635">
        <v>1</v>
      </c>
      <c r="B146" s="635">
        <v>13</v>
      </c>
      <c r="C146" s="635">
        <v>1</v>
      </c>
      <c r="D146" s="635">
        <v>14</v>
      </c>
      <c r="E146" s="635" t="s">
        <v>1357</v>
      </c>
      <c r="F146" s="635" t="s">
        <v>1784</v>
      </c>
      <c r="G146" s="635" t="s">
        <v>1499</v>
      </c>
      <c r="H146" s="635" t="s">
        <v>1494</v>
      </c>
      <c r="I146" s="635" t="s">
        <v>1785</v>
      </c>
      <c r="J146" s="635"/>
      <c r="K146" s="635"/>
      <c r="L146" s="635"/>
      <c r="M146" s="635" t="s">
        <v>1367</v>
      </c>
      <c r="N146" s="635">
        <v>0</v>
      </c>
      <c r="O146" s="635"/>
      <c r="P146" s="635"/>
      <c r="Q146" s="635"/>
      <c r="R146" s="635"/>
      <c r="S146" s="635"/>
    </row>
    <row r="147" spans="1:19">
      <c r="A147" s="635">
        <v>1</v>
      </c>
      <c r="B147" s="635">
        <v>13</v>
      </c>
      <c r="C147" s="635">
        <v>1</v>
      </c>
      <c r="D147" s="635">
        <v>15</v>
      </c>
      <c r="E147" s="635" t="s">
        <v>1357</v>
      </c>
      <c r="F147" s="635" t="s">
        <v>1786</v>
      </c>
      <c r="G147" s="635" t="s">
        <v>1499</v>
      </c>
      <c r="H147" s="635" t="s">
        <v>1495</v>
      </c>
      <c r="I147" s="635" t="s">
        <v>1787</v>
      </c>
      <c r="J147" s="635"/>
      <c r="K147" s="635"/>
      <c r="L147" s="635"/>
      <c r="M147" s="635" t="s">
        <v>1367</v>
      </c>
      <c r="N147" s="635">
        <v>0</v>
      </c>
      <c r="O147" s="635"/>
      <c r="P147" s="635"/>
      <c r="Q147" s="635"/>
      <c r="R147" s="635"/>
      <c r="S147" s="635"/>
    </row>
    <row r="148" spans="1:19">
      <c r="A148" s="635">
        <v>1</v>
      </c>
      <c r="B148" s="635">
        <v>13</v>
      </c>
      <c r="C148" s="635">
        <v>1</v>
      </c>
      <c r="D148" s="635">
        <v>16</v>
      </c>
      <c r="E148" s="635" t="s">
        <v>1357</v>
      </c>
      <c r="F148" s="635" t="s">
        <v>1788</v>
      </c>
      <c r="G148" s="635" t="s">
        <v>1499</v>
      </c>
      <c r="H148" s="635" t="s">
        <v>1496</v>
      </c>
      <c r="I148" s="635" t="s">
        <v>1789</v>
      </c>
      <c r="J148" s="635"/>
      <c r="K148" s="635"/>
      <c r="L148" s="635"/>
      <c r="M148" s="635" t="s">
        <v>1367</v>
      </c>
      <c r="N148" s="635">
        <v>0</v>
      </c>
      <c r="O148" s="635"/>
      <c r="P148" s="635"/>
      <c r="Q148" s="635"/>
      <c r="R148" s="635"/>
      <c r="S148" s="635"/>
    </row>
    <row r="149" spans="1:19">
      <c r="A149" s="635">
        <v>1</v>
      </c>
      <c r="B149" s="635">
        <v>13</v>
      </c>
      <c r="C149" s="635">
        <v>1</v>
      </c>
      <c r="D149" s="635">
        <v>17</v>
      </c>
      <c r="E149" s="635" t="s">
        <v>1357</v>
      </c>
      <c r="F149" s="635" t="s">
        <v>1790</v>
      </c>
      <c r="G149" s="635" t="s">
        <v>1499</v>
      </c>
      <c r="H149" s="635" t="s">
        <v>1497</v>
      </c>
      <c r="I149" s="635" t="s">
        <v>1791</v>
      </c>
      <c r="J149" s="635"/>
      <c r="K149" s="635"/>
      <c r="L149" s="635"/>
      <c r="M149" s="635" t="s">
        <v>1367</v>
      </c>
      <c r="N149" s="635">
        <v>0</v>
      </c>
      <c r="O149" s="635"/>
      <c r="P149" s="635"/>
      <c r="Q149" s="635"/>
      <c r="R149" s="635"/>
      <c r="S149" s="635"/>
    </row>
    <row r="150" spans="1:19" s="631" customFormat="1" ht="12.75" customHeight="1">
      <c r="A150" s="636">
        <v>1</v>
      </c>
      <c r="B150" s="636">
        <v>13</v>
      </c>
      <c r="C150" s="636">
        <v>1</v>
      </c>
      <c r="D150" s="636">
        <v>18</v>
      </c>
      <c r="E150" s="636"/>
      <c r="F150" s="636"/>
      <c r="G150" s="636"/>
      <c r="H150" s="636"/>
      <c r="I150" s="636"/>
      <c r="J150" s="636"/>
      <c r="K150" s="636"/>
      <c r="L150" s="636"/>
      <c r="M150" s="636"/>
      <c r="N150" s="636"/>
      <c r="O150" s="636"/>
      <c r="P150" s="636"/>
      <c r="Q150" s="636"/>
      <c r="R150" s="636"/>
      <c r="S150" s="636"/>
    </row>
    <row r="151" spans="1:19" s="631" customFormat="1" ht="12.75" customHeight="1">
      <c r="A151" s="636">
        <v>1</v>
      </c>
      <c r="B151" s="636">
        <v>13</v>
      </c>
      <c r="C151" s="636">
        <v>1</v>
      </c>
      <c r="D151" s="636">
        <v>19</v>
      </c>
      <c r="E151" s="636"/>
      <c r="F151" s="636"/>
      <c r="G151" s="636"/>
      <c r="H151" s="636"/>
      <c r="I151" s="636"/>
      <c r="J151" s="636"/>
      <c r="K151" s="636"/>
      <c r="L151" s="636"/>
      <c r="M151" s="636"/>
      <c r="N151" s="636"/>
      <c r="O151" s="636"/>
      <c r="P151" s="636"/>
      <c r="Q151" s="636"/>
      <c r="R151" s="636"/>
      <c r="S151" s="636"/>
    </row>
    <row r="152" spans="1:19" s="631" customFormat="1" ht="12.75" customHeight="1">
      <c r="A152" s="636">
        <v>1</v>
      </c>
      <c r="B152" s="636">
        <v>13</v>
      </c>
      <c r="C152" s="636">
        <v>1</v>
      </c>
      <c r="D152" s="636">
        <v>20</v>
      </c>
      <c r="E152" s="636"/>
      <c r="F152" s="636"/>
      <c r="G152" s="636"/>
      <c r="H152" s="636"/>
      <c r="I152" s="636"/>
      <c r="J152" s="636"/>
      <c r="K152" s="636"/>
      <c r="L152" s="636"/>
      <c r="M152" s="636"/>
      <c r="N152" s="636"/>
      <c r="O152" s="636"/>
      <c r="P152" s="636"/>
      <c r="Q152" s="636"/>
      <c r="R152" s="636"/>
      <c r="S152" s="636"/>
    </row>
    <row r="153" spans="1:19" s="631" customFormat="1" ht="12.75" customHeight="1">
      <c r="A153" s="636">
        <v>1</v>
      </c>
      <c r="B153" s="636">
        <v>13</v>
      </c>
      <c r="C153" s="636">
        <v>1</v>
      </c>
      <c r="D153" s="636">
        <v>21</v>
      </c>
      <c r="E153" s="636"/>
      <c r="F153" s="636"/>
      <c r="G153" s="636"/>
      <c r="H153" s="636"/>
      <c r="I153" s="636"/>
      <c r="J153" s="636"/>
      <c r="K153" s="636"/>
      <c r="L153" s="636"/>
      <c r="M153" s="636"/>
      <c r="N153" s="636"/>
      <c r="O153" s="636"/>
      <c r="P153" s="636"/>
      <c r="Q153" s="636"/>
      <c r="R153" s="636"/>
      <c r="S153" s="636"/>
    </row>
    <row r="154" spans="1:19" s="631" customFormat="1" ht="12.75" customHeight="1">
      <c r="A154" s="636">
        <v>1</v>
      </c>
      <c r="B154" s="636">
        <v>13</v>
      </c>
      <c r="C154" s="636">
        <v>1</v>
      </c>
      <c r="D154" s="636">
        <v>22</v>
      </c>
      <c r="E154" s="636"/>
      <c r="F154" s="636"/>
      <c r="G154" s="636"/>
      <c r="H154" s="636"/>
      <c r="I154" s="636"/>
      <c r="J154" s="636"/>
      <c r="K154" s="636"/>
      <c r="L154" s="636"/>
      <c r="M154" s="636"/>
      <c r="N154" s="636"/>
      <c r="O154" s="636"/>
      <c r="P154" s="636"/>
      <c r="Q154" s="636"/>
      <c r="R154" s="636"/>
      <c r="S154" s="636"/>
    </row>
    <row r="155" spans="1:19" s="631" customFormat="1" ht="12.75" customHeight="1">
      <c r="A155" s="636">
        <v>1</v>
      </c>
      <c r="B155" s="636">
        <v>13</v>
      </c>
      <c r="C155" s="636">
        <v>1</v>
      </c>
      <c r="D155" s="636">
        <v>23</v>
      </c>
      <c r="E155" s="636"/>
      <c r="F155" s="636"/>
      <c r="G155" s="636"/>
      <c r="H155" s="636"/>
      <c r="I155" s="636"/>
      <c r="J155" s="636"/>
      <c r="K155" s="636"/>
      <c r="L155" s="636"/>
      <c r="M155" s="636"/>
      <c r="N155" s="636"/>
      <c r="O155" s="636"/>
      <c r="P155" s="636"/>
      <c r="Q155" s="636"/>
      <c r="R155" s="636"/>
      <c r="S155" s="636"/>
    </row>
    <row r="156" spans="1:19" s="631" customFormat="1" ht="12.75" customHeight="1">
      <c r="A156" s="636">
        <v>1</v>
      </c>
      <c r="B156" s="636">
        <v>13</v>
      </c>
      <c r="C156" s="636">
        <v>1</v>
      </c>
      <c r="D156" s="636">
        <v>24</v>
      </c>
      <c r="E156" s="636"/>
      <c r="F156" s="636"/>
      <c r="G156" s="636"/>
      <c r="H156" s="636"/>
      <c r="I156" s="636"/>
      <c r="J156" s="636"/>
      <c r="K156" s="636"/>
      <c r="L156" s="636"/>
      <c r="M156" s="636"/>
      <c r="N156" s="636"/>
      <c r="O156" s="636"/>
      <c r="P156" s="636"/>
      <c r="Q156" s="636"/>
      <c r="R156" s="636"/>
      <c r="S156" s="636"/>
    </row>
    <row r="157" spans="1:19" s="631" customFormat="1" ht="12.75" customHeight="1">
      <c r="A157" s="636">
        <v>1</v>
      </c>
      <c r="B157" s="636">
        <v>13</v>
      </c>
      <c r="C157" s="636">
        <v>1</v>
      </c>
      <c r="D157" s="636">
        <v>25</v>
      </c>
      <c r="E157" s="636"/>
      <c r="F157" s="636"/>
      <c r="G157" s="636"/>
      <c r="H157" s="636"/>
      <c r="I157" s="636"/>
      <c r="J157" s="636"/>
      <c r="K157" s="636"/>
      <c r="L157" s="636"/>
      <c r="M157" s="636"/>
      <c r="N157" s="636"/>
      <c r="O157" s="636"/>
      <c r="P157" s="636"/>
      <c r="Q157" s="636"/>
      <c r="R157" s="636"/>
      <c r="S157" s="636"/>
    </row>
    <row r="158" spans="1:19" s="631" customFormat="1" ht="12.75" customHeight="1">
      <c r="A158" s="636">
        <v>1</v>
      </c>
      <c r="B158" s="636">
        <v>13</v>
      </c>
      <c r="C158" s="636">
        <v>1</v>
      </c>
      <c r="D158" s="636">
        <v>26</v>
      </c>
      <c r="E158" s="636"/>
      <c r="F158" s="636"/>
      <c r="G158" s="636"/>
      <c r="H158" s="636"/>
      <c r="I158" s="636"/>
      <c r="J158" s="636"/>
      <c r="K158" s="636"/>
      <c r="L158" s="636"/>
      <c r="M158" s="636"/>
      <c r="N158" s="636"/>
      <c r="O158" s="636"/>
      <c r="P158" s="636"/>
      <c r="Q158" s="636"/>
      <c r="R158" s="636"/>
      <c r="S158" s="636"/>
    </row>
    <row r="159" spans="1:19" s="631" customFormat="1" ht="12.75" customHeight="1">
      <c r="A159" s="636">
        <v>1</v>
      </c>
      <c r="B159" s="636">
        <v>13</v>
      </c>
      <c r="C159" s="636">
        <v>1</v>
      </c>
      <c r="D159" s="636">
        <v>27</v>
      </c>
      <c r="E159" s="636"/>
      <c r="F159" s="636"/>
      <c r="G159" s="636"/>
      <c r="H159" s="636"/>
      <c r="I159" s="636"/>
      <c r="J159" s="636"/>
      <c r="K159" s="636"/>
      <c r="L159" s="636"/>
      <c r="M159" s="636"/>
      <c r="N159" s="636"/>
      <c r="O159" s="636"/>
      <c r="P159" s="636"/>
      <c r="Q159" s="636"/>
      <c r="R159" s="636"/>
      <c r="S159" s="636"/>
    </row>
    <row r="160" spans="1:19" s="631" customFormat="1" ht="12.75" customHeight="1">
      <c r="B160" s="499" t="s">
        <v>1337</v>
      </c>
      <c r="C160" s="590"/>
      <c r="D160" s="590"/>
      <c r="E160" s="590"/>
      <c r="F160" s="590"/>
      <c r="G160" s="590"/>
      <c r="H160" s="590"/>
      <c r="I160" s="590"/>
      <c r="J160" s="590"/>
      <c r="K160" s="590"/>
      <c r="L160" s="500"/>
      <c r="M160" s="590"/>
      <c r="N160" s="590"/>
      <c r="O160" s="590"/>
      <c r="P160" s="590"/>
      <c r="Q160" s="590"/>
      <c r="R160" s="590"/>
      <c r="S160" s="591"/>
    </row>
    <row r="161" spans="1:19" s="367" customFormat="1" ht="65.099999999999994" customHeight="1">
      <c r="A161" s="610"/>
      <c r="B161" s="611" t="s">
        <v>1221</v>
      </c>
      <c r="C161" s="611" t="s">
        <v>347</v>
      </c>
      <c r="D161" s="611" t="s">
        <v>384</v>
      </c>
      <c r="E161" s="611" t="s">
        <v>1222</v>
      </c>
      <c r="F161" s="611" t="s">
        <v>175</v>
      </c>
      <c r="G161" s="611" t="s">
        <v>385</v>
      </c>
      <c r="H161" s="611" t="s">
        <v>1223</v>
      </c>
      <c r="I161" s="611" t="s">
        <v>317</v>
      </c>
      <c r="J161" s="611" t="s">
        <v>1224</v>
      </c>
      <c r="K161" s="611" t="s">
        <v>1225</v>
      </c>
      <c r="L161" s="611" t="s">
        <v>287</v>
      </c>
      <c r="M161" s="611" t="s">
        <v>522</v>
      </c>
      <c r="N161" s="611" t="s">
        <v>1226</v>
      </c>
      <c r="O161" s="611" t="s">
        <v>1227</v>
      </c>
      <c r="P161" s="611" t="s">
        <v>1228</v>
      </c>
      <c r="Q161" s="611" t="s">
        <v>1229</v>
      </c>
      <c r="R161" s="611" t="s">
        <v>1230</v>
      </c>
      <c r="S161" s="611" t="s">
        <v>1236</v>
      </c>
    </row>
    <row r="162" spans="1:19">
      <c r="A162" s="632">
        <v>1</v>
      </c>
      <c r="B162" s="632">
        <v>17</v>
      </c>
      <c r="C162" s="632">
        <v>1</v>
      </c>
      <c r="D162" s="632">
        <v>1</v>
      </c>
      <c r="E162" s="632" t="s">
        <v>1356</v>
      </c>
      <c r="F162" s="632" t="s">
        <v>1720</v>
      </c>
      <c r="G162" s="632" t="s">
        <v>1499</v>
      </c>
      <c r="H162" s="632" t="s">
        <v>1462</v>
      </c>
      <c r="I162" s="632" t="s">
        <v>1721</v>
      </c>
      <c r="J162" s="632"/>
      <c r="K162" s="632"/>
      <c r="L162" s="632"/>
      <c r="M162" s="632" t="s">
        <v>1366</v>
      </c>
      <c r="N162" s="632">
        <v>0</v>
      </c>
      <c r="O162" s="632"/>
      <c r="P162" s="632"/>
      <c r="Q162" s="632"/>
      <c r="R162" s="632"/>
      <c r="S162" s="632"/>
    </row>
    <row r="163" spans="1:19">
      <c r="A163" s="635">
        <v>1</v>
      </c>
      <c r="B163" s="635">
        <v>17</v>
      </c>
      <c r="C163" s="635">
        <v>1</v>
      </c>
      <c r="D163" s="635">
        <v>2</v>
      </c>
      <c r="E163" s="635" t="s">
        <v>1356</v>
      </c>
      <c r="F163" s="635" t="s">
        <v>1722</v>
      </c>
      <c r="G163" s="635" t="s">
        <v>1499</v>
      </c>
      <c r="H163" s="635" t="s">
        <v>1463</v>
      </c>
      <c r="I163" s="635" t="s">
        <v>1723</v>
      </c>
      <c r="J163" s="635"/>
      <c r="K163" s="635"/>
      <c r="L163" s="635"/>
      <c r="M163" s="635" t="s">
        <v>1366</v>
      </c>
      <c r="N163" s="635">
        <v>0</v>
      </c>
      <c r="O163" s="635"/>
      <c r="P163" s="635"/>
      <c r="Q163" s="635"/>
      <c r="R163" s="635"/>
      <c r="S163" s="635"/>
    </row>
    <row r="164" spans="1:19">
      <c r="A164" s="635">
        <v>1</v>
      </c>
      <c r="B164" s="635">
        <v>17</v>
      </c>
      <c r="C164" s="635">
        <v>1</v>
      </c>
      <c r="D164" s="635">
        <v>3</v>
      </c>
      <c r="E164" s="635" t="s">
        <v>1356</v>
      </c>
      <c r="F164" s="635" t="s">
        <v>1724</v>
      </c>
      <c r="G164" s="635" t="s">
        <v>1499</v>
      </c>
      <c r="H164" s="635" t="s">
        <v>1464</v>
      </c>
      <c r="I164" s="635" t="s">
        <v>1725</v>
      </c>
      <c r="J164" s="635"/>
      <c r="K164" s="635"/>
      <c r="L164" s="635"/>
      <c r="M164" s="635" t="s">
        <v>1366</v>
      </c>
      <c r="N164" s="635">
        <v>0</v>
      </c>
      <c r="O164" s="635"/>
      <c r="P164" s="635"/>
      <c r="Q164" s="635"/>
      <c r="R164" s="635"/>
      <c r="S164" s="635"/>
    </row>
    <row r="165" spans="1:19">
      <c r="A165" s="635">
        <v>1</v>
      </c>
      <c r="B165" s="635">
        <v>17</v>
      </c>
      <c r="C165" s="635">
        <v>1</v>
      </c>
      <c r="D165" s="635">
        <v>4</v>
      </c>
      <c r="E165" s="635" t="s">
        <v>1356</v>
      </c>
      <c r="F165" s="635" t="s">
        <v>1726</v>
      </c>
      <c r="G165" s="635" t="s">
        <v>1499</v>
      </c>
      <c r="H165" s="635" t="s">
        <v>1465</v>
      </c>
      <c r="I165" s="635" t="s">
        <v>1727</v>
      </c>
      <c r="J165" s="635"/>
      <c r="K165" s="635"/>
      <c r="L165" s="635"/>
      <c r="M165" s="635" t="s">
        <v>1366</v>
      </c>
      <c r="N165" s="635">
        <v>0</v>
      </c>
      <c r="O165" s="635"/>
      <c r="P165" s="635"/>
      <c r="Q165" s="635"/>
      <c r="R165" s="635"/>
      <c r="S165" s="635"/>
    </row>
    <row r="166" spans="1:19">
      <c r="A166" s="635">
        <v>1</v>
      </c>
      <c r="B166" s="635">
        <v>17</v>
      </c>
      <c r="C166" s="635">
        <v>1</v>
      </c>
      <c r="D166" s="635">
        <v>5</v>
      </c>
      <c r="E166" s="635" t="s">
        <v>1356</v>
      </c>
      <c r="F166" s="635" t="s">
        <v>1728</v>
      </c>
      <c r="G166" s="635" t="s">
        <v>1499</v>
      </c>
      <c r="H166" s="635" t="s">
        <v>1466</v>
      </c>
      <c r="I166" s="635" t="s">
        <v>1729</v>
      </c>
      <c r="J166" s="635"/>
      <c r="K166" s="635"/>
      <c r="L166" s="635"/>
      <c r="M166" s="635" t="s">
        <v>1366</v>
      </c>
      <c r="N166" s="635">
        <v>0</v>
      </c>
      <c r="O166" s="635"/>
      <c r="P166" s="635"/>
      <c r="Q166" s="635"/>
      <c r="R166" s="635"/>
      <c r="S166" s="635"/>
    </row>
    <row r="167" spans="1:19">
      <c r="A167" s="635">
        <v>1</v>
      </c>
      <c r="B167" s="635">
        <v>17</v>
      </c>
      <c r="C167" s="635">
        <v>1</v>
      </c>
      <c r="D167" s="635">
        <v>6</v>
      </c>
      <c r="E167" s="635" t="s">
        <v>1356</v>
      </c>
      <c r="F167" s="635" t="s">
        <v>1730</v>
      </c>
      <c r="G167" s="635" t="s">
        <v>1499</v>
      </c>
      <c r="H167" s="635" t="s">
        <v>1467</v>
      </c>
      <c r="I167" s="635" t="s">
        <v>1731</v>
      </c>
      <c r="J167" s="635"/>
      <c r="K167" s="635"/>
      <c r="L167" s="635"/>
      <c r="M167" s="635" t="s">
        <v>1366</v>
      </c>
      <c r="N167" s="635">
        <v>0</v>
      </c>
      <c r="O167" s="635"/>
      <c r="P167" s="635"/>
      <c r="Q167" s="635"/>
      <c r="R167" s="635"/>
      <c r="S167" s="635"/>
    </row>
    <row r="168" spans="1:19">
      <c r="A168" s="635">
        <v>1</v>
      </c>
      <c r="B168" s="635">
        <v>17</v>
      </c>
      <c r="C168" s="635">
        <v>1</v>
      </c>
      <c r="D168" s="635">
        <v>7</v>
      </c>
      <c r="E168" s="635" t="s">
        <v>1356</v>
      </c>
      <c r="F168" s="635" t="s">
        <v>1732</v>
      </c>
      <c r="G168" s="635" t="s">
        <v>1499</v>
      </c>
      <c r="H168" s="635" t="s">
        <v>1468</v>
      </c>
      <c r="I168" s="635" t="s">
        <v>1733</v>
      </c>
      <c r="J168" s="635"/>
      <c r="K168" s="635"/>
      <c r="L168" s="635"/>
      <c r="M168" s="635" t="s">
        <v>1366</v>
      </c>
      <c r="N168" s="635">
        <v>0</v>
      </c>
      <c r="O168" s="635"/>
      <c r="P168" s="635"/>
      <c r="Q168" s="635"/>
      <c r="R168" s="635"/>
      <c r="S168" s="635"/>
    </row>
    <row r="169" spans="1:19">
      <c r="A169" s="635">
        <v>1</v>
      </c>
      <c r="B169" s="635">
        <v>17</v>
      </c>
      <c r="C169" s="635">
        <v>1</v>
      </c>
      <c r="D169" s="635">
        <v>8</v>
      </c>
      <c r="E169" s="635" t="s">
        <v>1356</v>
      </c>
      <c r="F169" s="635" t="s">
        <v>1734</v>
      </c>
      <c r="G169" s="635" t="s">
        <v>1499</v>
      </c>
      <c r="H169" s="635" t="s">
        <v>1469</v>
      </c>
      <c r="I169" s="635" t="s">
        <v>1735</v>
      </c>
      <c r="J169" s="635"/>
      <c r="K169" s="635"/>
      <c r="L169" s="635"/>
      <c r="M169" s="635" t="s">
        <v>1366</v>
      </c>
      <c r="N169" s="635">
        <v>0</v>
      </c>
      <c r="O169" s="635"/>
      <c r="P169" s="635"/>
      <c r="Q169" s="635"/>
      <c r="R169" s="635"/>
      <c r="S169" s="635"/>
    </row>
    <row r="170" spans="1:19">
      <c r="A170" s="635">
        <v>1</v>
      </c>
      <c r="B170" s="635">
        <v>17</v>
      </c>
      <c r="C170" s="635">
        <v>1</v>
      </c>
      <c r="D170" s="635">
        <v>9</v>
      </c>
      <c r="E170" s="635" t="s">
        <v>1356</v>
      </c>
      <c r="F170" s="635" t="s">
        <v>1736</v>
      </c>
      <c r="G170" s="635" t="s">
        <v>1499</v>
      </c>
      <c r="H170" s="635" t="s">
        <v>1470</v>
      </c>
      <c r="I170" s="635" t="s">
        <v>1737</v>
      </c>
      <c r="J170" s="635"/>
      <c r="K170" s="635"/>
      <c r="L170" s="635"/>
      <c r="M170" s="635" t="s">
        <v>1366</v>
      </c>
      <c r="N170" s="635">
        <v>0</v>
      </c>
      <c r="O170" s="635"/>
      <c r="P170" s="635"/>
      <c r="Q170" s="635"/>
      <c r="R170" s="635"/>
      <c r="S170" s="635"/>
    </row>
    <row r="171" spans="1:19">
      <c r="A171" s="635">
        <v>1</v>
      </c>
      <c r="B171" s="635">
        <v>17</v>
      </c>
      <c r="C171" s="635">
        <v>1</v>
      </c>
      <c r="D171" s="635">
        <v>10</v>
      </c>
      <c r="E171" s="635" t="s">
        <v>1356</v>
      </c>
      <c r="F171" s="635" t="s">
        <v>1738</v>
      </c>
      <c r="G171" s="635" t="s">
        <v>1499</v>
      </c>
      <c r="H171" s="635" t="s">
        <v>1471</v>
      </c>
      <c r="I171" s="635" t="s">
        <v>1739</v>
      </c>
      <c r="J171" s="635"/>
      <c r="K171" s="635"/>
      <c r="L171" s="635"/>
      <c r="M171" s="635" t="s">
        <v>1366</v>
      </c>
      <c r="N171" s="635">
        <v>0</v>
      </c>
      <c r="O171" s="635"/>
      <c r="P171" s="635"/>
      <c r="Q171" s="635"/>
      <c r="R171" s="635"/>
      <c r="S171" s="635"/>
    </row>
    <row r="172" spans="1:19">
      <c r="A172" s="635">
        <v>1</v>
      </c>
      <c r="B172" s="635">
        <v>17</v>
      </c>
      <c r="C172" s="635">
        <v>1</v>
      </c>
      <c r="D172" s="635">
        <v>11</v>
      </c>
      <c r="E172" s="635" t="s">
        <v>1356</v>
      </c>
      <c r="F172" s="635" t="s">
        <v>1740</v>
      </c>
      <c r="G172" s="635" t="s">
        <v>1499</v>
      </c>
      <c r="H172" s="635" t="s">
        <v>1472</v>
      </c>
      <c r="I172" s="635" t="s">
        <v>1741</v>
      </c>
      <c r="J172" s="635"/>
      <c r="K172" s="635"/>
      <c r="L172" s="635"/>
      <c r="M172" s="635" t="s">
        <v>1366</v>
      </c>
      <c r="N172" s="635">
        <v>0</v>
      </c>
      <c r="O172" s="635"/>
      <c r="P172" s="635"/>
      <c r="Q172" s="635"/>
      <c r="R172" s="635"/>
      <c r="S172" s="635"/>
    </row>
    <row r="173" spans="1:19">
      <c r="A173" s="635">
        <v>1</v>
      </c>
      <c r="B173" s="635">
        <v>17</v>
      </c>
      <c r="C173" s="635">
        <v>1</v>
      </c>
      <c r="D173" s="635">
        <v>12</v>
      </c>
      <c r="E173" s="635" t="s">
        <v>1356</v>
      </c>
      <c r="F173" s="635" t="s">
        <v>1742</v>
      </c>
      <c r="G173" s="635" t="s">
        <v>1499</v>
      </c>
      <c r="H173" s="635" t="s">
        <v>1473</v>
      </c>
      <c r="I173" s="635" t="s">
        <v>1743</v>
      </c>
      <c r="J173" s="635"/>
      <c r="K173" s="635"/>
      <c r="L173" s="635"/>
      <c r="M173" s="635" t="s">
        <v>1366</v>
      </c>
      <c r="N173" s="635">
        <v>0</v>
      </c>
      <c r="O173" s="635"/>
      <c r="P173" s="635"/>
      <c r="Q173" s="635"/>
      <c r="R173" s="635"/>
      <c r="S173" s="635"/>
    </row>
    <row r="174" spans="1:19">
      <c r="A174" s="635">
        <v>1</v>
      </c>
      <c r="B174" s="635">
        <v>17</v>
      </c>
      <c r="C174" s="635">
        <v>1</v>
      </c>
      <c r="D174" s="635">
        <v>13</v>
      </c>
      <c r="E174" s="635" t="s">
        <v>1356</v>
      </c>
      <c r="F174" s="635" t="s">
        <v>1744</v>
      </c>
      <c r="G174" s="635" t="s">
        <v>1499</v>
      </c>
      <c r="H174" s="635" t="s">
        <v>1474</v>
      </c>
      <c r="I174" s="635" t="s">
        <v>1745</v>
      </c>
      <c r="J174" s="635"/>
      <c r="K174" s="635"/>
      <c r="L174" s="635"/>
      <c r="M174" s="635" t="s">
        <v>1366</v>
      </c>
      <c r="N174" s="635">
        <v>0</v>
      </c>
      <c r="O174" s="635"/>
      <c r="P174" s="635"/>
      <c r="Q174" s="635"/>
      <c r="R174" s="635"/>
      <c r="S174" s="635"/>
    </row>
    <row r="175" spans="1:19">
      <c r="A175" s="635">
        <v>1</v>
      </c>
      <c r="B175" s="635">
        <v>17</v>
      </c>
      <c r="C175" s="635">
        <v>1</v>
      </c>
      <c r="D175" s="635">
        <v>14</v>
      </c>
      <c r="E175" s="635" t="s">
        <v>1356</v>
      </c>
      <c r="F175" s="635" t="s">
        <v>1746</v>
      </c>
      <c r="G175" s="635" t="s">
        <v>1499</v>
      </c>
      <c r="H175" s="635" t="s">
        <v>1475</v>
      </c>
      <c r="I175" s="635" t="s">
        <v>1747</v>
      </c>
      <c r="J175" s="635"/>
      <c r="K175" s="635"/>
      <c r="L175" s="635"/>
      <c r="M175" s="635" t="s">
        <v>1366</v>
      </c>
      <c r="N175" s="635">
        <v>0</v>
      </c>
      <c r="O175" s="635"/>
      <c r="P175" s="635"/>
      <c r="Q175" s="635"/>
      <c r="R175" s="635"/>
      <c r="S175" s="635"/>
    </row>
    <row r="176" spans="1:19">
      <c r="A176" s="635">
        <v>1</v>
      </c>
      <c r="B176" s="635">
        <v>17</v>
      </c>
      <c r="C176" s="635">
        <v>1</v>
      </c>
      <c r="D176" s="635">
        <v>15</v>
      </c>
      <c r="E176" s="635" t="s">
        <v>1356</v>
      </c>
      <c r="F176" s="635" t="s">
        <v>1748</v>
      </c>
      <c r="G176" s="635" t="s">
        <v>1499</v>
      </c>
      <c r="H176" s="635" t="s">
        <v>1476</v>
      </c>
      <c r="I176" s="635" t="s">
        <v>1749</v>
      </c>
      <c r="J176" s="635"/>
      <c r="K176" s="635"/>
      <c r="L176" s="635"/>
      <c r="M176" s="635" t="s">
        <v>1366</v>
      </c>
      <c r="N176" s="635">
        <v>0</v>
      </c>
      <c r="O176" s="635"/>
      <c r="P176" s="635"/>
      <c r="Q176" s="635"/>
      <c r="R176" s="635"/>
      <c r="S176" s="635"/>
    </row>
    <row r="177" spans="1:19">
      <c r="A177" s="635">
        <v>1</v>
      </c>
      <c r="B177" s="635">
        <v>17</v>
      </c>
      <c r="C177" s="635">
        <v>1</v>
      </c>
      <c r="D177" s="635">
        <v>16</v>
      </c>
      <c r="E177" s="635" t="s">
        <v>1356</v>
      </c>
      <c r="F177" s="635" t="s">
        <v>1750</v>
      </c>
      <c r="G177" s="635" t="s">
        <v>1499</v>
      </c>
      <c r="H177" s="635" t="s">
        <v>1477</v>
      </c>
      <c r="I177" s="635" t="s">
        <v>1751</v>
      </c>
      <c r="J177" s="635"/>
      <c r="K177" s="635"/>
      <c r="L177" s="635"/>
      <c r="M177" s="635" t="s">
        <v>1366</v>
      </c>
      <c r="N177" s="635">
        <v>0</v>
      </c>
      <c r="O177" s="635"/>
      <c r="P177" s="635"/>
      <c r="Q177" s="635"/>
      <c r="R177" s="635"/>
      <c r="S177" s="635"/>
    </row>
    <row r="178" spans="1:19">
      <c r="A178" s="635">
        <v>1</v>
      </c>
      <c r="B178" s="635">
        <v>17</v>
      </c>
      <c r="C178" s="635">
        <v>1</v>
      </c>
      <c r="D178" s="635">
        <v>17</v>
      </c>
      <c r="E178" s="635" t="s">
        <v>1356</v>
      </c>
      <c r="F178" s="635" t="s">
        <v>1752</v>
      </c>
      <c r="G178" s="635" t="s">
        <v>1499</v>
      </c>
      <c r="H178" s="635" t="s">
        <v>1478</v>
      </c>
      <c r="I178" s="635" t="s">
        <v>1753</v>
      </c>
      <c r="J178" s="635"/>
      <c r="K178" s="635"/>
      <c r="L178" s="635"/>
      <c r="M178" s="635" t="s">
        <v>1366</v>
      </c>
      <c r="N178" s="635">
        <v>0</v>
      </c>
      <c r="O178" s="635"/>
      <c r="P178" s="635"/>
      <c r="Q178" s="635"/>
      <c r="R178" s="635"/>
      <c r="S178" s="635"/>
    </row>
    <row r="179" spans="1:19">
      <c r="A179" s="635">
        <v>1</v>
      </c>
      <c r="B179" s="635">
        <v>17</v>
      </c>
      <c r="C179" s="635">
        <v>1</v>
      </c>
      <c r="D179" s="635">
        <v>18</v>
      </c>
      <c r="E179" s="635" t="s">
        <v>1356</v>
      </c>
      <c r="F179" s="635" t="s">
        <v>1754</v>
      </c>
      <c r="G179" s="635" t="s">
        <v>1499</v>
      </c>
      <c r="H179" s="635" t="s">
        <v>1479</v>
      </c>
      <c r="I179" s="635" t="s">
        <v>1755</v>
      </c>
      <c r="J179" s="635"/>
      <c r="K179" s="635"/>
      <c r="L179" s="635"/>
      <c r="M179" s="635" t="s">
        <v>1366</v>
      </c>
      <c r="N179" s="635">
        <v>0</v>
      </c>
      <c r="O179" s="635"/>
      <c r="P179" s="635"/>
      <c r="Q179" s="635"/>
      <c r="R179" s="635"/>
      <c r="S179" s="635"/>
    </row>
    <row r="180" spans="1:19">
      <c r="A180" s="635">
        <v>1</v>
      </c>
      <c r="B180" s="635">
        <v>17</v>
      </c>
      <c r="C180" s="635">
        <v>1</v>
      </c>
      <c r="D180" s="635">
        <v>19</v>
      </c>
      <c r="E180" s="635" t="s">
        <v>1356</v>
      </c>
      <c r="F180" s="635" t="s">
        <v>1756</v>
      </c>
      <c r="G180" s="635" t="s">
        <v>1499</v>
      </c>
      <c r="H180" s="635" t="s">
        <v>1480</v>
      </c>
      <c r="I180" s="635" t="s">
        <v>1757</v>
      </c>
      <c r="J180" s="635"/>
      <c r="K180" s="635"/>
      <c r="L180" s="635"/>
      <c r="M180" s="635" t="s">
        <v>1366</v>
      </c>
      <c r="N180" s="635">
        <v>0</v>
      </c>
      <c r="O180" s="635"/>
      <c r="P180" s="635"/>
      <c r="Q180" s="635"/>
      <c r="R180" s="635"/>
      <c r="S180" s="635"/>
    </row>
    <row r="181" spans="1:19" s="631" customFormat="1" ht="12.75" customHeight="1">
      <c r="A181" s="636">
        <v>1</v>
      </c>
      <c r="B181" s="636">
        <v>17</v>
      </c>
      <c r="C181" s="636">
        <v>1</v>
      </c>
      <c r="D181" s="636">
        <v>20</v>
      </c>
      <c r="E181" s="636"/>
      <c r="F181" s="636"/>
      <c r="G181" s="636"/>
      <c r="H181" s="636"/>
      <c r="I181" s="636"/>
      <c r="J181" s="636"/>
      <c r="K181" s="636"/>
      <c r="L181" s="636"/>
      <c r="M181" s="636"/>
      <c r="N181" s="636"/>
      <c r="O181" s="636"/>
      <c r="P181" s="636"/>
      <c r="Q181" s="636"/>
      <c r="R181" s="636"/>
      <c r="S181" s="636"/>
    </row>
    <row r="182" spans="1:19" s="631" customFormat="1" ht="12.75" customHeight="1">
      <c r="A182" s="636">
        <v>1</v>
      </c>
      <c r="B182" s="636">
        <v>17</v>
      </c>
      <c r="C182" s="636">
        <v>1</v>
      </c>
      <c r="D182" s="636">
        <v>21</v>
      </c>
      <c r="E182" s="636"/>
      <c r="F182" s="636"/>
      <c r="G182" s="636"/>
      <c r="H182" s="636"/>
      <c r="I182" s="636"/>
      <c r="J182" s="636"/>
      <c r="K182" s="636"/>
      <c r="L182" s="636"/>
      <c r="M182" s="636"/>
      <c r="N182" s="636"/>
      <c r="O182" s="636"/>
      <c r="P182" s="636"/>
      <c r="Q182" s="636"/>
      <c r="R182" s="636"/>
      <c r="S182" s="636"/>
    </row>
    <row r="183" spans="1:19" s="631" customFormat="1" ht="12.75" customHeight="1">
      <c r="A183" s="636">
        <v>1</v>
      </c>
      <c r="B183" s="636">
        <v>17</v>
      </c>
      <c r="C183" s="636">
        <v>1</v>
      </c>
      <c r="D183" s="636">
        <v>22</v>
      </c>
      <c r="E183" s="636"/>
      <c r="F183" s="636"/>
      <c r="G183" s="636"/>
      <c r="H183" s="636"/>
      <c r="I183" s="636"/>
      <c r="J183" s="636"/>
      <c r="K183" s="636"/>
      <c r="L183" s="636"/>
      <c r="M183" s="636"/>
      <c r="N183" s="636"/>
      <c r="O183" s="636"/>
      <c r="P183" s="636"/>
      <c r="Q183" s="636"/>
      <c r="R183" s="636"/>
      <c r="S183" s="636"/>
    </row>
    <row r="184" spans="1:19" s="631" customFormat="1" ht="12.75" customHeight="1">
      <c r="A184" s="636">
        <v>1</v>
      </c>
      <c r="B184" s="636">
        <v>17</v>
      </c>
      <c r="C184" s="636">
        <v>1</v>
      </c>
      <c r="D184" s="636">
        <v>23</v>
      </c>
      <c r="E184" s="636"/>
      <c r="F184" s="636"/>
      <c r="G184" s="636"/>
      <c r="H184" s="636"/>
      <c r="I184" s="636"/>
      <c r="J184" s="636"/>
      <c r="K184" s="636"/>
      <c r="L184" s="636"/>
      <c r="M184" s="636"/>
      <c r="N184" s="636"/>
      <c r="O184" s="636"/>
      <c r="P184" s="636"/>
      <c r="Q184" s="636"/>
      <c r="R184" s="636"/>
      <c r="S184" s="636"/>
    </row>
    <row r="185" spans="1:19" s="631" customFormat="1" ht="12.75" customHeight="1">
      <c r="A185" s="636">
        <v>1</v>
      </c>
      <c r="B185" s="636">
        <v>17</v>
      </c>
      <c r="C185" s="636">
        <v>1</v>
      </c>
      <c r="D185" s="636">
        <v>24</v>
      </c>
      <c r="E185" s="636"/>
      <c r="F185" s="636"/>
      <c r="G185" s="636"/>
      <c r="H185" s="636"/>
      <c r="I185" s="636"/>
      <c r="J185" s="636"/>
      <c r="K185" s="636"/>
      <c r="L185" s="636"/>
      <c r="M185" s="636"/>
      <c r="N185" s="636"/>
      <c r="O185" s="636"/>
      <c r="P185" s="636"/>
      <c r="Q185" s="636"/>
      <c r="R185" s="636"/>
      <c r="S185" s="636"/>
    </row>
    <row r="186" spans="1:19" s="631" customFormat="1" ht="12.75" customHeight="1">
      <c r="A186" s="636">
        <v>1</v>
      </c>
      <c r="B186" s="636">
        <v>17</v>
      </c>
      <c r="C186" s="636">
        <v>1</v>
      </c>
      <c r="D186" s="636">
        <v>25</v>
      </c>
      <c r="E186" s="636"/>
      <c r="F186" s="636"/>
      <c r="G186" s="636"/>
      <c r="H186" s="636"/>
      <c r="I186" s="636"/>
      <c r="J186" s="636"/>
      <c r="K186" s="636"/>
      <c r="L186" s="636"/>
      <c r="M186" s="636"/>
      <c r="N186" s="636"/>
      <c r="O186" s="636"/>
      <c r="P186" s="636"/>
      <c r="Q186" s="636"/>
      <c r="R186" s="636"/>
      <c r="S186" s="636"/>
    </row>
    <row r="187" spans="1:19" s="631" customFormat="1" ht="12.75" customHeight="1">
      <c r="A187" s="636">
        <v>1</v>
      </c>
      <c r="B187" s="636">
        <v>17</v>
      </c>
      <c r="C187" s="636">
        <v>1</v>
      </c>
      <c r="D187" s="636">
        <v>26</v>
      </c>
      <c r="E187" s="636"/>
      <c r="F187" s="636"/>
      <c r="G187" s="636"/>
      <c r="H187" s="636"/>
      <c r="I187" s="636"/>
      <c r="J187" s="636"/>
      <c r="K187" s="636"/>
      <c r="L187" s="636"/>
      <c r="M187" s="636"/>
      <c r="N187" s="636"/>
      <c r="O187" s="636"/>
      <c r="P187" s="636"/>
      <c r="Q187" s="636"/>
      <c r="R187" s="636"/>
      <c r="S187" s="636"/>
    </row>
    <row r="188" spans="1:19" s="631" customFormat="1" ht="12.75" customHeight="1">
      <c r="A188" s="636">
        <v>1</v>
      </c>
      <c r="B188" s="636">
        <v>17</v>
      </c>
      <c r="C188" s="636">
        <v>1</v>
      </c>
      <c r="D188" s="636">
        <v>27</v>
      </c>
      <c r="E188" s="636"/>
      <c r="F188" s="636"/>
      <c r="G188" s="636"/>
      <c r="H188" s="636"/>
      <c r="I188" s="636"/>
      <c r="J188" s="636"/>
      <c r="K188" s="636"/>
      <c r="L188" s="636"/>
      <c r="M188" s="636"/>
      <c r="N188" s="636"/>
      <c r="O188" s="636"/>
      <c r="P188" s="636"/>
      <c r="Q188" s="636"/>
      <c r="R188" s="636"/>
      <c r="S188" s="636"/>
    </row>
    <row r="189" spans="1:19" s="631" customFormat="1" ht="12.75" customHeight="1">
      <c r="A189" s="636">
        <v>1</v>
      </c>
      <c r="B189" s="636">
        <v>17</v>
      </c>
      <c r="C189" s="636">
        <v>1</v>
      </c>
      <c r="D189" s="636">
        <v>28</v>
      </c>
      <c r="E189" s="636"/>
      <c r="F189" s="636"/>
      <c r="G189" s="636"/>
      <c r="H189" s="636"/>
      <c r="I189" s="636"/>
      <c r="J189" s="636"/>
      <c r="K189" s="636"/>
      <c r="L189" s="636"/>
      <c r="M189" s="636"/>
      <c r="N189" s="636"/>
      <c r="O189" s="636"/>
      <c r="P189" s="636"/>
      <c r="Q189" s="636"/>
      <c r="R189" s="636"/>
      <c r="S189" s="636"/>
    </row>
    <row r="190" spans="1:19" s="631" customFormat="1" ht="12.75" customHeight="1">
      <c r="A190" s="637">
        <v>1</v>
      </c>
      <c r="B190" s="637">
        <v>17</v>
      </c>
      <c r="C190" s="637">
        <v>1</v>
      </c>
      <c r="D190" s="637">
        <v>29</v>
      </c>
      <c r="E190" s="637"/>
      <c r="F190" s="637"/>
      <c r="G190" s="637"/>
      <c r="H190" s="637"/>
      <c r="I190" s="637"/>
      <c r="J190" s="637"/>
      <c r="K190" s="637"/>
      <c r="L190" s="637"/>
      <c r="M190" s="637"/>
      <c r="N190" s="637"/>
      <c r="O190" s="637"/>
      <c r="P190" s="637"/>
      <c r="Q190" s="637"/>
      <c r="R190" s="637"/>
      <c r="S190" s="637"/>
    </row>
  </sheetData>
  <sortState ref="A1:S130">
    <sortCondition ref="B1"/>
    <sortCondition ref="C1"/>
    <sortCondition ref="D1"/>
  </sortState>
  <dataConsolidate/>
  <phoneticPr fontId="12" type="noConversion"/>
  <printOptions horizontalCentered="1"/>
  <pageMargins left="0.75" right="0.75" top="1" bottom="1" header="0.5" footer="0.5"/>
  <pageSetup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indexed="42"/>
    <pageSetUpPr fitToPage="1"/>
  </sheetPr>
  <dimension ref="A1:BF138"/>
  <sheetViews>
    <sheetView showGridLines="0" zoomScale="85" zoomScaleNormal="85" zoomScaleSheetLayoutView="50" workbookViewId="0">
      <pane xSplit="1" topLeftCell="B1" activePane="topRight" state="frozen"/>
      <selection pane="topRight" activeCell="C3" sqref="C3"/>
    </sheetView>
  </sheetViews>
  <sheetFormatPr defaultRowHeight="18" customHeight="1"/>
  <cols>
    <col min="1" max="1" width="13.42578125" style="12" bestFit="1" customWidth="1"/>
    <col min="2" max="2" width="21.28515625" style="15" bestFit="1" customWidth="1"/>
    <col min="3" max="3" width="24.5703125" style="15" bestFit="1" customWidth="1"/>
    <col min="4" max="4" width="6.140625" style="26" customWidth="1"/>
    <col min="5" max="5" width="6" style="26" customWidth="1"/>
    <col min="6" max="6" width="6.7109375" style="26" customWidth="1"/>
    <col min="7" max="7" width="7" style="26" customWidth="1"/>
    <col min="8" max="8" width="6.140625" style="24" customWidth="1"/>
    <col min="9" max="9" width="12.5703125" style="21" customWidth="1"/>
    <col min="10" max="10" width="12.140625" style="26" customWidth="1"/>
    <col min="11" max="13" width="8.7109375" style="26" hidden="1" customWidth="1"/>
    <col min="14" max="14" width="10.85546875" style="26" hidden="1" customWidth="1"/>
    <col min="15" max="16" width="10.42578125" style="26" hidden="1" customWidth="1"/>
    <col min="17" max="17" width="10.42578125" style="259" customWidth="1"/>
    <col min="18" max="18" width="13.7109375" style="23" customWidth="1"/>
    <col min="19" max="19" width="13.7109375" style="23" hidden="1" customWidth="1"/>
    <col min="20" max="20" width="13.28515625" style="23" customWidth="1"/>
    <col min="21" max="21" width="13.5703125" style="23" customWidth="1"/>
    <col min="22" max="22" width="8" style="21" bestFit="1" customWidth="1"/>
    <col min="23" max="23" width="7.5703125" style="21" bestFit="1" customWidth="1"/>
    <col min="24" max="24" width="6.28515625" style="21" customWidth="1"/>
    <col min="25" max="25" width="13.85546875" style="21" hidden="1" customWidth="1"/>
    <col min="26" max="26" width="10.85546875" style="21" hidden="1" customWidth="1"/>
    <col min="27" max="27" width="13.5703125" style="21" hidden="1" customWidth="1"/>
    <col min="28" max="28" width="11.85546875" style="21" hidden="1" customWidth="1"/>
    <col min="29" max="29" width="16.42578125" style="21" hidden="1" customWidth="1"/>
    <col min="30" max="30" width="15.85546875" style="15" bestFit="1" customWidth="1"/>
    <col min="31" max="31" width="10.7109375" style="248" hidden="1" customWidth="1"/>
    <col min="32" max="32" width="11.85546875" style="248" hidden="1" customWidth="1"/>
    <col min="33" max="33" width="21.5703125" style="242" hidden="1" customWidth="1"/>
    <col min="34" max="34" width="12.140625" style="244" hidden="1" customWidth="1"/>
    <col min="35" max="36" width="10.140625" style="21" hidden="1" customWidth="1"/>
    <col min="37" max="37" width="8.42578125" style="21" hidden="1" customWidth="1"/>
    <col min="38" max="38" width="6.85546875" style="21" hidden="1" customWidth="1"/>
    <col min="39" max="39" width="10.28515625" style="21" hidden="1" customWidth="1"/>
    <col min="40" max="40" width="11.28515625" style="21" hidden="1" customWidth="1"/>
    <col min="41" max="41" width="11.42578125" style="21" hidden="1" customWidth="1"/>
    <col min="42" max="42" width="10.140625" style="21" hidden="1" customWidth="1"/>
    <col min="43" max="43" width="9.7109375" style="21" hidden="1" customWidth="1"/>
    <col min="44" max="44" width="20.7109375" style="123" hidden="1" customWidth="1"/>
    <col min="45" max="45" width="13" style="21" customWidth="1"/>
    <col min="46" max="46" width="24" style="294" hidden="1" customWidth="1"/>
    <col min="47" max="47" width="24.42578125" style="294" hidden="1" customWidth="1"/>
    <col min="48" max="48" width="6.5703125" style="21" customWidth="1"/>
    <col min="49" max="49" width="24.5703125" style="123" customWidth="1"/>
    <col min="50" max="50" width="7.7109375" style="123" customWidth="1"/>
    <col min="51" max="51" width="7.7109375" style="21" customWidth="1"/>
    <col min="52" max="52" width="10.28515625" style="27" customWidth="1"/>
    <col min="53" max="54" width="9.140625" style="27"/>
    <col min="55" max="55" width="23.140625" style="27" customWidth="1"/>
    <col min="56" max="57" width="9.140625" style="27" customWidth="1"/>
    <col min="58" max="58" width="15.28515625" style="15" customWidth="1"/>
    <col min="59" max="16384" width="9.140625" style="27"/>
  </cols>
  <sheetData>
    <row r="1" spans="1:58" ht="18" customHeight="1">
      <c r="A1" s="209"/>
      <c r="B1" s="304" t="s">
        <v>509</v>
      </c>
      <c r="C1" s="305" t="s">
        <v>1352</v>
      </c>
      <c r="D1" s="564"/>
      <c r="E1" s="564"/>
      <c r="F1" s="564"/>
      <c r="G1" s="306"/>
      <c r="H1" s="307"/>
      <c r="I1" s="29"/>
      <c r="J1" s="307"/>
      <c r="K1" s="307"/>
      <c r="L1" s="307"/>
      <c r="M1" s="307"/>
      <c r="N1" s="307"/>
      <c r="O1" s="307"/>
      <c r="P1" s="307"/>
      <c r="Q1" s="308"/>
      <c r="R1" s="309"/>
      <c r="S1" s="309"/>
      <c r="T1" s="498" t="s">
        <v>1323</v>
      </c>
      <c r="U1" s="309"/>
      <c r="V1" s="309"/>
      <c r="W1" s="29"/>
      <c r="X1" s="29"/>
      <c r="Y1" s="29"/>
      <c r="Z1" s="29"/>
      <c r="AA1" s="29"/>
      <c r="AB1" s="29"/>
      <c r="AC1" s="29"/>
      <c r="AD1" s="301"/>
      <c r="AE1" s="310"/>
      <c r="AF1" s="301"/>
      <c r="AG1" s="301"/>
      <c r="AH1" s="301"/>
      <c r="AI1" s="301"/>
      <c r="AJ1" s="301"/>
      <c r="AK1" s="301"/>
      <c r="AL1" s="301"/>
      <c r="AM1" s="301"/>
      <c r="AN1" s="302"/>
      <c r="AO1" s="301"/>
      <c r="AP1" s="302"/>
      <c r="AQ1" s="301"/>
      <c r="AR1" s="301"/>
      <c r="AS1" s="301"/>
      <c r="AT1" s="327"/>
      <c r="AU1" s="327"/>
      <c r="AV1" s="29"/>
      <c r="AW1" s="627" t="s">
        <v>1259</v>
      </c>
      <c r="AX1" s="293"/>
      <c r="AY1" s="258"/>
      <c r="AZ1" s="258"/>
      <c r="BF1" s="258"/>
    </row>
    <row r="2" spans="1:58" ht="18" customHeight="1">
      <c r="B2" s="311" t="s">
        <v>510</v>
      </c>
      <c r="C2" s="563">
        <f ca="1">NOW()</f>
        <v>43403.540044097223</v>
      </c>
      <c r="D2" s="562"/>
      <c r="E2" s="562"/>
      <c r="F2" s="562"/>
      <c r="G2" s="163"/>
      <c r="H2" s="312" t="s">
        <v>1195</v>
      </c>
      <c r="I2" s="18"/>
      <c r="J2" s="312"/>
      <c r="K2" s="312"/>
      <c r="L2" s="312"/>
      <c r="M2" s="312"/>
      <c r="N2" s="312"/>
      <c r="O2" s="312"/>
      <c r="P2" s="312"/>
      <c r="Q2" s="313"/>
      <c r="R2" s="314" t="s">
        <v>5</v>
      </c>
      <c r="S2" s="314"/>
      <c r="T2" s="314" t="s">
        <v>1324</v>
      </c>
      <c r="U2" s="314"/>
      <c r="V2" s="18"/>
      <c r="W2" s="18"/>
      <c r="X2" s="18"/>
      <c r="Y2" s="18"/>
      <c r="Z2" s="18"/>
      <c r="AA2" s="18"/>
      <c r="AB2" s="18"/>
      <c r="AC2" s="18"/>
      <c r="AD2" s="13"/>
      <c r="AE2" s="247"/>
      <c r="AF2" s="247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327"/>
      <c r="AU2" s="327"/>
      <c r="AV2" s="18"/>
      <c r="AW2" s="292" t="s">
        <v>1214</v>
      </c>
      <c r="AY2" s="291"/>
      <c r="AZ2" s="331"/>
      <c r="BA2" s="329"/>
      <c r="BF2" s="290"/>
    </row>
    <row r="3" spans="1:58" ht="18" customHeight="1">
      <c r="A3" s="16"/>
      <c r="B3" s="315" t="s">
        <v>511</v>
      </c>
      <c r="C3" s="17" t="s">
        <v>1844</v>
      </c>
      <c r="D3" s="561"/>
      <c r="E3" s="561"/>
      <c r="F3" s="561"/>
      <c r="G3" s="164"/>
      <c r="H3" s="19"/>
      <c r="I3" s="18"/>
      <c r="J3" s="19"/>
      <c r="K3" s="19"/>
      <c r="L3" s="19"/>
      <c r="M3" s="19"/>
      <c r="N3" s="19"/>
      <c r="O3" s="19"/>
      <c r="P3" s="19"/>
      <c r="Q3" s="258"/>
      <c r="R3" s="20"/>
      <c r="S3" s="20"/>
      <c r="T3" s="18"/>
      <c r="U3" s="20"/>
      <c r="V3" s="20"/>
      <c r="W3" s="18"/>
      <c r="X3" s="18"/>
      <c r="Y3" s="18"/>
      <c r="Z3" s="18"/>
      <c r="AA3" s="18"/>
      <c r="AB3" s="18"/>
      <c r="AC3" s="18"/>
      <c r="AD3" s="14"/>
      <c r="AE3" s="247"/>
      <c r="AF3" s="247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327"/>
      <c r="AU3" s="327"/>
      <c r="AV3" s="18"/>
      <c r="AW3" s="292" t="s">
        <v>1203</v>
      </c>
      <c r="AX3" s="18"/>
      <c r="AY3" s="18"/>
      <c r="AZ3" s="332"/>
      <c r="BA3" s="330"/>
      <c r="BF3" s="14"/>
    </row>
    <row r="4" spans="1:58" ht="18" customHeight="1">
      <c r="A4" s="16"/>
      <c r="B4" s="315" t="s">
        <v>512</v>
      </c>
      <c r="C4" s="560" t="s">
        <v>1845</v>
      </c>
      <c r="D4" s="561"/>
      <c r="E4" s="561"/>
      <c r="F4" s="562"/>
      <c r="G4" s="293"/>
      <c r="H4" s="258"/>
      <c r="I4" s="18"/>
      <c r="J4" s="258"/>
      <c r="K4" s="19"/>
      <c r="L4" s="19"/>
      <c r="M4" s="19"/>
      <c r="N4" s="19"/>
      <c r="O4" s="19"/>
      <c r="P4" s="19"/>
      <c r="Q4" s="258"/>
      <c r="R4" s="27"/>
      <c r="S4" s="27"/>
      <c r="T4" s="14"/>
      <c r="U4" s="27"/>
      <c r="V4" s="27"/>
      <c r="W4" s="14"/>
      <c r="X4" s="14"/>
      <c r="Y4" s="18"/>
      <c r="Z4" s="18"/>
      <c r="AA4" s="18"/>
      <c r="AB4" s="18"/>
      <c r="AC4" s="18"/>
      <c r="AD4" s="14"/>
      <c r="AE4" s="247"/>
      <c r="AF4" s="247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327"/>
      <c r="AU4" s="327"/>
      <c r="AV4" s="14"/>
      <c r="AW4" s="292" t="s">
        <v>1211</v>
      </c>
      <c r="AX4" s="18"/>
      <c r="AY4" s="18"/>
      <c r="AZ4" s="332"/>
      <c r="BA4" s="330"/>
      <c r="BF4" s="14"/>
    </row>
    <row r="5" spans="1:58" ht="18" customHeight="1" thickBot="1">
      <c r="A5" s="316"/>
      <c r="B5" s="317"/>
      <c r="C5" s="322"/>
      <c r="D5" s="318"/>
      <c r="E5" s="318"/>
      <c r="F5" s="318"/>
      <c r="G5" s="318"/>
      <c r="H5" s="319"/>
      <c r="I5" s="321"/>
      <c r="J5" s="318"/>
      <c r="K5" s="318"/>
      <c r="L5" s="318"/>
      <c r="M5" s="318"/>
      <c r="N5" s="318"/>
      <c r="O5" s="318"/>
      <c r="P5" s="318"/>
      <c r="Q5" s="320"/>
      <c r="R5" s="321"/>
      <c r="S5" s="321"/>
      <c r="T5" s="321"/>
      <c r="U5" s="321"/>
      <c r="V5" s="321"/>
      <c r="W5" s="321"/>
      <c r="X5" s="321"/>
      <c r="Y5" s="321"/>
      <c r="Z5" s="321"/>
      <c r="AA5" s="321"/>
      <c r="AB5" s="321"/>
      <c r="AC5" s="321"/>
      <c r="AD5" s="322"/>
      <c r="AE5" s="323"/>
      <c r="AF5" s="323"/>
      <c r="AG5" s="303"/>
      <c r="AH5" s="324"/>
      <c r="AI5" s="325" t="s">
        <v>1213</v>
      </c>
      <c r="AJ5" s="326"/>
      <c r="AK5" s="326"/>
      <c r="AL5" s="303"/>
      <c r="AM5" s="303"/>
      <c r="AN5" s="303"/>
      <c r="AO5" s="303"/>
      <c r="AP5" s="303"/>
      <c r="AQ5" s="303"/>
      <c r="AR5" s="303"/>
      <c r="AS5" s="303"/>
      <c r="AT5" s="328"/>
      <c r="AU5" s="327"/>
      <c r="AV5" s="321"/>
      <c r="AW5" s="292" t="s">
        <v>1212</v>
      </c>
      <c r="AX5" s="18"/>
      <c r="AY5" s="18"/>
      <c r="AZ5" s="332"/>
      <c r="BA5" s="330"/>
      <c r="BF5" s="13"/>
    </row>
    <row r="6" spans="1:58" ht="18" customHeight="1" thickBot="1">
      <c r="A6" s="668" t="s">
        <v>330</v>
      </c>
      <c r="B6" s="369"/>
      <c r="C6" s="370"/>
      <c r="D6" s="674" t="s">
        <v>513</v>
      </c>
      <c r="E6" s="675"/>
      <c r="F6" s="675"/>
      <c r="G6" s="675"/>
      <c r="H6" s="676"/>
      <c r="I6" s="29"/>
      <c r="J6" s="371"/>
      <c r="K6" s="671" t="s">
        <v>546</v>
      </c>
      <c r="L6" s="671" t="s">
        <v>4</v>
      </c>
      <c r="M6" s="380"/>
      <c r="N6" s="380"/>
      <c r="O6" s="380" t="s">
        <v>218</v>
      </c>
      <c r="P6" s="380" t="s">
        <v>218</v>
      </c>
      <c r="Q6" s="386" t="s">
        <v>221</v>
      </c>
      <c r="R6" s="29" t="s">
        <v>519</v>
      </c>
      <c r="S6" s="368"/>
      <c r="T6" s="680" t="s">
        <v>514</v>
      </c>
      <c r="U6" s="675"/>
      <c r="V6" s="675"/>
      <c r="W6" s="676"/>
      <c r="X6" s="368"/>
      <c r="Y6" s="209" t="s">
        <v>177</v>
      </c>
      <c r="Z6" s="369"/>
      <c r="AA6" s="368" t="s">
        <v>179</v>
      </c>
      <c r="AB6" s="368" t="s">
        <v>181</v>
      </c>
      <c r="AC6" s="368" t="s">
        <v>179</v>
      </c>
      <c r="AD6" s="385"/>
      <c r="AE6" s="249"/>
      <c r="AF6" s="249"/>
      <c r="AG6" s="243"/>
      <c r="AH6" s="243" t="s">
        <v>290</v>
      </c>
      <c r="AI6" s="243"/>
      <c r="AJ6" s="252"/>
      <c r="AK6" s="252"/>
      <c r="AL6" s="252"/>
      <c r="AM6" s="260"/>
      <c r="AN6" s="261"/>
      <c r="AO6" s="261" t="s">
        <v>515</v>
      </c>
      <c r="AP6" s="253"/>
      <c r="AQ6" s="252" t="s">
        <v>516</v>
      </c>
      <c r="AR6" s="243"/>
      <c r="AS6" s="243" t="s">
        <v>517</v>
      </c>
      <c r="AT6" s="340"/>
      <c r="AU6" s="340" t="s">
        <v>1233</v>
      </c>
      <c r="AV6" s="368"/>
      <c r="AW6" s="27" t="s">
        <v>1220</v>
      </c>
      <c r="AX6" s="14"/>
      <c r="AY6" s="14"/>
      <c r="AZ6" s="332"/>
      <c r="BA6" s="330"/>
      <c r="BF6" s="297"/>
    </row>
    <row r="7" spans="1:58" ht="18" customHeight="1" thickBot="1">
      <c r="A7" s="669"/>
      <c r="B7" s="391" t="s">
        <v>553</v>
      </c>
      <c r="C7" s="384" t="s">
        <v>0</v>
      </c>
      <c r="D7" s="677"/>
      <c r="E7" s="678"/>
      <c r="F7" s="678"/>
      <c r="G7" s="678"/>
      <c r="H7" s="679"/>
      <c r="I7" s="373" t="s">
        <v>168</v>
      </c>
      <c r="J7" s="390"/>
      <c r="K7" s="672"/>
      <c r="L7" s="672"/>
      <c r="M7" s="389" t="s">
        <v>1218</v>
      </c>
      <c r="N7" s="389" t="s">
        <v>1196</v>
      </c>
      <c r="O7" s="382" t="s">
        <v>219</v>
      </c>
      <c r="P7" s="382" t="s">
        <v>220</v>
      </c>
      <c r="Q7" s="387" t="s">
        <v>222</v>
      </c>
      <c r="R7" s="381"/>
      <c r="S7" s="384"/>
      <c r="T7" s="681" t="s">
        <v>520</v>
      </c>
      <c r="U7" s="682"/>
      <c r="V7" s="681" t="s">
        <v>521</v>
      </c>
      <c r="W7" s="682"/>
      <c r="X7" s="666" t="s">
        <v>522</v>
      </c>
      <c r="Y7" s="373" t="s">
        <v>178</v>
      </c>
      <c r="Z7" s="379"/>
      <c r="AA7" s="373" t="s">
        <v>180</v>
      </c>
      <c r="AB7" s="373" t="s">
        <v>182</v>
      </c>
      <c r="AC7" s="373"/>
      <c r="AD7" s="373"/>
      <c r="AE7" s="250" t="s">
        <v>287</v>
      </c>
      <c r="AF7" s="250" t="s">
        <v>340</v>
      </c>
      <c r="AG7" s="298" t="s">
        <v>342</v>
      </c>
      <c r="AH7" s="245" t="s">
        <v>347</v>
      </c>
      <c r="AI7" s="255"/>
      <c r="AJ7" s="254" t="s">
        <v>524</v>
      </c>
      <c r="AK7" s="254" t="s">
        <v>525</v>
      </c>
      <c r="AL7" s="254" t="s">
        <v>526</v>
      </c>
      <c r="AM7" s="254" t="s">
        <v>508</v>
      </c>
      <c r="AN7" s="255" t="s">
        <v>527</v>
      </c>
      <c r="AO7" s="255" t="s">
        <v>527</v>
      </c>
      <c r="AP7" s="254" t="s">
        <v>528</v>
      </c>
      <c r="AQ7" s="254" t="s">
        <v>529</v>
      </c>
      <c r="AR7" s="255" t="s">
        <v>530</v>
      </c>
      <c r="AS7" s="255" t="s">
        <v>531</v>
      </c>
      <c r="AT7" s="341" t="s">
        <v>1234</v>
      </c>
      <c r="AU7" s="341" t="s">
        <v>1235</v>
      </c>
      <c r="AV7" s="666" t="s">
        <v>559</v>
      </c>
      <c r="AW7" s="300" t="s">
        <v>1216</v>
      </c>
      <c r="AX7" s="14"/>
      <c r="AY7" s="14"/>
      <c r="AZ7" s="332"/>
      <c r="BA7" s="330"/>
      <c r="BF7" s="296" t="s">
        <v>1215</v>
      </c>
    </row>
    <row r="8" spans="1:58" ht="18" customHeight="1" thickBot="1">
      <c r="A8" s="670"/>
      <c r="B8" s="392" t="s">
        <v>1202</v>
      </c>
      <c r="C8" s="394" t="s">
        <v>1</v>
      </c>
      <c r="D8" s="202" t="s">
        <v>379</v>
      </c>
      <c r="E8" s="203" t="s">
        <v>184</v>
      </c>
      <c r="F8" s="203" t="s">
        <v>185</v>
      </c>
      <c r="G8" s="203" t="s">
        <v>186</v>
      </c>
      <c r="H8" s="22" t="s">
        <v>170</v>
      </c>
      <c r="I8" s="376" t="s">
        <v>1182</v>
      </c>
      <c r="J8" s="390" t="s">
        <v>518</v>
      </c>
      <c r="K8" s="673"/>
      <c r="L8" s="673"/>
      <c r="M8" s="389" t="s">
        <v>1217</v>
      </c>
      <c r="N8" s="389" t="s">
        <v>1197</v>
      </c>
      <c r="O8" s="382" t="s">
        <v>188</v>
      </c>
      <c r="P8" s="382" t="s">
        <v>188</v>
      </c>
      <c r="Q8" s="387" t="s">
        <v>223</v>
      </c>
      <c r="R8" s="376"/>
      <c r="S8" s="378" t="s">
        <v>176</v>
      </c>
      <c r="T8" s="388" t="s">
        <v>1201</v>
      </c>
      <c r="U8" s="372" t="s">
        <v>1200</v>
      </c>
      <c r="V8" s="372" t="s">
        <v>534</v>
      </c>
      <c r="W8" s="372" t="s">
        <v>535</v>
      </c>
      <c r="X8" s="667"/>
      <c r="Y8" s="376"/>
      <c r="Z8" s="377" t="s">
        <v>176</v>
      </c>
      <c r="AA8" s="376"/>
      <c r="AB8" s="376"/>
      <c r="AC8" s="376"/>
      <c r="AD8" s="393" t="s">
        <v>1084</v>
      </c>
      <c r="AE8" s="251" t="s">
        <v>288</v>
      </c>
      <c r="AF8" s="251" t="s">
        <v>288</v>
      </c>
      <c r="AG8" s="299" t="s">
        <v>341</v>
      </c>
      <c r="AH8" s="246" t="s">
        <v>289</v>
      </c>
      <c r="AI8" s="257" t="s">
        <v>523</v>
      </c>
      <c r="AJ8" s="256" t="s">
        <v>536</v>
      </c>
      <c r="AK8" s="256" t="s">
        <v>537</v>
      </c>
      <c r="AL8" s="256" t="s">
        <v>538</v>
      </c>
      <c r="AM8" s="256" t="s">
        <v>539</v>
      </c>
      <c r="AN8" s="256" t="s">
        <v>347</v>
      </c>
      <c r="AO8" s="256" t="s">
        <v>540</v>
      </c>
      <c r="AP8" s="256" t="s">
        <v>541</v>
      </c>
      <c r="AQ8" s="256" t="s">
        <v>542</v>
      </c>
      <c r="AR8" s="257" t="s">
        <v>543</v>
      </c>
      <c r="AS8" s="257" t="s">
        <v>532</v>
      </c>
      <c r="AT8" s="342" t="s">
        <v>1000</v>
      </c>
      <c r="AU8" s="342" t="s">
        <v>246</v>
      </c>
      <c r="AV8" s="667"/>
      <c r="AW8" s="300" t="s">
        <v>1219</v>
      </c>
      <c r="AX8" s="14"/>
      <c r="AY8" s="14"/>
      <c r="AZ8" s="332"/>
      <c r="BA8" s="330"/>
      <c r="BF8" s="208" t="s">
        <v>1083</v>
      </c>
    </row>
    <row r="9" spans="1:58" ht="18" customHeight="1">
      <c r="A9" s="625" t="s">
        <v>1368</v>
      </c>
      <c r="B9" s="486" t="str">
        <f>CONCATENATE("LBJ.",A9)</f>
        <v>LBJ.VAV-T-2-014</v>
      </c>
      <c r="C9" s="493"/>
      <c r="D9" s="598">
        <v>1</v>
      </c>
      <c r="E9" s="599">
        <v>6</v>
      </c>
      <c r="F9" s="601">
        <v>1</v>
      </c>
      <c r="G9" s="600">
        <v>1</v>
      </c>
      <c r="H9" s="602" t="s">
        <v>1353</v>
      </c>
      <c r="I9" s="589" t="str">
        <f>IF(G9&lt;10,CONCATENATE(1,H9,0,G9),CONCATENATE(1,H9,G9))</f>
        <v>1150601</v>
      </c>
      <c r="J9" s="605" t="s">
        <v>1342</v>
      </c>
      <c r="K9" s="489" t="s">
        <v>368</v>
      </c>
      <c r="L9" s="489" t="s">
        <v>368</v>
      </c>
      <c r="M9" s="489"/>
      <c r="N9" s="490" t="s">
        <v>368</v>
      </c>
      <c r="O9" s="491"/>
      <c r="P9" s="491"/>
      <c r="Q9" s="626"/>
      <c r="R9" s="612" t="s">
        <v>501</v>
      </c>
      <c r="S9" s="493"/>
      <c r="T9" s="614" t="s">
        <v>1359</v>
      </c>
      <c r="U9" s="617" t="s">
        <v>1360</v>
      </c>
      <c r="V9" s="620" t="str">
        <f>T9</f>
        <v>435</v>
      </c>
      <c r="W9" s="588" t="str">
        <f>V9</f>
        <v>435</v>
      </c>
      <c r="X9" s="621" t="s">
        <v>1361</v>
      </c>
      <c r="Y9" s="492"/>
      <c r="Z9" s="492"/>
      <c r="AA9" s="494"/>
      <c r="AB9" s="492"/>
      <c r="AC9" s="494"/>
      <c r="AD9" s="487" t="str">
        <f t="shared" ref="AD9" si="0">IF(BF9,"REHEAT","COOLING ONLY")</f>
        <v>REHEAT</v>
      </c>
      <c r="AE9" s="495"/>
      <c r="AF9" s="271"/>
      <c r="AG9" s="272"/>
      <c r="AH9" s="272"/>
      <c r="AI9" s="273"/>
      <c r="AJ9" s="273"/>
      <c r="AK9" s="273"/>
      <c r="AL9" s="273"/>
      <c r="AM9" s="273"/>
      <c r="AN9" s="273" t="s">
        <v>544</v>
      </c>
      <c r="AO9" s="273" t="s">
        <v>544</v>
      </c>
      <c r="AP9" s="273" t="s">
        <v>544</v>
      </c>
      <c r="AQ9" s="273" t="s">
        <v>544</v>
      </c>
      <c r="AR9" s="273" t="s">
        <v>544</v>
      </c>
      <c r="AS9" s="274" t="str">
        <f>VLOOKUP($J9,'Vlookup Tables'!$B$62:$D$77,2,TRUE)</f>
        <v>550-430PA</v>
      </c>
      <c r="AT9" s="295"/>
      <c r="AU9" s="295"/>
      <c r="AV9" s="623">
        <v>1.44</v>
      </c>
      <c r="AW9" s="300" t="s">
        <v>1232</v>
      </c>
      <c r="AX9" s="14"/>
      <c r="AY9" s="14"/>
      <c r="BA9" s="345"/>
      <c r="BC9" s="27" t="s">
        <v>1205</v>
      </c>
      <c r="BF9" s="207" t="b">
        <f>OR('Terminal Unit Valve Schedule'!$D4="2-WAY",'Terminal Unit Valve Schedule'!$D4="3-WAY")</f>
        <v>1</v>
      </c>
    </row>
    <row r="10" spans="1:58" s="28" customFormat="1" ht="18" customHeight="1">
      <c r="A10" s="625"/>
      <c r="B10" s="604"/>
      <c r="C10" s="493"/>
      <c r="D10" s="598"/>
      <c r="E10" s="599"/>
      <c r="F10" s="601"/>
      <c r="G10" s="601"/>
      <c r="H10" s="602"/>
      <c r="I10" s="607"/>
      <c r="J10" s="488"/>
      <c r="K10" s="489"/>
      <c r="L10" s="489"/>
      <c r="M10" s="489"/>
      <c r="N10" s="490"/>
      <c r="O10" s="491"/>
      <c r="P10" s="491"/>
      <c r="Q10" s="626"/>
      <c r="R10" s="612"/>
      <c r="S10" s="493"/>
      <c r="T10" s="614"/>
      <c r="U10" s="617"/>
      <c r="V10" s="620"/>
      <c r="W10" s="606"/>
      <c r="X10" s="621"/>
      <c r="Y10" s="492"/>
      <c r="Z10" s="492"/>
      <c r="AA10" s="494"/>
      <c r="AB10" s="492"/>
      <c r="AC10" s="494"/>
      <c r="AD10" s="487"/>
      <c r="AE10" s="495"/>
      <c r="AF10" s="271"/>
      <c r="AG10" s="272"/>
      <c r="AH10" s="272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4"/>
      <c r="AT10" s="295"/>
      <c r="AU10" s="295"/>
      <c r="AV10" s="623"/>
      <c r="AW10" s="344" t="s">
        <v>1237</v>
      </c>
      <c r="AX10" s="25"/>
      <c r="AY10" s="25"/>
      <c r="BA10" s="346"/>
      <c r="BC10" s="27" t="s">
        <v>1206</v>
      </c>
      <c r="BF10" s="207" t="b">
        <f>OR('Terminal Unit Valve Schedule'!$D5="2-WAY",'Terminal Unit Valve Schedule'!$D5="3-WAY")</f>
        <v>1</v>
      </c>
    </row>
    <row r="11" spans="1:58" s="28" customFormat="1" ht="18" customHeight="1">
      <c r="A11" s="625"/>
      <c r="B11" s="604"/>
      <c r="C11" s="493"/>
      <c r="D11" s="598"/>
      <c r="E11" s="599"/>
      <c r="F11" s="601"/>
      <c r="G11" s="601"/>
      <c r="H11" s="602"/>
      <c r="I11" s="607"/>
      <c r="J11" s="488"/>
      <c r="K11" s="489"/>
      <c r="L11" s="489"/>
      <c r="M11" s="489"/>
      <c r="N11" s="490"/>
      <c r="O11" s="491"/>
      <c r="P11" s="491"/>
      <c r="Q11" s="626"/>
      <c r="R11" s="612"/>
      <c r="S11" s="493"/>
      <c r="T11" s="614"/>
      <c r="U11" s="617"/>
      <c r="V11" s="620"/>
      <c r="W11" s="606"/>
      <c r="X11" s="621"/>
      <c r="Y11" s="492"/>
      <c r="Z11" s="492"/>
      <c r="AA11" s="494"/>
      <c r="AB11" s="492"/>
      <c r="AC11" s="494"/>
      <c r="AD11" s="487"/>
      <c r="AE11" s="495"/>
      <c r="AF11" s="271"/>
      <c r="AG11" s="272"/>
      <c r="AH11" s="272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4"/>
      <c r="AT11" s="295"/>
      <c r="AU11" s="295"/>
      <c r="AV11" s="623"/>
      <c r="AW11" s="25"/>
      <c r="AX11" s="25"/>
      <c r="AY11" s="25"/>
      <c r="BC11" s="27" t="s">
        <v>1207</v>
      </c>
      <c r="BF11" s="207" t="b">
        <f>OR('Terminal Unit Valve Schedule'!$D6="2-WAY",'Terminal Unit Valve Schedule'!$D6="3-WAY")</f>
        <v>1</v>
      </c>
    </row>
    <row r="12" spans="1:58" s="28" customFormat="1" ht="18" customHeight="1">
      <c r="A12" s="625"/>
      <c r="B12" s="604"/>
      <c r="C12" s="493"/>
      <c r="D12" s="598"/>
      <c r="E12" s="599"/>
      <c r="F12" s="601"/>
      <c r="G12" s="601"/>
      <c r="H12" s="602"/>
      <c r="I12" s="607"/>
      <c r="J12" s="488"/>
      <c r="K12" s="489"/>
      <c r="L12" s="489"/>
      <c r="M12" s="489"/>
      <c r="N12" s="490"/>
      <c r="O12" s="491"/>
      <c r="P12" s="491"/>
      <c r="Q12" s="626"/>
      <c r="R12" s="612"/>
      <c r="S12" s="493"/>
      <c r="T12" s="614"/>
      <c r="U12" s="617"/>
      <c r="V12" s="620"/>
      <c r="W12" s="606"/>
      <c r="X12" s="621"/>
      <c r="Y12" s="492"/>
      <c r="Z12" s="492"/>
      <c r="AA12" s="494"/>
      <c r="AB12" s="492"/>
      <c r="AC12" s="494"/>
      <c r="AD12" s="487"/>
      <c r="AE12" s="495"/>
      <c r="AF12" s="271"/>
      <c r="AG12" s="272"/>
      <c r="AH12" s="272"/>
      <c r="AI12" s="273"/>
      <c r="AJ12" s="273"/>
      <c r="AK12" s="273"/>
      <c r="AL12" s="273"/>
      <c r="AM12" s="273"/>
      <c r="AN12" s="273"/>
      <c r="AO12" s="273"/>
      <c r="AP12" s="273"/>
      <c r="AQ12" s="273"/>
      <c r="AR12" s="273"/>
      <c r="AS12" s="274"/>
      <c r="AT12" s="295"/>
      <c r="AU12" s="295"/>
      <c r="AV12" s="623"/>
      <c r="AW12" s="25"/>
      <c r="AX12" s="25"/>
      <c r="AY12" s="25"/>
      <c r="BC12" s="27" t="s">
        <v>1208</v>
      </c>
      <c r="BF12" s="207" t="b">
        <f>OR('Terminal Unit Valve Schedule'!$D7="2-WAY",'Terminal Unit Valve Schedule'!$D7="3-WAY")</f>
        <v>1</v>
      </c>
    </row>
    <row r="13" spans="1:58" s="28" customFormat="1" ht="18" customHeight="1">
      <c r="A13" s="625"/>
      <c r="B13" s="604"/>
      <c r="C13" s="493"/>
      <c r="D13" s="598"/>
      <c r="E13" s="599"/>
      <c r="F13" s="601"/>
      <c r="G13" s="601"/>
      <c r="H13" s="602"/>
      <c r="I13" s="607"/>
      <c r="J13" s="488"/>
      <c r="K13" s="489"/>
      <c r="L13" s="489"/>
      <c r="M13" s="489"/>
      <c r="N13" s="490"/>
      <c r="O13" s="491"/>
      <c r="P13" s="491"/>
      <c r="Q13" s="626"/>
      <c r="R13" s="612"/>
      <c r="S13" s="493"/>
      <c r="T13" s="614"/>
      <c r="U13" s="617"/>
      <c r="V13" s="620"/>
      <c r="W13" s="606"/>
      <c r="X13" s="621"/>
      <c r="Y13" s="492"/>
      <c r="Z13" s="492"/>
      <c r="AA13" s="494"/>
      <c r="AB13" s="492"/>
      <c r="AC13" s="494"/>
      <c r="AD13" s="487"/>
      <c r="AE13" s="495"/>
      <c r="AF13" s="271"/>
      <c r="AG13" s="272"/>
      <c r="AH13" s="272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4"/>
      <c r="AT13" s="295"/>
      <c r="AU13" s="295"/>
      <c r="AV13" s="623"/>
      <c r="AW13" s="25"/>
      <c r="AX13" s="25"/>
      <c r="AY13" s="25"/>
      <c r="BC13" s="27" t="s">
        <v>1209</v>
      </c>
      <c r="BF13" s="207" t="b">
        <f>OR('Terminal Unit Valve Schedule'!$D8="2-WAY",'Terminal Unit Valve Schedule'!$D8="3-WAY")</f>
        <v>1</v>
      </c>
    </row>
    <row r="14" spans="1:58" s="28" customFormat="1" ht="18" customHeight="1">
      <c r="A14" s="625"/>
      <c r="B14" s="604"/>
      <c r="C14" s="493"/>
      <c r="D14" s="598"/>
      <c r="E14" s="599"/>
      <c r="F14" s="601"/>
      <c r="G14" s="601"/>
      <c r="H14" s="602"/>
      <c r="I14" s="607"/>
      <c r="J14" s="488"/>
      <c r="K14" s="489"/>
      <c r="L14" s="489"/>
      <c r="M14" s="489"/>
      <c r="N14" s="490"/>
      <c r="O14" s="491"/>
      <c r="P14" s="491"/>
      <c r="Q14" s="626"/>
      <c r="R14" s="612"/>
      <c r="S14" s="493"/>
      <c r="T14" s="614"/>
      <c r="U14" s="617"/>
      <c r="V14" s="620"/>
      <c r="W14" s="606"/>
      <c r="X14" s="621"/>
      <c r="Y14" s="492"/>
      <c r="Z14" s="492"/>
      <c r="AA14" s="494"/>
      <c r="AB14" s="492"/>
      <c r="AC14" s="494"/>
      <c r="AD14" s="487"/>
      <c r="AE14" s="495"/>
      <c r="AF14" s="271"/>
      <c r="AG14" s="272"/>
      <c r="AH14" s="272"/>
      <c r="AI14" s="273"/>
      <c r="AJ14" s="273"/>
      <c r="AK14" s="273"/>
      <c r="AL14" s="273"/>
      <c r="AM14" s="273"/>
      <c r="AN14" s="273"/>
      <c r="AO14" s="273"/>
      <c r="AP14" s="273"/>
      <c r="AQ14" s="273"/>
      <c r="AR14" s="273"/>
      <c r="AS14" s="274"/>
      <c r="AT14" s="295"/>
      <c r="AU14" s="295"/>
      <c r="AV14" s="623"/>
      <c r="AW14" s="25"/>
      <c r="AX14" s="25"/>
      <c r="AY14" s="25"/>
      <c r="BC14" s="27" t="s">
        <v>1210</v>
      </c>
      <c r="BF14" s="207" t="b">
        <f>OR('Terminal Unit Valve Schedule'!$D9="2-WAY",'Terminal Unit Valve Schedule'!$D9="3-WAY")</f>
        <v>1</v>
      </c>
    </row>
    <row r="15" spans="1:58" s="28" customFormat="1" ht="18" customHeight="1">
      <c r="A15" s="625"/>
      <c r="B15" s="604"/>
      <c r="C15" s="493"/>
      <c r="D15" s="598"/>
      <c r="E15" s="599"/>
      <c r="F15" s="601"/>
      <c r="G15" s="601"/>
      <c r="H15" s="602"/>
      <c r="I15" s="607"/>
      <c r="J15" s="488"/>
      <c r="K15" s="489"/>
      <c r="L15" s="489"/>
      <c r="M15" s="489"/>
      <c r="N15" s="490"/>
      <c r="O15" s="491"/>
      <c r="P15" s="491"/>
      <c r="Q15" s="626"/>
      <c r="R15" s="613"/>
      <c r="S15" s="497"/>
      <c r="T15" s="615"/>
      <c r="U15" s="618"/>
      <c r="V15" s="620"/>
      <c r="W15" s="606"/>
      <c r="X15" s="621"/>
      <c r="Y15" s="496"/>
      <c r="Z15" s="496"/>
      <c r="AA15" s="496"/>
      <c r="AB15" s="496"/>
      <c r="AC15" s="496"/>
      <c r="AD15" s="487"/>
      <c r="AE15" s="495"/>
      <c r="AF15" s="271"/>
      <c r="AG15" s="272"/>
      <c r="AH15" s="272"/>
      <c r="AI15" s="273"/>
      <c r="AJ15" s="273"/>
      <c r="AK15" s="273"/>
      <c r="AL15" s="273"/>
      <c r="AM15" s="273"/>
      <c r="AN15" s="273"/>
      <c r="AO15" s="273"/>
      <c r="AP15" s="273"/>
      <c r="AQ15" s="273"/>
      <c r="AR15" s="273"/>
      <c r="AS15" s="274"/>
      <c r="AT15" s="295"/>
      <c r="AU15" s="295"/>
      <c r="AV15" s="624"/>
      <c r="AW15" s="25"/>
      <c r="AX15" s="25"/>
      <c r="AY15" s="25"/>
      <c r="BF15" s="207" t="b">
        <f>OR('Terminal Unit Valve Schedule'!$D10="2-WAY",'Terminal Unit Valve Schedule'!$D10="3-WAY")</f>
        <v>1</v>
      </c>
    </row>
    <row r="16" spans="1:58" s="28" customFormat="1" ht="18" customHeight="1">
      <c r="A16" s="625"/>
      <c r="B16" s="604"/>
      <c r="C16" s="493"/>
      <c r="D16" s="598"/>
      <c r="E16" s="599"/>
      <c r="F16" s="601"/>
      <c r="G16" s="601"/>
      <c r="H16" s="602"/>
      <c r="I16" s="607"/>
      <c r="J16" s="488"/>
      <c r="K16" s="489"/>
      <c r="L16" s="489"/>
      <c r="M16" s="489"/>
      <c r="N16" s="490"/>
      <c r="O16" s="491"/>
      <c r="P16" s="491"/>
      <c r="Q16" s="626"/>
      <c r="R16" s="613"/>
      <c r="S16" s="497"/>
      <c r="T16" s="615"/>
      <c r="U16" s="618"/>
      <c r="V16" s="620"/>
      <c r="W16" s="606"/>
      <c r="X16" s="621"/>
      <c r="Y16" s="496"/>
      <c r="Z16" s="496"/>
      <c r="AA16" s="496"/>
      <c r="AB16" s="496"/>
      <c r="AC16" s="496"/>
      <c r="AD16" s="487"/>
      <c r="AE16" s="495"/>
      <c r="AF16" s="271"/>
      <c r="AG16" s="272"/>
      <c r="AH16" s="272"/>
      <c r="AI16" s="273"/>
      <c r="AJ16" s="273"/>
      <c r="AK16" s="273"/>
      <c r="AL16" s="273"/>
      <c r="AM16" s="273"/>
      <c r="AN16" s="273"/>
      <c r="AO16" s="273"/>
      <c r="AP16" s="273"/>
      <c r="AQ16" s="273"/>
      <c r="AR16" s="273"/>
      <c r="AS16" s="274"/>
      <c r="AT16" s="295"/>
      <c r="AU16" s="295"/>
      <c r="AV16" s="624"/>
      <c r="AW16" s="25"/>
      <c r="AX16" s="25"/>
      <c r="AY16" s="25"/>
      <c r="BF16" s="207" t="b">
        <f>OR('Terminal Unit Valve Schedule'!$D11="2-WAY",'Terminal Unit Valve Schedule'!$D11="3-WAY")</f>
        <v>1</v>
      </c>
    </row>
    <row r="17" spans="1:58" s="28" customFormat="1" ht="18" customHeight="1">
      <c r="A17" s="625"/>
      <c r="B17" s="604"/>
      <c r="C17" s="493"/>
      <c r="D17" s="598"/>
      <c r="E17" s="599"/>
      <c r="F17" s="601"/>
      <c r="G17" s="601"/>
      <c r="H17" s="602"/>
      <c r="I17" s="607"/>
      <c r="J17" s="488"/>
      <c r="K17" s="489"/>
      <c r="L17" s="489"/>
      <c r="M17" s="489"/>
      <c r="N17" s="490"/>
      <c r="O17" s="491"/>
      <c r="P17" s="491"/>
      <c r="Q17" s="626"/>
      <c r="R17" s="613"/>
      <c r="S17" s="497"/>
      <c r="T17" s="615"/>
      <c r="U17" s="618"/>
      <c r="V17" s="620"/>
      <c r="W17" s="606"/>
      <c r="X17" s="621"/>
      <c r="Y17" s="496"/>
      <c r="Z17" s="496"/>
      <c r="AA17" s="496"/>
      <c r="AB17" s="496"/>
      <c r="AC17" s="496"/>
      <c r="AD17" s="487"/>
      <c r="AE17" s="495"/>
      <c r="AF17" s="271"/>
      <c r="AG17" s="272"/>
      <c r="AH17" s="272"/>
      <c r="AI17" s="273"/>
      <c r="AJ17" s="273"/>
      <c r="AK17" s="273"/>
      <c r="AL17" s="273"/>
      <c r="AM17" s="273"/>
      <c r="AN17" s="273"/>
      <c r="AO17" s="273"/>
      <c r="AP17" s="273"/>
      <c r="AQ17" s="273"/>
      <c r="AR17" s="273"/>
      <c r="AS17" s="274"/>
      <c r="AT17" s="295"/>
      <c r="AU17" s="295"/>
      <c r="AV17" s="624"/>
      <c r="AW17" s="25"/>
      <c r="AX17" s="25"/>
      <c r="AY17" s="25"/>
      <c r="BF17" s="207" t="b">
        <f>OR('Terminal Unit Valve Schedule'!$D12="2-WAY",'Terminal Unit Valve Schedule'!$D12="3-WAY")</f>
        <v>1</v>
      </c>
    </row>
    <row r="18" spans="1:58" s="28" customFormat="1" ht="18" customHeight="1">
      <c r="A18" s="625"/>
      <c r="B18" s="604"/>
      <c r="C18" s="493"/>
      <c r="D18" s="598"/>
      <c r="E18" s="599"/>
      <c r="F18" s="601"/>
      <c r="G18" s="601"/>
      <c r="H18" s="602"/>
      <c r="I18" s="607"/>
      <c r="J18" s="488"/>
      <c r="K18" s="489"/>
      <c r="L18" s="489"/>
      <c r="M18" s="489"/>
      <c r="N18" s="490"/>
      <c r="O18" s="491"/>
      <c r="P18" s="491"/>
      <c r="Q18" s="626"/>
      <c r="R18" s="613"/>
      <c r="S18" s="497"/>
      <c r="T18" s="615"/>
      <c r="U18" s="618"/>
      <c r="V18" s="620"/>
      <c r="W18" s="606"/>
      <c r="X18" s="621"/>
      <c r="Y18" s="496"/>
      <c r="Z18" s="496"/>
      <c r="AA18" s="496"/>
      <c r="AB18" s="496"/>
      <c r="AC18" s="496"/>
      <c r="AD18" s="487"/>
      <c r="AE18" s="495"/>
      <c r="AF18" s="271"/>
      <c r="AG18" s="272"/>
      <c r="AH18" s="272"/>
      <c r="AI18" s="273"/>
      <c r="AJ18" s="273"/>
      <c r="AK18" s="273"/>
      <c r="AL18" s="273"/>
      <c r="AM18" s="273"/>
      <c r="AN18" s="273"/>
      <c r="AO18" s="273"/>
      <c r="AP18" s="273"/>
      <c r="AQ18" s="273"/>
      <c r="AR18" s="273"/>
      <c r="AS18" s="274"/>
      <c r="AT18" s="295"/>
      <c r="AU18" s="295"/>
      <c r="AV18" s="624"/>
      <c r="AW18" s="25"/>
      <c r="AX18" s="25"/>
      <c r="AY18" s="25"/>
      <c r="BF18" s="207" t="b">
        <f>OR('Terminal Unit Valve Schedule'!$D13="2-WAY",'Terminal Unit Valve Schedule'!$D13="3-WAY")</f>
        <v>1</v>
      </c>
    </row>
    <row r="19" spans="1:58" s="28" customFormat="1" ht="18" customHeight="1">
      <c r="A19" s="625"/>
      <c r="B19" s="604"/>
      <c r="C19" s="493"/>
      <c r="D19" s="598"/>
      <c r="E19" s="599"/>
      <c r="F19" s="601"/>
      <c r="G19" s="601"/>
      <c r="H19" s="602"/>
      <c r="I19" s="607"/>
      <c r="J19" s="488"/>
      <c r="K19" s="489"/>
      <c r="L19" s="489"/>
      <c r="M19" s="489"/>
      <c r="N19" s="490"/>
      <c r="O19" s="491"/>
      <c r="P19" s="491"/>
      <c r="Q19" s="626"/>
      <c r="R19" s="613"/>
      <c r="S19" s="497"/>
      <c r="T19" s="615"/>
      <c r="U19" s="618"/>
      <c r="V19" s="620"/>
      <c r="W19" s="606"/>
      <c r="X19" s="621"/>
      <c r="Y19" s="496"/>
      <c r="Z19" s="496"/>
      <c r="AA19" s="496"/>
      <c r="AB19" s="496"/>
      <c r="AC19" s="496"/>
      <c r="AD19" s="487"/>
      <c r="AE19" s="495"/>
      <c r="AF19" s="271"/>
      <c r="AG19" s="272"/>
      <c r="AH19" s="272"/>
      <c r="AI19" s="273"/>
      <c r="AJ19" s="273"/>
      <c r="AK19" s="273"/>
      <c r="AL19" s="273"/>
      <c r="AM19" s="273"/>
      <c r="AN19" s="273"/>
      <c r="AO19" s="273"/>
      <c r="AP19" s="273"/>
      <c r="AQ19" s="273"/>
      <c r="AR19" s="273"/>
      <c r="AS19" s="274"/>
      <c r="AT19" s="295"/>
      <c r="AU19" s="295"/>
      <c r="AV19" s="624"/>
      <c r="AW19" s="25"/>
      <c r="AX19" s="25"/>
      <c r="AY19" s="25"/>
      <c r="BF19" s="207" t="b">
        <f>OR('Terminal Unit Valve Schedule'!$D14="2-WAY",'Terminal Unit Valve Schedule'!$D14="3-WAY")</f>
        <v>1</v>
      </c>
    </row>
    <row r="20" spans="1:58" s="28" customFormat="1" ht="18" customHeight="1">
      <c r="A20" s="625"/>
      <c r="B20" s="604"/>
      <c r="C20" s="493"/>
      <c r="D20" s="598"/>
      <c r="E20" s="599"/>
      <c r="F20" s="601"/>
      <c r="G20" s="601"/>
      <c r="H20" s="602"/>
      <c r="I20" s="607"/>
      <c r="J20" s="488"/>
      <c r="K20" s="489"/>
      <c r="L20" s="489"/>
      <c r="M20" s="489"/>
      <c r="N20" s="490"/>
      <c r="O20" s="491"/>
      <c r="P20" s="491"/>
      <c r="Q20" s="626"/>
      <c r="R20" s="613"/>
      <c r="S20" s="497"/>
      <c r="T20" s="615"/>
      <c r="U20" s="618"/>
      <c r="V20" s="620"/>
      <c r="W20" s="606"/>
      <c r="X20" s="621"/>
      <c r="Y20" s="496"/>
      <c r="Z20" s="496"/>
      <c r="AA20" s="496"/>
      <c r="AB20" s="496"/>
      <c r="AC20" s="496"/>
      <c r="AD20" s="487"/>
      <c r="AE20" s="495"/>
      <c r="AF20" s="271"/>
      <c r="AG20" s="272"/>
      <c r="AH20" s="272"/>
      <c r="AI20" s="273"/>
      <c r="AJ20" s="273"/>
      <c r="AK20" s="273"/>
      <c r="AL20" s="273"/>
      <c r="AM20" s="273"/>
      <c r="AN20" s="273"/>
      <c r="AO20" s="273"/>
      <c r="AP20" s="273"/>
      <c r="AQ20" s="273"/>
      <c r="AR20" s="273"/>
      <c r="AS20" s="274"/>
      <c r="AT20" s="295"/>
      <c r="AU20" s="295"/>
      <c r="AV20" s="624"/>
      <c r="AW20" s="25"/>
      <c r="AX20" s="25"/>
      <c r="AY20" s="25"/>
      <c r="BF20" s="207" t="b">
        <f>OR('Terminal Unit Valve Schedule'!$D15="2-WAY",'Terminal Unit Valve Schedule'!$D15="3-WAY")</f>
        <v>1</v>
      </c>
    </row>
    <row r="21" spans="1:58" s="28" customFormat="1" ht="18" customHeight="1">
      <c r="A21" s="625"/>
      <c r="B21" s="604"/>
      <c r="C21" s="493"/>
      <c r="D21" s="598"/>
      <c r="E21" s="599"/>
      <c r="F21" s="601"/>
      <c r="G21" s="601"/>
      <c r="H21" s="602"/>
      <c r="I21" s="607"/>
      <c r="J21" s="488"/>
      <c r="K21" s="489"/>
      <c r="L21" s="489"/>
      <c r="M21" s="489"/>
      <c r="N21" s="490"/>
      <c r="O21" s="491"/>
      <c r="P21" s="491"/>
      <c r="Q21" s="626"/>
      <c r="R21" s="613"/>
      <c r="S21" s="497"/>
      <c r="T21" s="615"/>
      <c r="U21" s="618"/>
      <c r="V21" s="620"/>
      <c r="W21" s="606"/>
      <c r="X21" s="621"/>
      <c r="Y21" s="496"/>
      <c r="Z21" s="496"/>
      <c r="AA21" s="496"/>
      <c r="AB21" s="496"/>
      <c r="AC21" s="496"/>
      <c r="AD21" s="487"/>
      <c r="AE21" s="495"/>
      <c r="AF21" s="271"/>
      <c r="AG21" s="272"/>
      <c r="AH21" s="272"/>
      <c r="AI21" s="273"/>
      <c r="AJ21" s="273"/>
      <c r="AK21" s="273"/>
      <c r="AL21" s="273"/>
      <c r="AM21" s="273"/>
      <c r="AN21" s="273"/>
      <c r="AO21" s="273"/>
      <c r="AP21" s="273"/>
      <c r="AQ21" s="273"/>
      <c r="AR21" s="273"/>
      <c r="AS21" s="274"/>
      <c r="AT21" s="295"/>
      <c r="AU21" s="295"/>
      <c r="AV21" s="624"/>
      <c r="AW21" s="25"/>
      <c r="AX21" s="25"/>
      <c r="AY21" s="25"/>
      <c r="BF21" s="207" t="b">
        <f>OR('Terminal Unit Valve Schedule'!$D16="2-WAY",'Terminal Unit Valve Schedule'!$D16="3-WAY")</f>
        <v>1</v>
      </c>
    </row>
    <row r="22" spans="1:58" s="28" customFormat="1" ht="18" customHeight="1">
      <c r="A22" s="625"/>
      <c r="B22" s="604"/>
      <c r="C22" s="493"/>
      <c r="D22" s="598"/>
      <c r="E22" s="599"/>
      <c r="F22" s="601"/>
      <c r="G22" s="601"/>
      <c r="H22" s="602"/>
      <c r="I22" s="607"/>
      <c r="J22" s="488"/>
      <c r="K22" s="489"/>
      <c r="L22" s="489"/>
      <c r="M22" s="489"/>
      <c r="N22" s="490"/>
      <c r="O22" s="491"/>
      <c r="P22" s="491"/>
      <c r="Q22" s="626"/>
      <c r="R22" s="613"/>
      <c r="S22" s="497"/>
      <c r="T22" s="615"/>
      <c r="U22" s="618"/>
      <c r="V22" s="620"/>
      <c r="W22" s="606"/>
      <c r="X22" s="622"/>
      <c r="Y22" s="496"/>
      <c r="Z22" s="496"/>
      <c r="AA22" s="496"/>
      <c r="AB22" s="496"/>
      <c r="AC22" s="496"/>
      <c r="AD22" s="487"/>
      <c r="AE22" s="495"/>
      <c r="AF22" s="271"/>
      <c r="AG22" s="272"/>
      <c r="AH22" s="272"/>
      <c r="AI22" s="273"/>
      <c r="AJ22" s="273"/>
      <c r="AK22" s="273"/>
      <c r="AL22" s="273"/>
      <c r="AM22" s="273"/>
      <c r="AN22" s="273"/>
      <c r="AO22" s="273"/>
      <c r="AP22" s="273"/>
      <c r="AQ22" s="273"/>
      <c r="AR22" s="273"/>
      <c r="AS22" s="274"/>
      <c r="AT22" s="295"/>
      <c r="AU22" s="295"/>
      <c r="AV22" s="624"/>
      <c r="AW22" s="25"/>
      <c r="AX22" s="25"/>
      <c r="AY22" s="25"/>
      <c r="BF22" s="207" t="b">
        <f>OR('Terminal Unit Valve Schedule'!$D17="2-WAY",'Terminal Unit Valve Schedule'!$D17="3-WAY")</f>
        <v>1</v>
      </c>
    </row>
    <row r="23" spans="1:58" s="28" customFormat="1" ht="18" customHeight="1">
      <c r="A23" s="625"/>
      <c r="B23" s="604"/>
      <c r="C23" s="493"/>
      <c r="D23" s="598"/>
      <c r="E23" s="599"/>
      <c r="F23" s="601"/>
      <c r="G23" s="601"/>
      <c r="H23" s="602"/>
      <c r="I23" s="607"/>
      <c r="J23" s="488"/>
      <c r="K23" s="489"/>
      <c r="L23" s="489"/>
      <c r="M23" s="489"/>
      <c r="N23" s="490"/>
      <c r="O23" s="491"/>
      <c r="P23" s="491"/>
      <c r="Q23" s="626"/>
      <c r="R23" s="613"/>
      <c r="S23" s="497"/>
      <c r="T23" s="615"/>
      <c r="U23" s="618"/>
      <c r="V23" s="620"/>
      <c r="W23" s="606"/>
      <c r="X23" s="622"/>
      <c r="Y23" s="496"/>
      <c r="Z23" s="496"/>
      <c r="AA23" s="496"/>
      <c r="AB23" s="496"/>
      <c r="AC23" s="496"/>
      <c r="AD23" s="487"/>
      <c r="AE23" s="495"/>
      <c r="AF23" s="271"/>
      <c r="AG23" s="272"/>
      <c r="AH23" s="272"/>
      <c r="AI23" s="273"/>
      <c r="AJ23" s="273"/>
      <c r="AK23" s="273"/>
      <c r="AL23" s="273"/>
      <c r="AM23" s="273"/>
      <c r="AN23" s="273"/>
      <c r="AO23" s="273"/>
      <c r="AP23" s="273"/>
      <c r="AQ23" s="273"/>
      <c r="AR23" s="273"/>
      <c r="AS23" s="274"/>
      <c r="AT23" s="295"/>
      <c r="AU23" s="295"/>
      <c r="AV23" s="624"/>
      <c r="AW23" s="206"/>
      <c r="AX23" s="206"/>
      <c r="AY23" s="206"/>
      <c r="BF23" s="207" t="b">
        <f>OR('Terminal Unit Valve Schedule'!$D18="2-WAY",'Terminal Unit Valve Schedule'!$D18="3-WAY")</f>
        <v>1</v>
      </c>
    </row>
    <row r="24" spans="1:58" s="28" customFormat="1" ht="18" customHeight="1">
      <c r="A24" s="625"/>
      <c r="B24" s="604"/>
      <c r="C24" s="493"/>
      <c r="D24" s="598"/>
      <c r="E24" s="599"/>
      <c r="F24" s="601"/>
      <c r="G24" s="601"/>
      <c r="H24" s="602"/>
      <c r="I24" s="607"/>
      <c r="J24" s="488"/>
      <c r="K24" s="489"/>
      <c r="L24" s="489"/>
      <c r="M24" s="489"/>
      <c r="N24" s="490"/>
      <c r="O24" s="491"/>
      <c r="P24" s="491"/>
      <c r="Q24" s="626"/>
      <c r="R24" s="613"/>
      <c r="S24" s="497"/>
      <c r="T24" s="615"/>
      <c r="U24" s="618"/>
      <c r="V24" s="620"/>
      <c r="W24" s="606"/>
      <c r="X24" s="622"/>
      <c r="Y24" s="496"/>
      <c r="Z24" s="496"/>
      <c r="AA24" s="496"/>
      <c r="AB24" s="496"/>
      <c r="AC24" s="496"/>
      <c r="AD24" s="487"/>
      <c r="AE24" s="495"/>
      <c r="AF24" s="271"/>
      <c r="AG24" s="272"/>
      <c r="AH24" s="272"/>
      <c r="AI24" s="273"/>
      <c r="AJ24" s="273"/>
      <c r="AK24" s="273"/>
      <c r="AL24" s="273"/>
      <c r="AM24" s="273"/>
      <c r="AN24" s="273"/>
      <c r="AO24" s="273"/>
      <c r="AP24" s="273"/>
      <c r="AQ24" s="273"/>
      <c r="AR24" s="273"/>
      <c r="AS24" s="274"/>
      <c r="AT24" s="295"/>
      <c r="AU24" s="295"/>
      <c r="AV24" s="624"/>
      <c r="AW24" s="25"/>
      <c r="AX24" s="25"/>
      <c r="AY24" s="25"/>
      <c r="BF24" s="207" t="b">
        <f>OR('Terminal Unit Valve Schedule'!$D19="2-WAY",'Terminal Unit Valve Schedule'!$D19="3-WAY")</f>
        <v>1</v>
      </c>
    </row>
    <row r="25" spans="1:58" s="28" customFormat="1" ht="18" customHeight="1">
      <c r="A25" s="625"/>
      <c r="B25" s="604"/>
      <c r="C25" s="493"/>
      <c r="D25" s="598"/>
      <c r="E25" s="599"/>
      <c r="F25" s="601"/>
      <c r="G25" s="601"/>
      <c r="H25" s="602"/>
      <c r="I25" s="607"/>
      <c r="J25" s="488"/>
      <c r="K25" s="489"/>
      <c r="L25" s="489"/>
      <c r="M25" s="489"/>
      <c r="N25" s="490"/>
      <c r="O25" s="491"/>
      <c r="P25" s="491"/>
      <c r="Q25" s="626"/>
      <c r="R25" s="613"/>
      <c r="S25" s="497"/>
      <c r="T25" s="615"/>
      <c r="U25" s="618"/>
      <c r="V25" s="620"/>
      <c r="W25" s="606"/>
      <c r="X25" s="622"/>
      <c r="Y25" s="496"/>
      <c r="Z25" s="496"/>
      <c r="AA25" s="496"/>
      <c r="AB25" s="496"/>
      <c r="AC25" s="496"/>
      <c r="AD25" s="487"/>
      <c r="AE25" s="495"/>
      <c r="AF25" s="271"/>
      <c r="AG25" s="272"/>
      <c r="AH25" s="272"/>
      <c r="AI25" s="273"/>
      <c r="AJ25" s="273"/>
      <c r="AK25" s="273"/>
      <c r="AL25" s="273"/>
      <c r="AM25" s="273"/>
      <c r="AN25" s="273"/>
      <c r="AO25" s="273"/>
      <c r="AP25" s="273"/>
      <c r="AQ25" s="273"/>
      <c r="AR25" s="273"/>
      <c r="AS25" s="274"/>
      <c r="AT25" s="295"/>
      <c r="AU25" s="295"/>
      <c r="AV25" s="624"/>
      <c r="AW25" s="25"/>
      <c r="AX25" s="25"/>
      <c r="AY25" s="25"/>
      <c r="BF25" s="207" t="b">
        <f>OR('Terminal Unit Valve Schedule'!$D20="2-WAY",'Terminal Unit Valve Schedule'!$D20="3-WAY")</f>
        <v>1</v>
      </c>
    </row>
    <row r="26" spans="1:58" s="28" customFormat="1" ht="18" customHeight="1">
      <c r="A26" s="625"/>
      <c r="B26" s="604"/>
      <c r="C26" s="493"/>
      <c r="D26" s="598"/>
      <c r="E26" s="599"/>
      <c r="F26" s="601"/>
      <c r="G26" s="601"/>
      <c r="H26" s="602"/>
      <c r="I26" s="607"/>
      <c r="J26" s="488"/>
      <c r="K26" s="489"/>
      <c r="L26" s="489"/>
      <c r="M26" s="489"/>
      <c r="N26" s="490"/>
      <c r="O26" s="491"/>
      <c r="P26" s="491"/>
      <c r="Q26" s="626"/>
      <c r="R26" s="613"/>
      <c r="S26" s="497"/>
      <c r="T26" s="615"/>
      <c r="U26" s="618"/>
      <c r="V26" s="620"/>
      <c r="W26" s="606"/>
      <c r="X26" s="622"/>
      <c r="Y26" s="496"/>
      <c r="Z26" s="496"/>
      <c r="AA26" s="496"/>
      <c r="AB26" s="496"/>
      <c r="AC26" s="496"/>
      <c r="AD26" s="487"/>
      <c r="AE26" s="495"/>
      <c r="AF26" s="271"/>
      <c r="AG26" s="272"/>
      <c r="AH26" s="272"/>
      <c r="AI26" s="273"/>
      <c r="AJ26" s="273"/>
      <c r="AK26" s="273"/>
      <c r="AL26" s="273"/>
      <c r="AM26" s="273"/>
      <c r="AN26" s="273"/>
      <c r="AO26" s="273"/>
      <c r="AP26" s="273"/>
      <c r="AQ26" s="273"/>
      <c r="AR26" s="273"/>
      <c r="AS26" s="274"/>
      <c r="AT26" s="295"/>
      <c r="AU26" s="295"/>
      <c r="AV26" s="624"/>
      <c r="AW26" s="25"/>
      <c r="AX26" s="25"/>
      <c r="AY26" s="25"/>
      <c r="BF26" s="207" t="b">
        <f>OR('Terminal Unit Valve Schedule'!$D21="2-WAY",'Terminal Unit Valve Schedule'!$D21="3-WAY")</f>
        <v>1</v>
      </c>
    </row>
    <row r="27" spans="1:58" s="28" customFormat="1" ht="18" customHeight="1">
      <c r="A27" s="625"/>
      <c r="B27" s="604"/>
      <c r="C27" s="493"/>
      <c r="D27" s="598"/>
      <c r="E27" s="599"/>
      <c r="F27" s="601"/>
      <c r="G27" s="601"/>
      <c r="H27" s="602"/>
      <c r="I27" s="607"/>
      <c r="J27" s="488"/>
      <c r="K27" s="489"/>
      <c r="L27" s="489"/>
      <c r="M27" s="489"/>
      <c r="N27" s="490"/>
      <c r="O27" s="491"/>
      <c r="P27" s="491"/>
      <c r="Q27" s="626"/>
      <c r="R27" s="613"/>
      <c r="S27" s="497"/>
      <c r="T27" s="615"/>
      <c r="U27" s="618"/>
      <c r="V27" s="620"/>
      <c r="W27" s="606"/>
      <c r="X27" s="622"/>
      <c r="Y27" s="496"/>
      <c r="Z27" s="496"/>
      <c r="AA27" s="496"/>
      <c r="AB27" s="496"/>
      <c r="AC27" s="496"/>
      <c r="AD27" s="487"/>
      <c r="AE27" s="495"/>
      <c r="AF27" s="271"/>
      <c r="AG27" s="272"/>
      <c r="AH27" s="272"/>
      <c r="AI27" s="273"/>
      <c r="AJ27" s="273"/>
      <c r="AK27" s="273"/>
      <c r="AL27" s="273"/>
      <c r="AM27" s="273"/>
      <c r="AN27" s="273"/>
      <c r="AO27" s="273"/>
      <c r="AP27" s="273"/>
      <c r="AQ27" s="273"/>
      <c r="AR27" s="273"/>
      <c r="AS27" s="274"/>
      <c r="AT27" s="295"/>
      <c r="AU27" s="295"/>
      <c r="AV27" s="624"/>
      <c r="AW27" s="25"/>
      <c r="AX27" s="25"/>
      <c r="AY27" s="25"/>
      <c r="BF27" s="207" t="b">
        <f>OR('Terminal Unit Valve Schedule'!$D22="2-WAY",'Terminal Unit Valve Schedule'!$D22="3-WAY")</f>
        <v>1</v>
      </c>
    </row>
    <row r="28" spans="1:58" s="28" customFormat="1" ht="18" customHeight="1">
      <c r="A28" s="625"/>
      <c r="B28" s="604"/>
      <c r="C28" s="493"/>
      <c r="D28" s="598"/>
      <c r="E28" s="599"/>
      <c r="F28" s="601"/>
      <c r="G28" s="601"/>
      <c r="H28" s="602"/>
      <c r="I28" s="607"/>
      <c r="J28" s="488"/>
      <c r="K28" s="489"/>
      <c r="L28" s="489"/>
      <c r="M28" s="489"/>
      <c r="N28" s="490"/>
      <c r="O28" s="491"/>
      <c r="P28" s="491"/>
      <c r="Q28" s="626"/>
      <c r="R28" s="613"/>
      <c r="S28" s="497"/>
      <c r="T28" s="615"/>
      <c r="U28" s="618"/>
      <c r="V28" s="620"/>
      <c r="W28" s="606"/>
      <c r="X28" s="622"/>
      <c r="Y28" s="496"/>
      <c r="Z28" s="496"/>
      <c r="AA28" s="496"/>
      <c r="AB28" s="496"/>
      <c r="AC28" s="496"/>
      <c r="AD28" s="487"/>
      <c r="AE28" s="495"/>
      <c r="AF28" s="271"/>
      <c r="AG28" s="272"/>
      <c r="AH28" s="272"/>
      <c r="AI28" s="273"/>
      <c r="AJ28" s="273"/>
      <c r="AK28" s="273"/>
      <c r="AL28" s="273"/>
      <c r="AM28" s="273"/>
      <c r="AN28" s="273"/>
      <c r="AO28" s="273"/>
      <c r="AP28" s="273"/>
      <c r="AQ28" s="273"/>
      <c r="AR28" s="273"/>
      <c r="AS28" s="274"/>
      <c r="AT28" s="295"/>
      <c r="AU28" s="295"/>
      <c r="AV28" s="624"/>
      <c r="AW28" s="25"/>
      <c r="AX28" s="25"/>
      <c r="AY28" s="25"/>
      <c r="BF28" s="207" t="b">
        <f>OR('Terminal Unit Valve Schedule'!$D23="2-WAY",'Terminal Unit Valve Schedule'!$D23="3-WAY")</f>
        <v>1</v>
      </c>
    </row>
    <row r="29" spans="1:58" s="28" customFormat="1" ht="18" customHeight="1">
      <c r="A29" s="625"/>
      <c r="B29" s="604"/>
      <c r="C29" s="493"/>
      <c r="D29" s="598"/>
      <c r="E29" s="599"/>
      <c r="F29" s="601"/>
      <c r="G29" s="601"/>
      <c r="H29" s="602"/>
      <c r="I29" s="607"/>
      <c r="J29" s="488"/>
      <c r="K29" s="489"/>
      <c r="L29" s="489"/>
      <c r="M29" s="489"/>
      <c r="N29" s="490"/>
      <c r="O29" s="491"/>
      <c r="P29" s="491"/>
      <c r="Q29" s="626"/>
      <c r="R29" s="613"/>
      <c r="S29" s="497"/>
      <c r="T29" s="615"/>
      <c r="U29" s="618"/>
      <c r="V29" s="620"/>
      <c r="W29" s="606"/>
      <c r="X29" s="622"/>
      <c r="Y29" s="496"/>
      <c r="Z29" s="496"/>
      <c r="AA29" s="496"/>
      <c r="AB29" s="496"/>
      <c r="AC29" s="496"/>
      <c r="AD29" s="487"/>
      <c r="AE29" s="495"/>
      <c r="AF29" s="271"/>
      <c r="AG29" s="272"/>
      <c r="AH29" s="272"/>
      <c r="AI29" s="273"/>
      <c r="AJ29" s="273"/>
      <c r="AK29" s="273"/>
      <c r="AL29" s="273"/>
      <c r="AM29" s="273"/>
      <c r="AN29" s="273"/>
      <c r="AO29" s="273"/>
      <c r="AP29" s="273"/>
      <c r="AQ29" s="273"/>
      <c r="AR29" s="273"/>
      <c r="AS29" s="274"/>
      <c r="AT29" s="295"/>
      <c r="AU29" s="295"/>
      <c r="AV29" s="624"/>
      <c r="AW29" s="25"/>
      <c r="AX29" s="25"/>
      <c r="AY29" s="25"/>
      <c r="BF29" s="207" t="b">
        <f>OR('Terminal Unit Valve Schedule'!$D24="2-WAY",'Terminal Unit Valve Schedule'!$D24="3-WAY")</f>
        <v>1</v>
      </c>
    </row>
    <row r="30" spans="1:58" s="28" customFormat="1" ht="18" customHeight="1">
      <c r="A30" s="625"/>
      <c r="B30" s="604"/>
      <c r="C30" s="493"/>
      <c r="D30" s="598"/>
      <c r="E30" s="599"/>
      <c r="F30" s="601"/>
      <c r="G30" s="601"/>
      <c r="H30" s="602"/>
      <c r="I30" s="607"/>
      <c r="J30" s="488"/>
      <c r="K30" s="489"/>
      <c r="L30" s="489"/>
      <c r="M30" s="489"/>
      <c r="N30" s="490"/>
      <c r="O30" s="491"/>
      <c r="P30" s="491"/>
      <c r="Q30" s="626"/>
      <c r="R30" s="613"/>
      <c r="S30" s="497"/>
      <c r="T30" s="615"/>
      <c r="U30" s="618"/>
      <c r="V30" s="620"/>
      <c r="W30" s="606"/>
      <c r="X30" s="622"/>
      <c r="Y30" s="496"/>
      <c r="Z30" s="496"/>
      <c r="AA30" s="496"/>
      <c r="AB30" s="496"/>
      <c r="AC30" s="496"/>
      <c r="AD30" s="487"/>
      <c r="AE30" s="495"/>
      <c r="AF30" s="271"/>
      <c r="AG30" s="272"/>
      <c r="AH30" s="272"/>
      <c r="AI30" s="273"/>
      <c r="AJ30" s="273"/>
      <c r="AK30" s="273"/>
      <c r="AL30" s="273"/>
      <c r="AM30" s="273"/>
      <c r="AN30" s="273"/>
      <c r="AO30" s="273"/>
      <c r="AP30" s="273"/>
      <c r="AQ30" s="273"/>
      <c r="AR30" s="273"/>
      <c r="AS30" s="274"/>
      <c r="AT30" s="295"/>
      <c r="AU30" s="295"/>
      <c r="AV30" s="624"/>
      <c r="AW30" s="25"/>
      <c r="AX30" s="25"/>
      <c r="AY30" s="25"/>
      <c r="BF30" s="207" t="b">
        <f>OR('Terminal Unit Valve Schedule'!$D25="2-WAY",'Terminal Unit Valve Schedule'!$D25="3-WAY")</f>
        <v>1</v>
      </c>
    </row>
    <row r="31" spans="1:58" s="28" customFormat="1" ht="18" customHeight="1">
      <c r="A31" s="625"/>
      <c r="B31" s="604"/>
      <c r="C31" s="493"/>
      <c r="D31" s="598"/>
      <c r="E31" s="599"/>
      <c r="F31" s="601"/>
      <c r="G31" s="601"/>
      <c r="H31" s="602"/>
      <c r="I31" s="607"/>
      <c r="J31" s="488"/>
      <c r="K31" s="489"/>
      <c r="L31" s="489"/>
      <c r="M31" s="489"/>
      <c r="N31" s="490"/>
      <c r="O31" s="491"/>
      <c r="P31" s="491"/>
      <c r="Q31" s="626"/>
      <c r="R31" s="613"/>
      <c r="S31" s="497"/>
      <c r="T31" s="615"/>
      <c r="U31" s="618"/>
      <c r="V31" s="620"/>
      <c r="W31" s="606"/>
      <c r="X31" s="622"/>
      <c r="Y31" s="496"/>
      <c r="Z31" s="496"/>
      <c r="AA31" s="496"/>
      <c r="AB31" s="496"/>
      <c r="AC31" s="496"/>
      <c r="AD31" s="487"/>
      <c r="AE31" s="495"/>
      <c r="AF31" s="271"/>
      <c r="AG31" s="272"/>
      <c r="AH31" s="272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4"/>
      <c r="AT31" s="295"/>
      <c r="AU31" s="295"/>
      <c r="AV31" s="624"/>
      <c r="AW31" s="25"/>
      <c r="AX31" s="25"/>
      <c r="AY31" s="25"/>
      <c r="BF31" s="207" t="b">
        <f>OR('Terminal Unit Valve Schedule'!$D26="2-WAY",'Terminal Unit Valve Schedule'!$D26="3-WAY")</f>
        <v>1</v>
      </c>
    </row>
    <row r="32" spans="1:58" s="28" customFormat="1" ht="18" customHeight="1">
      <c r="A32" s="625"/>
      <c r="B32" s="604"/>
      <c r="C32" s="493"/>
      <c r="D32" s="598"/>
      <c r="E32" s="599"/>
      <c r="F32" s="601"/>
      <c r="G32" s="601"/>
      <c r="H32" s="602"/>
      <c r="I32" s="607"/>
      <c r="J32" s="488"/>
      <c r="K32" s="489"/>
      <c r="L32" s="489"/>
      <c r="M32" s="489"/>
      <c r="N32" s="490"/>
      <c r="O32" s="491"/>
      <c r="P32" s="491"/>
      <c r="Q32" s="626"/>
      <c r="R32" s="613"/>
      <c r="S32" s="497"/>
      <c r="T32" s="615"/>
      <c r="U32" s="618"/>
      <c r="V32" s="620"/>
      <c r="W32" s="606"/>
      <c r="X32" s="622"/>
      <c r="Y32" s="496"/>
      <c r="Z32" s="496"/>
      <c r="AA32" s="496"/>
      <c r="AB32" s="496"/>
      <c r="AC32" s="496"/>
      <c r="AD32" s="487"/>
      <c r="AE32" s="495"/>
      <c r="AF32" s="271"/>
      <c r="AG32" s="272"/>
      <c r="AH32" s="272"/>
      <c r="AI32" s="273"/>
      <c r="AJ32" s="273"/>
      <c r="AK32" s="273"/>
      <c r="AL32" s="273"/>
      <c r="AM32" s="273"/>
      <c r="AN32" s="273"/>
      <c r="AO32" s="273"/>
      <c r="AP32" s="273"/>
      <c r="AQ32" s="273"/>
      <c r="AR32" s="273"/>
      <c r="AS32" s="274"/>
      <c r="AT32" s="295"/>
      <c r="AU32" s="295"/>
      <c r="AV32" s="624"/>
      <c r="AW32" s="25"/>
      <c r="AX32" s="25"/>
      <c r="AY32" s="25"/>
      <c r="BF32" s="207" t="b">
        <f>OR('Terminal Unit Valve Schedule'!$D27="2-WAY",'Terminal Unit Valve Schedule'!$D27="3-WAY")</f>
        <v>1</v>
      </c>
    </row>
    <row r="33" spans="1:58" s="28" customFormat="1" ht="18" customHeight="1">
      <c r="A33" s="625"/>
      <c r="B33" s="604"/>
      <c r="C33" s="493"/>
      <c r="D33" s="598"/>
      <c r="E33" s="599"/>
      <c r="F33" s="601"/>
      <c r="G33" s="601"/>
      <c r="H33" s="602"/>
      <c r="I33" s="607"/>
      <c r="J33" s="488"/>
      <c r="K33" s="489"/>
      <c r="L33" s="489"/>
      <c r="M33" s="489"/>
      <c r="N33" s="490"/>
      <c r="O33" s="491"/>
      <c r="P33" s="491"/>
      <c r="Q33" s="626"/>
      <c r="R33" s="613"/>
      <c r="S33" s="497"/>
      <c r="T33" s="615"/>
      <c r="U33" s="618"/>
      <c r="V33" s="620"/>
      <c r="W33" s="606"/>
      <c r="X33" s="622"/>
      <c r="Y33" s="496"/>
      <c r="Z33" s="496"/>
      <c r="AA33" s="496"/>
      <c r="AB33" s="496"/>
      <c r="AC33" s="496"/>
      <c r="AD33" s="487"/>
      <c r="AE33" s="495"/>
      <c r="AF33" s="271"/>
      <c r="AG33" s="272"/>
      <c r="AH33" s="272"/>
      <c r="AI33" s="273"/>
      <c r="AJ33" s="273"/>
      <c r="AK33" s="273"/>
      <c r="AL33" s="273"/>
      <c r="AM33" s="273"/>
      <c r="AN33" s="273"/>
      <c r="AO33" s="273"/>
      <c r="AP33" s="273"/>
      <c r="AQ33" s="273"/>
      <c r="AR33" s="273"/>
      <c r="AS33" s="274"/>
      <c r="AT33" s="295"/>
      <c r="AU33" s="295"/>
      <c r="AV33" s="624"/>
      <c r="AW33" s="25"/>
      <c r="AX33" s="25"/>
      <c r="AY33" s="25"/>
      <c r="BF33" s="207" t="b">
        <f>OR('Terminal Unit Valve Schedule'!$D28="2-WAY",'Terminal Unit Valve Schedule'!$D28="3-WAY")</f>
        <v>1</v>
      </c>
    </row>
    <row r="34" spans="1:58" s="28" customFormat="1" ht="18" customHeight="1">
      <c r="A34" s="625"/>
      <c r="B34" s="604"/>
      <c r="C34" s="493"/>
      <c r="D34" s="598"/>
      <c r="E34" s="599"/>
      <c r="F34" s="601"/>
      <c r="G34" s="601"/>
      <c r="H34" s="602"/>
      <c r="I34" s="607"/>
      <c r="J34" s="488"/>
      <c r="K34" s="489"/>
      <c r="L34" s="489"/>
      <c r="M34" s="489"/>
      <c r="N34" s="490"/>
      <c r="O34" s="491"/>
      <c r="P34" s="491"/>
      <c r="Q34" s="626"/>
      <c r="R34" s="613"/>
      <c r="S34" s="497"/>
      <c r="T34" s="615"/>
      <c r="U34" s="618"/>
      <c r="V34" s="620"/>
      <c r="W34" s="606"/>
      <c r="X34" s="622"/>
      <c r="Y34" s="496"/>
      <c r="Z34" s="496"/>
      <c r="AA34" s="496"/>
      <c r="AB34" s="496"/>
      <c r="AC34" s="496"/>
      <c r="AD34" s="487"/>
      <c r="AE34" s="495"/>
      <c r="AF34" s="271"/>
      <c r="AG34" s="272"/>
      <c r="AH34" s="272"/>
      <c r="AI34" s="273"/>
      <c r="AJ34" s="273"/>
      <c r="AK34" s="273"/>
      <c r="AL34" s="273"/>
      <c r="AM34" s="273"/>
      <c r="AN34" s="273"/>
      <c r="AO34" s="273"/>
      <c r="AP34" s="273"/>
      <c r="AQ34" s="273"/>
      <c r="AR34" s="273"/>
      <c r="AS34" s="274"/>
      <c r="AT34" s="295"/>
      <c r="AU34" s="295"/>
      <c r="AV34" s="624"/>
      <c r="AW34" s="25"/>
      <c r="AX34" s="25"/>
      <c r="AY34" s="25"/>
      <c r="BF34" s="207" t="b">
        <f>OR('Terminal Unit Valve Schedule'!$D29="2-WAY",'Terminal Unit Valve Schedule'!$D29="3-WAY")</f>
        <v>1</v>
      </c>
    </row>
    <row r="35" spans="1:58" s="28" customFormat="1" ht="18" customHeight="1">
      <c r="A35" s="625"/>
      <c r="B35" s="604"/>
      <c r="C35" s="493"/>
      <c r="D35" s="598"/>
      <c r="E35" s="599"/>
      <c r="F35" s="601"/>
      <c r="G35" s="601"/>
      <c r="H35" s="602"/>
      <c r="I35" s="607"/>
      <c r="J35" s="488"/>
      <c r="K35" s="489"/>
      <c r="L35" s="489"/>
      <c r="M35" s="489"/>
      <c r="N35" s="490"/>
      <c r="O35" s="491"/>
      <c r="P35" s="491"/>
      <c r="Q35" s="626"/>
      <c r="R35" s="613"/>
      <c r="S35" s="497"/>
      <c r="T35" s="615"/>
      <c r="U35" s="618"/>
      <c r="V35" s="620"/>
      <c r="W35" s="606"/>
      <c r="X35" s="622"/>
      <c r="Y35" s="496"/>
      <c r="Z35" s="496"/>
      <c r="AA35" s="496"/>
      <c r="AB35" s="496"/>
      <c r="AC35" s="496"/>
      <c r="AD35" s="487"/>
      <c r="AE35" s="495"/>
      <c r="AF35" s="271"/>
      <c r="AG35" s="272"/>
      <c r="AH35" s="272"/>
      <c r="AI35" s="273"/>
      <c r="AJ35" s="273"/>
      <c r="AK35" s="273"/>
      <c r="AL35" s="273"/>
      <c r="AM35" s="273"/>
      <c r="AN35" s="273"/>
      <c r="AO35" s="273"/>
      <c r="AP35" s="273"/>
      <c r="AQ35" s="273"/>
      <c r="AR35" s="273"/>
      <c r="AS35" s="274"/>
      <c r="AT35" s="295"/>
      <c r="AU35" s="295"/>
      <c r="AV35" s="624"/>
      <c r="AW35" s="25"/>
      <c r="AX35" s="25"/>
      <c r="AY35" s="25"/>
      <c r="BF35" s="207" t="b">
        <f>OR('Terminal Unit Valve Schedule'!$D30="2-WAY",'Terminal Unit Valve Schedule'!$D30="3-WAY")</f>
        <v>1</v>
      </c>
    </row>
    <row r="36" spans="1:58" s="28" customFormat="1" ht="18" customHeight="1">
      <c r="A36" s="625"/>
      <c r="B36" s="604"/>
      <c r="C36" s="497"/>
      <c r="D36" s="598"/>
      <c r="E36" s="599"/>
      <c r="F36" s="601"/>
      <c r="G36" s="601"/>
      <c r="H36" s="602"/>
      <c r="I36" s="607"/>
      <c r="J36" s="488"/>
      <c r="K36" s="489"/>
      <c r="L36" s="489"/>
      <c r="M36" s="489"/>
      <c r="N36" s="490"/>
      <c r="O36" s="491"/>
      <c r="P36" s="491"/>
      <c r="Q36" s="626"/>
      <c r="R36" s="613"/>
      <c r="S36" s="497"/>
      <c r="T36" s="615"/>
      <c r="U36" s="618"/>
      <c r="V36" s="620"/>
      <c r="W36" s="606"/>
      <c r="X36" s="622"/>
      <c r="Y36" s="496"/>
      <c r="Z36" s="496"/>
      <c r="AA36" s="496"/>
      <c r="AB36" s="496"/>
      <c r="AC36" s="496"/>
      <c r="AD36" s="487"/>
      <c r="AE36" s="495"/>
      <c r="AF36" s="271"/>
      <c r="AG36" s="272"/>
      <c r="AH36" s="272"/>
      <c r="AI36" s="273"/>
      <c r="AJ36" s="273"/>
      <c r="AK36" s="273"/>
      <c r="AL36" s="273"/>
      <c r="AM36" s="273"/>
      <c r="AN36" s="273"/>
      <c r="AO36" s="273"/>
      <c r="AP36" s="273"/>
      <c r="AQ36" s="273"/>
      <c r="AR36" s="273"/>
      <c r="AS36" s="274"/>
      <c r="AT36" s="295"/>
      <c r="AU36" s="295"/>
      <c r="AV36" s="624"/>
      <c r="AW36" s="25"/>
      <c r="AX36" s="25"/>
      <c r="AY36" s="25"/>
      <c r="BF36" s="207" t="b">
        <f>OR('Terminal Unit Valve Schedule'!$D31="2-WAY",'Terminal Unit Valve Schedule'!$D31="3-WAY")</f>
        <v>1</v>
      </c>
    </row>
    <row r="37" spans="1:58" s="28" customFormat="1" ht="18" customHeight="1">
      <c r="A37" s="625"/>
      <c r="B37" s="604"/>
      <c r="C37" s="497"/>
      <c r="D37" s="598"/>
      <c r="E37" s="599"/>
      <c r="F37" s="601"/>
      <c r="G37" s="601"/>
      <c r="H37" s="602"/>
      <c r="I37" s="607"/>
      <c r="J37" s="488"/>
      <c r="K37" s="489"/>
      <c r="L37" s="489"/>
      <c r="M37" s="489"/>
      <c r="N37" s="490"/>
      <c r="O37" s="491"/>
      <c r="P37" s="491"/>
      <c r="Q37" s="626"/>
      <c r="R37" s="613"/>
      <c r="S37" s="497"/>
      <c r="T37" s="615"/>
      <c r="U37" s="618"/>
      <c r="V37" s="620"/>
      <c r="W37" s="606"/>
      <c r="X37" s="622"/>
      <c r="Y37" s="496"/>
      <c r="Z37" s="496"/>
      <c r="AA37" s="496"/>
      <c r="AB37" s="496"/>
      <c r="AC37" s="496"/>
      <c r="AD37" s="487"/>
      <c r="AE37" s="495"/>
      <c r="AF37" s="271"/>
      <c r="AG37" s="272"/>
      <c r="AH37" s="272"/>
      <c r="AI37" s="273"/>
      <c r="AJ37" s="273"/>
      <c r="AK37" s="273"/>
      <c r="AL37" s="273"/>
      <c r="AM37" s="273"/>
      <c r="AN37" s="273"/>
      <c r="AO37" s="273"/>
      <c r="AP37" s="273"/>
      <c r="AQ37" s="273"/>
      <c r="AR37" s="273"/>
      <c r="AS37" s="274"/>
      <c r="AT37" s="295"/>
      <c r="AU37" s="295"/>
      <c r="AV37" s="624"/>
      <c r="AW37" s="25"/>
      <c r="AX37" s="25"/>
      <c r="AY37" s="25"/>
      <c r="BF37" s="207" t="b">
        <f>OR('Terminal Unit Valve Schedule'!$D32="2-WAY",'Terminal Unit Valve Schedule'!$D32="3-WAY")</f>
        <v>1</v>
      </c>
    </row>
    <row r="38" spans="1:58" s="28" customFormat="1" ht="18" customHeight="1">
      <c r="A38" s="625"/>
      <c r="B38" s="604"/>
      <c r="C38" s="497"/>
      <c r="D38" s="598"/>
      <c r="E38" s="599"/>
      <c r="F38" s="601"/>
      <c r="G38" s="601"/>
      <c r="H38" s="602"/>
      <c r="I38" s="607"/>
      <c r="J38" s="488"/>
      <c r="K38" s="489"/>
      <c r="L38" s="489"/>
      <c r="M38" s="489"/>
      <c r="N38" s="490"/>
      <c r="O38" s="491"/>
      <c r="P38" s="491"/>
      <c r="Q38" s="626"/>
      <c r="R38" s="613"/>
      <c r="S38" s="497"/>
      <c r="T38" s="615"/>
      <c r="U38" s="618"/>
      <c r="V38" s="620"/>
      <c r="W38" s="606"/>
      <c r="X38" s="622"/>
      <c r="Y38" s="496"/>
      <c r="Z38" s="496"/>
      <c r="AA38" s="496"/>
      <c r="AB38" s="496"/>
      <c r="AC38" s="496"/>
      <c r="AD38" s="487"/>
      <c r="AE38" s="495"/>
      <c r="AF38" s="271"/>
      <c r="AG38" s="272"/>
      <c r="AH38" s="272"/>
      <c r="AI38" s="273"/>
      <c r="AJ38" s="273"/>
      <c r="AK38" s="273"/>
      <c r="AL38" s="273"/>
      <c r="AM38" s="273"/>
      <c r="AN38" s="273"/>
      <c r="AO38" s="273"/>
      <c r="AP38" s="273"/>
      <c r="AQ38" s="273"/>
      <c r="AR38" s="273"/>
      <c r="AS38" s="274"/>
      <c r="AT38" s="295"/>
      <c r="AU38" s="295"/>
      <c r="AV38" s="624"/>
      <c r="AW38" s="25"/>
      <c r="AX38" s="25"/>
      <c r="AY38" s="25"/>
      <c r="BF38" s="207" t="b">
        <f>OR('Terminal Unit Valve Schedule'!$D33="2-WAY",'Terminal Unit Valve Schedule'!$D33="3-WAY")</f>
        <v>1</v>
      </c>
    </row>
    <row r="39" spans="1:58" s="28" customFormat="1" ht="18" customHeight="1">
      <c r="A39" s="625"/>
      <c r="B39" s="604"/>
      <c r="C39" s="497"/>
      <c r="D39" s="598"/>
      <c r="E39" s="599"/>
      <c r="F39" s="601"/>
      <c r="G39" s="601"/>
      <c r="H39" s="602"/>
      <c r="I39" s="607"/>
      <c r="J39" s="488"/>
      <c r="K39" s="489"/>
      <c r="L39" s="489"/>
      <c r="M39" s="489"/>
      <c r="N39" s="490"/>
      <c r="O39" s="491"/>
      <c r="P39" s="491"/>
      <c r="Q39" s="626"/>
      <c r="R39" s="613"/>
      <c r="S39" s="497"/>
      <c r="T39" s="615"/>
      <c r="U39" s="618"/>
      <c r="V39" s="620"/>
      <c r="W39" s="606"/>
      <c r="X39" s="622"/>
      <c r="Y39" s="496"/>
      <c r="Z39" s="496"/>
      <c r="AA39" s="496"/>
      <c r="AB39" s="496"/>
      <c r="AC39" s="496"/>
      <c r="AD39" s="487"/>
      <c r="AE39" s="495"/>
      <c r="AF39" s="271"/>
      <c r="AG39" s="272"/>
      <c r="AH39" s="272"/>
      <c r="AI39" s="273"/>
      <c r="AJ39" s="273"/>
      <c r="AK39" s="273"/>
      <c r="AL39" s="273"/>
      <c r="AM39" s="273"/>
      <c r="AN39" s="273"/>
      <c r="AO39" s="273"/>
      <c r="AP39" s="273"/>
      <c r="AQ39" s="273"/>
      <c r="AR39" s="273"/>
      <c r="AS39" s="274"/>
      <c r="AT39" s="295"/>
      <c r="AU39" s="295"/>
      <c r="AV39" s="624"/>
      <c r="AW39" s="25"/>
      <c r="AX39" s="25"/>
      <c r="AY39" s="25"/>
      <c r="BF39" s="207" t="b">
        <f>OR('Terminal Unit Valve Schedule'!$D34="2-WAY",'Terminal Unit Valve Schedule'!$D34="3-WAY")</f>
        <v>1</v>
      </c>
    </row>
    <row r="40" spans="1:58" s="28" customFormat="1" ht="18" customHeight="1">
      <c r="A40" s="625"/>
      <c r="B40" s="604"/>
      <c r="C40" s="493"/>
      <c r="D40" s="598"/>
      <c r="E40" s="599"/>
      <c r="F40" s="601"/>
      <c r="G40" s="601"/>
      <c r="H40" s="602"/>
      <c r="I40" s="607"/>
      <c r="J40" s="488"/>
      <c r="K40" s="489"/>
      <c r="L40" s="489"/>
      <c r="M40" s="489"/>
      <c r="N40" s="490"/>
      <c r="O40" s="491"/>
      <c r="P40" s="491"/>
      <c r="Q40" s="626"/>
      <c r="R40" s="613"/>
      <c r="S40" s="497"/>
      <c r="T40" s="615"/>
      <c r="U40" s="618"/>
      <c r="V40" s="620"/>
      <c r="W40" s="606"/>
      <c r="X40" s="622"/>
      <c r="Y40" s="496"/>
      <c r="Z40" s="496"/>
      <c r="AA40" s="496"/>
      <c r="AB40" s="496"/>
      <c r="AC40" s="496"/>
      <c r="AD40" s="487"/>
      <c r="AE40" s="495"/>
      <c r="AF40" s="271"/>
      <c r="AG40" s="272"/>
      <c r="AH40" s="272"/>
      <c r="AI40" s="273"/>
      <c r="AJ40" s="273"/>
      <c r="AK40" s="273"/>
      <c r="AL40" s="273"/>
      <c r="AM40" s="273"/>
      <c r="AN40" s="273"/>
      <c r="AO40" s="273"/>
      <c r="AP40" s="273"/>
      <c r="AQ40" s="273"/>
      <c r="AR40" s="273"/>
      <c r="AS40" s="274"/>
      <c r="AT40" s="295"/>
      <c r="AU40" s="295"/>
      <c r="AV40" s="624"/>
      <c r="AW40" s="25"/>
      <c r="AX40" s="25"/>
      <c r="AY40" s="25"/>
      <c r="BF40" s="207" t="b">
        <f>OR('Terminal Unit Valve Schedule'!$D35="2-WAY",'Terminal Unit Valve Schedule'!$D35="3-WAY")</f>
        <v>1</v>
      </c>
    </row>
    <row r="41" spans="1:58" s="28" customFormat="1" ht="18" customHeight="1">
      <c r="A41" s="625"/>
      <c r="B41" s="604"/>
      <c r="C41" s="493"/>
      <c r="D41" s="598"/>
      <c r="E41" s="599"/>
      <c r="F41" s="601"/>
      <c r="G41" s="601"/>
      <c r="H41" s="602"/>
      <c r="I41" s="607"/>
      <c r="J41" s="488"/>
      <c r="K41" s="489"/>
      <c r="L41" s="489"/>
      <c r="M41" s="489"/>
      <c r="N41" s="490"/>
      <c r="O41" s="491"/>
      <c r="P41" s="491"/>
      <c r="Q41" s="626"/>
      <c r="R41" s="613"/>
      <c r="S41" s="497"/>
      <c r="T41" s="615"/>
      <c r="U41" s="618"/>
      <c r="V41" s="620"/>
      <c r="W41" s="606"/>
      <c r="X41" s="622"/>
      <c r="Y41" s="496"/>
      <c r="Z41" s="496"/>
      <c r="AA41" s="496"/>
      <c r="AB41" s="496"/>
      <c r="AC41" s="496"/>
      <c r="AD41" s="487"/>
      <c r="AE41" s="495"/>
      <c r="AF41" s="271"/>
      <c r="AG41" s="272"/>
      <c r="AH41" s="272"/>
      <c r="AI41" s="273"/>
      <c r="AJ41" s="273"/>
      <c r="AK41" s="273"/>
      <c r="AL41" s="273"/>
      <c r="AM41" s="273"/>
      <c r="AN41" s="273"/>
      <c r="AO41" s="273"/>
      <c r="AP41" s="273"/>
      <c r="AQ41" s="273"/>
      <c r="AR41" s="273"/>
      <c r="AS41" s="274"/>
      <c r="AT41" s="295"/>
      <c r="AU41" s="295"/>
      <c r="AV41" s="624"/>
      <c r="AW41" s="25"/>
      <c r="AX41" s="25"/>
      <c r="AY41" s="25"/>
      <c r="BF41" s="207" t="b">
        <f>OR('Terminal Unit Valve Schedule'!$D36="2-WAY",'Terminal Unit Valve Schedule'!$D36="3-WAY")</f>
        <v>1</v>
      </c>
    </row>
    <row r="42" spans="1:58" s="28" customFormat="1" ht="18" customHeight="1">
      <c r="A42" s="625"/>
      <c r="B42" s="604"/>
      <c r="C42" s="493"/>
      <c r="D42" s="598"/>
      <c r="E42" s="599"/>
      <c r="F42" s="601"/>
      <c r="G42" s="601"/>
      <c r="H42" s="602"/>
      <c r="I42" s="607"/>
      <c r="J42" s="488"/>
      <c r="K42" s="489"/>
      <c r="L42" s="489"/>
      <c r="M42" s="489"/>
      <c r="N42" s="490"/>
      <c r="O42" s="491"/>
      <c r="P42" s="491"/>
      <c r="Q42" s="626"/>
      <c r="R42" s="613"/>
      <c r="S42" s="497"/>
      <c r="T42" s="615"/>
      <c r="U42" s="618"/>
      <c r="V42" s="620"/>
      <c r="W42" s="606"/>
      <c r="X42" s="622"/>
      <c r="Y42" s="496"/>
      <c r="Z42" s="496"/>
      <c r="AA42" s="496"/>
      <c r="AB42" s="496"/>
      <c r="AC42" s="496"/>
      <c r="AD42" s="487"/>
      <c r="AE42" s="495"/>
      <c r="AF42" s="271"/>
      <c r="AG42" s="272"/>
      <c r="AH42" s="272"/>
      <c r="AI42" s="273"/>
      <c r="AJ42" s="273"/>
      <c r="AK42" s="273"/>
      <c r="AL42" s="273"/>
      <c r="AM42" s="273"/>
      <c r="AN42" s="273"/>
      <c r="AO42" s="273"/>
      <c r="AP42" s="273"/>
      <c r="AQ42" s="273"/>
      <c r="AR42" s="273"/>
      <c r="AS42" s="274"/>
      <c r="AT42" s="295"/>
      <c r="AU42" s="295"/>
      <c r="AV42" s="624"/>
      <c r="AW42" s="25"/>
      <c r="AX42" s="25"/>
      <c r="AY42" s="25"/>
      <c r="BF42" s="207" t="b">
        <f>OR('Terminal Unit Valve Schedule'!$D37="2-WAY",'Terminal Unit Valve Schedule'!$D37="3-WAY")</f>
        <v>1</v>
      </c>
    </row>
    <row r="43" spans="1:58" s="28" customFormat="1" ht="18" customHeight="1">
      <c r="A43" s="625"/>
      <c r="B43" s="604"/>
      <c r="C43" s="497"/>
      <c r="D43" s="598"/>
      <c r="E43" s="599"/>
      <c r="F43" s="601"/>
      <c r="G43" s="601"/>
      <c r="H43" s="602"/>
      <c r="I43" s="607"/>
      <c r="J43" s="488"/>
      <c r="K43" s="489"/>
      <c r="L43" s="489"/>
      <c r="M43" s="489"/>
      <c r="N43" s="490"/>
      <c r="O43" s="491"/>
      <c r="P43" s="491"/>
      <c r="Q43" s="626"/>
      <c r="R43" s="613"/>
      <c r="S43" s="497"/>
      <c r="T43" s="615"/>
      <c r="U43" s="618"/>
      <c r="V43" s="620"/>
      <c r="W43" s="606"/>
      <c r="X43" s="622"/>
      <c r="Y43" s="496"/>
      <c r="Z43" s="496"/>
      <c r="AA43" s="496"/>
      <c r="AB43" s="496"/>
      <c r="AC43" s="496"/>
      <c r="AD43" s="487"/>
      <c r="AE43" s="495"/>
      <c r="AF43" s="271"/>
      <c r="AG43" s="272"/>
      <c r="AH43" s="272"/>
      <c r="AI43" s="273"/>
      <c r="AJ43" s="273"/>
      <c r="AK43" s="273"/>
      <c r="AL43" s="273"/>
      <c r="AM43" s="273"/>
      <c r="AN43" s="273"/>
      <c r="AO43" s="273"/>
      <c r="AP43" s="273"/>
      <c r="AQ43" s="273"/>
      <c r="AR43" s="273"/>
      <c r="AS43" s="274"/>
      <c r="AT43" s="295"/>
      <c r="AU43" s="295"/>
      <c r="AV43" s="624"/>
      <c r="AW43" s="25"/>
      <c r="AX43" s="25"/>
      <c r="AY43" s="25"/>
      <c r="BF43" s="207" t="b">
        <f>OR('Terminal Unit Valve Schedule'!$D38="2-WAY",'Terminal Unit Valve Schedule'!$D38="3-WAY")</f>
        <v>1</v>
      </c>
    </row>
    <row r="44" spans="1:58" s="28" customFormat="1" ht="18" customHeight="1">
      <c r="A44" s="625"/>
      <c r="B44" s="604"/>
      <c r="C44" s="493"/>
      <c r="D44" s="598"/>
      <c r="E44" s="599"/>
      <c r="F44" s="601"/>
      <c r="G44" s="601"/>
      <c r="H44" s="602"/>
      <c r="I44" s="607"/>
      <c r="J44" s="488"/>
      <c r="K44" s="489"/>
      <c r="L44" s="489"/>
      <c r="M44" s="489"/>
      <c r="N44" s="490"/>
      <c r="O44" s="491"/>
      <c r="P44" s="491"/>
      <c r="Q44" s="626"/>
      <c r="R44" s="613"/>
      <c r="S44" s="497"/>
      <c r="T44" s="615"/>
      <c r="U44" s="618"/>
      <c r="V44" s="620"/>
      <c r="W44" s="606"/>
      <c r="X44" s="622"/>
      <c r="Y44" s="496"/>
      <c r="Z44" s="496"/>
      <c r="AA44" s="496"/>
      <c r="AB44" s="496"/>
      <c r="AC44" s="496"/>
      <c r="AD44" s="487"/>
      <c r="AE44" s="495"/>
      <c r="AF44" s="271"/>
      <c r="AG44" s="272"/>
      <c r="AH44" s="272"/>
      <c r="AI44" s="273"/>
      <c r="AJ44" s="273"/>
      <c r="AK44" s="273"/>
      <c r="AL44" s="273"/>
      <c r="AM44" s="273"/>
      <c r="AN44" s="273"/>
      <c r="AO44" s="273"/>
      <c r="AP44" s="273"/>
      <c r="AQ44" s="273"/>
      <c r="AR44" s="273"/>
      <c r="AS44" s="274"/>
      <c r="AT44" s="295"/>
      <c r="AU44" s="295"/>
      <c r="AV44" s="624"/>
      <c r="AW44" s="25"/>
      <c r="AX44" s="25"/>
      <c r="AY44" s="25"/>
      <c r="BF44" s="207" t="b">
        <f>OR('Terminal Unit Valve Schedule'!$D39="2-WAY",'Terminal Unit Valve Schedule'!$D39="3-WAY")</f>
        <v>1</v>
      </c>
    </row>
    <row r="45" spans="1:58" s="28" customFormat="1" ht="18" customHeight="1">
      <c r="A45" s="625"/>
      <c r="B45" s="604"/>
      <c r="C45" s="493"/>
      <c r="D45" s="598"/>
      <c r="E45" s="599"/>
      <c r="F45" s="601"/>
      <c r="G45" s="601"/>
      <c r="H45" s="602"/>
      <c r="I45" s="607"/>
      <c r="J45" s="488"/>
      <c r="K45" s="489"/>
      <c r="L45" s="489"/>
      <c r="M45" s="489"/>
      <c r="N45" s="490"/>
      <c r="O45" s="491"/>
      <c r="P45" s="491"/>
      <c r="Q45" s="626"/>
      <c r="R45" s="613"/>
      <c r="S45" s="497"/>
      <c r="T45" s="615"/>
      <c r="U45" s="618"/>
      <c r="V45" s="620"/>
      <c r="W45" s="606"/>
      <c r="X45" s="622"/>
      <c r="Y45" s="496"/>
      <c r="Z45" s="496"/>
      <c r="AA45" s="496"/>
      <c r="AB45" s="496"/>
      <c r="AC45" s="496"/>
      <c r="AD45" s="487"/>
      <c r="AE45" s="495"/>
      <c r="AF45" s="271"/>
      <c r="AG45" s="272"/>
      <c r="AH45" s="272"/>
      <c r="AI45" s="273"/>
      <c r="AJ45" s="273"/>
      <c r="AK45" s="273"/>
      <c r="AL45" s="273"/>
      <c r="AM45" s="273"/>
      <c r="AN45" s="273"/>
      <c r="AO45" s="273"/>
      <c r="AP45" s="273"/>
      <c r="AQ45" s="273"/>
      <c r="AR45" s="273"/>
      <c r="AS45" s="274"/>
      <c r="AT45" s="295"/>
      <c r="AU45" s="295"/>
      <c r="AV45" s="624"/>
      <c r="AW45" s="25"/>
      <c r="AX45" s="25"/>
      <c r="AY45" s="25"/>
      <c r="BF45" s="207" t="b">
        <f>OR('Terminal Unit Valve Schedule'!$D40="2-WAY",'Terminal Unit Valve Schedule'!$D40="3-WAY")</f>
        <v>1</v>
      </c>
    </row>
    <row r="46" spans="1:58" s="28" customFormat="1" ht="18" customHeight="1">
      <c r="A46" s="625"/>
      <c r="B46" s="604"/>
      <c r="C46" s="493"/>
      <c r="D46" s="598"/>
      <c r="E46" s="599"/>
      <c r="F46" s="601"/>
      <c r="G46" s="601"/>
      <c r="H46" s="602"/>
      <c r="I46" s="607"/>
      <c r="J46" s="488"/>
      <c r="K46" s="489"/>
      <c r="L46" s="489"/>
      <c r="M46" s="489"/>
      <c r="N46" s="490"/>
      <c r="O46" s="491"/>
      <c r="P46" s="491"/>
      <c r="Q46" s="626"/>
      <c r="R46" s="613"/>
      <c r="S46" s="497"/>
      <c r="T46" s="615"/>
      <c r="U46" s="618"/>
      <c r="V46" s="620"/>
      <c r="W46" s="606"/>
      <c r="X46" s="622"/>
      <c r="Y46" s="496"/>
      <c r="Z46" s="496"/>
      <c r="AA46" s="496"/>
      <c r="AB46" s="496"/>
      <c r="AC46" s="496"/>
      <c r="AD46" s="487"/>
      <c r="AE46" s="495"/>
      <c r="AF46" s="271"/>
      <c r="AG46" s="272"/>
      <c r="AH46" s="272"/>
      <c r="AI46" s="273"/>
      <c r="AJ46" s="273"/>
      <c r="AK46" s="273"/>
      <c r="AL46" s="273"/>
      <c r="AM46" s="273"/>
      <c r="AN46" s="273"/>
      <c r="AO46" s="273"/>
      <c r="AP46" s="273"/>
      <c r="AQ46" s="273"/>
      <c r="AR46" s="273"/>
      <c r="AS46" s="274"/>
      <c r="AT46" s="295"/>
      <c r="AU46" s="295"/>
      <c r="AV46" s="624"/>
      <c r="AW46" s="25"/>
      <c r="AX46" s="25"/>
      <c r="AY46" s="25"/>
      <c r="BF46" s="207" t="b">
        <f>OR('Terminal Unit Valve Schedule'!$D41="2-WAY",'Terminal Unit Valve Schedule'!$D41="3-WAY")</f>
        <v>1</v>
      </c>
    </row>
    <row r="47" spans="1:58" s="28" customFormat="1" ht="18" customHeight="1">
      <c r="A47" s="625"/>
      <c r="B47" s="604"/>
      <c r="C47" s="497"/>
      <c r="D47" s="598"/>
      <c r="E47" s="599"/>
      <c r="F47" s="601"/>
      <c r="G47" s="601"/>
      <c r="H47" s="602"/>
      <c r="I47" s="607"/>
      <c r="J47" s="488"/>
      <c r="K47" s="489"/>
      <c r="L47" s="489"/>
      <c r="M47" s="489"/>
      <c r="N47" s="490"/>
      <c r="O47" s="491"/>
      <c r="P47" s="491"/>
      <c r="Q47" s="626"/>
      <c r="R47" s="613"/>
      <c r="S47" s="497"/>
      <c r="T47" s="615"/>
      <c r="U47" s="618"/>
      <c r="V47" s="620"/>
      <c r="W47" s="606"/>
      <c r="X47" s="622"/>
      <c r="Y47" s="496"/>
      <c r="Z47" s="496"/>
      <c r="AA47" s="496"/>
      <c r="AB47" s="496"/>
      <c r="AC47" s="496"/>
      <c r="AD47" s="487"/>
      <c r="AE47" s="495"/>
      <c r="AF47" s="271"/>
      <c r="AG47" s="272"/>
      <c r="AH47" s="272"/>
      <c r="AI47" s="273"/>
      <c r="AJ47" s="273"/>
      <c r="AK47" s="273"/>
      <c r="AL47" s="273"/>
      <c r="AM47" s="273"/>
      <c r="AN47" s="273"/>
      <c r="AO47" s="273"/>
      <c r="AP47" s="273"/>
      <c r="AQ47" s="273"/>
      <c r="AR47" s="273"/>
      <c r="AS47" s="274"/>
      <c r="AT47" s="295"/>
      <c r="AU47" s="295"/>
      <c r="AV47" s="624"/>
      <c r="AW47" s="25"/>
      <c r="AX47" s="25"/>
      <c r="AY47" s="25"/>
      <c r="BF47" s="207" t="b">
        <f>OR('Terminal Unit Valve Schedule'!$D42="2-WAY",'Terminal Unit Valve Schedule'!$D42="3-WAY")</f>
        <v>1</v>
      </c>
    </row>
    <row r="48" spans="1:58" s="28" customFormat="1" ht="18" customHeight="1">
      <c r="A48" s="625"/>
      <c r="B48" s="604"/>
      <c r="C48" s="497"/>
      <c r="D48" s="598"/>
      <c r="E48" s="599"/>
      <c r="F48" s="601"/>
      <c r="G48" s="601"/>
      <c r="H48" s="602"/>
      <c r="I48" s="607"/>
      <c r="J48" s="488"/>
      <c r="K48" s="489"/>
      <c r="L48" s="489"/>
      <c r="M48" s="489"/>
      <c r="N48" s="490"/>
      <c r="O48" s="491"/>
      <c r="P48" s="491"/>
      <c r="Q48" s="626"/>
      <c r="R48" s="613"/>
      <c r="S48" s="497"/>
      <c r="T48" s="615"/>
      <c r="U48" s="618"/>
      <c r="V48" s="620"/>
      <c r="W48" s="606"/>
      <c r="X48" s="622"/>
      <c r="Y48" s="496"/>
      <c r="Z48" s="496"/>
      <c r="AA48" s="496"/>
      <c r="AB48" s="496"/>
      <c r="AC48" s="496"/>
      <c r="AD48" s="487"/>
      <c r="AE48" s="495"/>
      <c r="AF48" s="271"/>
      <c r="AG48" s="272"/>
      <c r="AH48" s="272"/>
      <c r="AI48" s="273"/>
      <c r="AJ48" s="273"/>
      <c r="AK48" s="273"/>
      <c r="AL48" s="273"/>
      <c r="AM48" s="273"/>
      <c r="AN48" s="273"/>
      <c r="AO48" s="273"/>
      <c r="AP48" s="273"/>
      <c r="AQ48" s="273"/>
      <c r="AR48" s="273"/>
      <c r="AS48" s="274"/>
      <c r="AT48" s="295"/>
      <c r="AU48" s="295"/>
      <c r="AV48" s="624"/>
      <c r="AW48" s="25"/>
      <c r="AX48" s="25"/>
      <c r="AY48" s="25"/>
      <c r="BF48" s="207" t="b">
        <f>OR('Terminal Unit Valve Schedule'!$D43="2-WAY",'Terminal Unit Valve Schedule'!$D43="3-WAY")</f>
        <v>1</v>
      </c>
    </row>
    <row r="49" spans="1:58" s="28" customFormat="1" ht="18" customHeight="1">
      <c r="A49" s="625"/>
      <c r="B49" s="604"/>
      <c r="C49" s="493"/>
      <c r="D49" s="598"/>
      <c r="E49" s="599"/>
      <c r="F49" s="601"/>
      <c r="G49" s="601"/>
      <c r="H49" s="602"/>
      <c r="I49" s="607"/>
      <c r="J49" s="488"/>
      <c r="K49" s="489"/>
      <c r="L49" s="489"/>
      <c r="M49" s="489"/>
      <c r="N49" s="490"/>
      <c r="O49" s="491"/>
      <c r="P49" s="491"/>
      <c r="Q49" s="626"/>
      <c r="R49" s="613"/>
      <c r="S49" s="497"/>
      <c r="T49" s="615"/>
      <c r="U49" s="618"/>
      <c r="V49" s="620"/>
      <c r="W49" s="606"/>
      <c r="X49" s="622"/>
      <c r="Y49" s="496"/>
      <c r="Z49" s="496"/>
      <c r="AA49" s="496"/>
      <c r="AB49" s="496"/>
      <c r="AC49" s="496"/>
      <c r="AD49" s="487"/>
      <c r="AE49" s="495"/>
      <c r="AF49" s="271"/>
      <c r="AG49" s="272"/>
      <c r="AH49" s="272"/>
      <c r="AI49" s="273"/>
      <c r="AJ49" s="273"/>
      <c r="AK49" s="273"/>
      <c r="AL49" s="273"/>
      <c r="AM49" s="273"/>
      <c r="AN49" s="273"/>
      <c r="AO49" s="273"/>
      <c r="AP49" s="273"/>
      <c r="AQ49" s="273"/>
      <c r="AR49" s="273"/>
      <c r="AS49" s="274"/>
      <c r="AT49" s="295"/>
      <c r="AU49" s="295"/>
      <c r="AV49" s="624"/>
      <c r="AW49" s="25"/>
      <c r="AX49" s="25"/>
      <c r="AY49" s="25"/>
      <c r="BF49" s="207" t="b">
        <f>OR('Terminal Unit Valve Schedule'!$D44="2-WAY",'Terminal Unit Valve Schedule'!$D44="3-WAY")</f>
        <v>1</v>
      </c>
    </row>
    <row r="50" spans="1:58" s="28" customFormat="1" ht="18" customHeight="1">
      <c r="A50" s="625"/>
      <c r="B50" s="604"/>
      <c r="C50" s="497"/>
      <c r="D50" s="598"/>
      <c r="E50" s="599"/>
      <c r="F50" s="601"/>
      <c r="G50" s="601"/>
      <c r="H50" s="602"/>
      <c r="I50" s="607"/>
      <c r="J50" s="488"/>
      <c r="K50" s="489"/>
      <c r="L50" s="489"/>
      <c r="M50" s="489"/>
      <c r="N50" s="490"/>
      <c r="O50" s="491"/>
      <c r="P50" s="491"/>
      <c r="Q50" s="626"/>
      <c r="R50" s="613"/>
      <c r="S50" s="497"/>
      <c r="T50" s="615"/>
      <c r="U50" s="618"/>
      <c r="V50" s="620"/>
      <c r="W50" s="606"/>
      <c r="X50" s="622"/>
      <c r="Y50" s="496"/>
      <c r="Z50" s="496"/>
      <c r="AA50" s="496"/>
      <c r="AB50" s="496"/>
      <c r="AC50" s="496"/>
      <c r="AD50" s="487"/>
      <c r="AE50" s="495"/>
      <c r="AF50" s="271"/>
      <c r="AG50" s="272"/>
      <c r="AH50" s="272"/>
      <c r="AI50" s="273"/>
      <c r="AJ50" s="273"/>
      <c r="AK50" s="273"/>
      <c r="AL50" s="273"/>
      <c r="AM50" s="273"/>
      <c r="AN50" s="273"/>
      <c r="AO50" s="273"/>
      <c r="AP50" s="273"/>
      <c r="AQ50" s="273"/>
      <c r="AR50" s="273"/>
      <c r="AS50" s="274"/>
      <c r="AT50" s="295"/>
      <c r="AU50" s="295"/>
      <c r="AV50" s="624"/>
      <c r="AW50" s="25"/>
      <c r="AX50" s="25"/>
      <c r="AY50" s="25"/>
      <c r="BF50" s="207" t="b">
        <f>OR('Terminal Unit Valve Schedule'!$D45="2-WAY",'Terminal Unit Valve Schedule'!$D45="3-WAY")</f>
        <v>1</v>
      </c>
    </row>
    <row r="51" spans="1:58" s="28" customFormat="1" ht="18" customHeight="1">
      <c r="A51" s="625"/>
      <c r="B51" s="604"/>
      <c r="C51" s="497"/>
      <c r="D51" s="598"/>
      <c r="E51" s="599"/>
      <c r="F51" s="601"/>
      <c r="G51" s="601"/>
      <c r="H51" s="602"/>
      <c r="I51" s="607"/>
      <c r="J51" s="605"/>
      <c r="K51" s="489"/>
      <c r="L51" s="489"/>
      <c r="M51" s="489"/>
      <c r="N51" s="490"/>
      <c r="O51" s="491"/>
      <c r="P51" s="491"/>
      <c r="Q51" s="626"/>
      <c r="R51" s="613"/>
      <c r="S51" s="497"/>
      <c r="T51" s="615"/>
      <c r="U51" s="618"/>
      <c r="V51" s="620"/>
      <c r="W51" s="606"/>
      <c r="X51" s="622"/>
      <c r="Y51" s="496"/>
      <c r="Z51" s="496"/>
      <c r="AA51" s="496"/>
      <c r="AB51" s="496"/>
      <c r="AC51" s="496"/>
      <c r="AD51" s="487"/>
      <c r="AE51" s="495"/>
      <c r="AF51" s="271"/>
      <c r="AG51" s="272"/>
      <c r="AH51" s="272"/>
      <c r="AI51" s="273"/>
      <c r="AJ51" s="273"/>
      <c r="AK51" s="273"/>
      <c r="AL51" s="273"/>
      <c r="AM51" s="273"/>
      <c r="AN51" s="273"/>
      <c r="AO51" s="273"/>
      <c r="AP51" s="273"/>
      <c r="AQ51" s="273"/>
      <c r="AR51" s="273"/>
      <c r="AS51" s="274"/>
      <c r="AT51" s="295"/>
      <c r="AU51" s="295"/>
      <c r="AV51" s="526"/>
      <c r="AW51" s="25"/>
      <c r="AX51" s="25"/>
      <c r="AY51" s="25"/>
      <c r="BF51" s="207" t="b">
        <f>OR('Terminal Unit Valve Schedule'!$D46="2-WAY",'Terminal Unit Valve Schedule'!$D46="3-WAY")</f>
        <v>1</v>
      </c>
    </row>
    <row r="52" spans="1:58" s="28" customFormat="1" ht="18" customHeight="1">
      <c r="A52" s="625"/>
      <c r="B52" s="604"/>
      <c r="C52" s="493"/>
      <c r="D52" s="598"/>
      <c r="E52" s="599"/>
      <c r="F52" s="601"/>
      <c r="G52" s="601"/>
      <c r="H52" s="602"/>
      <c r="I52" s="607"/>
      <c r="J52" s="605"/>
      <c r="K52" s="489"/>
      <c r="L52" s="489"/>
      <c r="M52" s="489"/>
      <c r="N52" s="490"/>
      <c r="O52" s="491"/>
      <c r="P52" s="491"/>
      <c r="Q52" s="626"/>
      <c r="R52" s="613"/>
      <c r="S52" s="497"/>
      <c r="T52" s="615"/>
      <c r="U52" s="618"/>
      <c r="V52" s="620"/>
      <c r="W52" s="606"/>
      <c r="X52" s="622"/>
      <c r="Y52" s="496"/>
      <c r="Z52" s="496"/>
      <c r="AA52" s="496"/>
      <c r="AB52" s="496"/>
      <c r="AC52" s="496"/>
      <c r="AD52" s="487"/>
      <c r="AE52" s="495"/>
      <c r="AF52" s="271"/>
      <c r="AG52" s="272"/>
      <c r="AH52" s="272"/>
      <c r="AI52" s="273"/>
      <c r="AJ52" s="273"/>
      <c r="AK52" s="273"/>
      <c r="AL52" s="273"/>
      <c r="AM52" s="273"/>
      <c r="AN52" s="273"/>
      <c r="AO52" s="273"/>
      <c r="AP52" s="273"/>
      <c r="AQ52" s="273"/>
      <c r="AR52" s="273"/>
      <c r="AS52" s="274"/>
      <c r="AT52" s="295"/>
      <c r="AU52" s="295"/>
      <c r="AV52" s="526"/>
      <c r="AW52" s="25"/>
      <c r="AX52" s="25"/>
      <c r="AY52" s="25"/>
      <c r="BF52" s="207" t="b">
        <f>OR('Terminal Unit Valve Schedule'!$D47="2-WAY",'Terminal Unit Valve Schedule'!$D47="3-WAY")</f>
        <v>1</v>
      </c>
    </row>
    <row r="53" spans="1:58" s="28" customFormat="1" ht="18" customHeight="1">
      <c r="A53" s="625"/>
      <c r="B53" s="604"/>
      <c r="C53" s="497"/>
      <c r="D53" s="598"/>
      <c r="E53" s="599"/>
      <c r="F53" s="601"/>
      <c r="G53" s="601"/>
      <c r="H53" s="602"/>
      <c r="I53" s="607"/>
      <c r="J53" s="605"/>
      <c r="K53" s="489"/>
      <c r="L53" s="489"/>
      <c r="M53" s="489"/>
      <c r="N53" s="490"/>
      <c r="O53" s="491"/>
      <c r="P53" s="491"/>
      <c r="Q53" s="626"/>
      <c r="R53" s="613"/>
      <c r="S53" s="497"/>
      <c r="T53" s="615"/>
      <c r="U53" s="618"/>
      <c r="V53" s="620"/>
      <c r="W53" s="606"/>
      <c r="X53" s="622"/>
      <c r="Y53" s="496"/>
      <c r="Z53" s="496"/>
      <c r="AA53" s="496"/>
      <c r="AB53" s="496"/>
      <c r="AC53" s="496"/>
      <c r="AD53" s="487"/>
      <c r="AE53" s="495"/>
      <c r="AF53" s="271"/>
      <c r="AG53" s="272"/>
      <c r="AH53" s="272"/>
      <c r="AI53" s="273"/>
      <c r="AJ53" s="273"/>
      <c r="AK53" s="273"/>
      <c r="AL53" s="273"/>
      <c r="AM53" s="273"/>
      <c r="AN53" s="273"/>
      <c r="AO53" s="273"/>
      <c r="AP53" s="273"/>
      <c r="AQ53" s="273"/>
      <c r="AR53" s="273"/>
      <c r="AS53" s="274"/>
      <c r="AT53" s="295"/>
      <c r="AU53" s="295"/>
      <c r="AV53" s="526"/>
      <c r="AW53" s="25"/>
      <c r="AX53" s="25"/>
      <c r="AY53" s="25"/>
      <c r="BF53" s="207" t="b">
        <f>OR('Terminal Unit Valve Schedule'!$D48="2-WAY",'Terminal Unit Valve Schedule'!$D48="3-WAY")</f>
        <v>1</v>
      </c>
    </row>
    <row r="54" spans="1:58" s="28" customFormat="1" ht="18" customHeight="1">
      <c r="A54" s="625"/>
      <c r="B54" s="604"/>
      <c r="C54" s="497"/>
      <c r="D54" s="598"/>
      <c r="E54" s="599"/>
      <c r="F54" s="601"/>
      <c r="G54" s="601"/>
      <c r="H54" s="602"/>
      <c r="I54" s="607"/>
      <c r="J54" s="605"/>
      <c r="K54" s="489"/>
      <c r="L54" s="489"/>
      <c r="M54" s="489"/>
      <c r="N54" s="490"/>
      <c r="O54" s="491"/>
      <c r="P54" s="491"/>
      <c r="Q54" s="626"/>
      <c r="R54" s="613"/>
      <c r="S54" s="497"/>
      <c r="T54" s="615"/>
      <c r="U54" s="618"/>
      <c r="V54" s="620"/>
      <c r="W54" s="606"/>
      <c r="X54" s="622"/>
      <c r="Y54" s="496"/>
      <c r="Z54" s="496"/>
      <c r="AA54" s="496"/>
      <c r="AB54" s="496"/>
      <c r="AC54" s="496"/>
      <c r="AD54" s="487"/>
      <c r="AE54" s="495"/>
      <c r="AF54" s="271"/>
      <c r="AG54" s="272"/>
      <c r="AH54" s="272"/>
      <c r="AI54" s="273"/>
      <c r="AJ54" s="273"/>
      <c r="AK54" s="273"/>
      <c r="AL54" s="273"/>
      <c r="AM54" s="273"/>
      <c r="AN54" s="273"/>
      <c r="AO54" s="273"/>
      <c r="AP54" s="273"/>
      <c r="AQ54" s="273"/>
      <c r="AR54" s="273"/>
      <c r="AS54" s="274"/>
      <c r="AT54" s="295"/>
      <c r="AU54" s="295"/>
      <c r="AV54" s="526"/>
      <c r="AW54" s="25"/>
      <c r="AX54" s="25"/>
      <c r="AY54" s="25"/>
      <c r="BF54" s="207" t="b">
        <f>OR('Terminal Unit Valve Schedule'!$D49="2-WAY",'Terminal Unit Valve Schedule'!$D49="3-WAY")</f>
        <v>1</v>
      </c>
    </row>
    <row r="55" spans="1:58" s="28" customFormat="1" ht="18" customHeight="1">
      <c r="A55" s="625"/>
      <c r="B55" s="604"/>
      <c r="C55" s="493"/>
      <c r="D55" s="598"/>
      <c r="E55" s="599"/>
      <c r="F55" s="601"/>
      <c r="G55" s="601"/>
      <c r="H55" s="602"/>
      <c r="I55" s="607"/>
      <c r="J55" s="605"/>
      <c r="K55" s="489"/>
      <c r="L55" s="489"/>
      <c r="M55" s="489"/>
      <c r="N55" s="490"/>
      <c r="O55" s="491"/>
      <c r="P55" s="491"/>
      <c r="Q55" s="626"/>
      <c r="R55" s="613"/>
      <c r="S55" s="497"/>
      <c r="T55" s="615"/>
      <c r="U55" s="618"/>
      <c r="V55" s="620"/>
      <c r="W55" s="606"/>
      <c r="X55" s="622"/>
      <c r="Y55" s="496"/>
      <c r="Z55" s="496"/>
      <c r="AA55" s="496"/>
      <c r="AB55" s="496"/>
      <c r="AC55" s="496"/>
      <c r="AD55" s="487"/>
      <c r="AE55" s="495"/>
      <c r="AF55" s="271"/>
      <c r="AG55" s="272"/>
      <c r="AH55" s="272"/>
      <c r="AI55" s="273"/>
      <c r="AJ55" s="273"/>
      <c r="AK55" s="273"/>
      <c r="AL55" s="273"/>
      <c r="AM55" s="273"/>
      <c r="AN55" s="273"/>
      <c r="AO55" s="273"/>
      <c r="AP55" s="273"/>
      <c r="AQ55" s="273"/>
      <c r="AR55" s="273"/>
      <c r="AS55" s="274"/>
      <c r="AT55" s="295"/>
      <c r="AU55" s="295"/>
      <c r="AV55" s="526"/>
      <c r="AW55" s="25"/>
      <c r="AX55" s="25"/>
      <c r="AY55" s="25"/>
      <c r="BF55" s="207" t="b">
        <f>OR('Terminal Unit Valve Schedule'!$D50="2-WAY",'Terminal Unit Valve Schedule'!$D50="3-WAY")</f>
        <v>1</v>
      </c>
    </row>
    <row r="56" spans="1:58" s="28" customFormat="1" ht="18" customHeight="1">
      <c r="A56" s="625"/>
      <c r="B56" s="604"/>
      <c r="C56" s="497"/>
      <c r="D56" s="598"/>
      <c r="E56" s="599"/>
      <c r="F56" s="601"/>
      <c r="G56" s="601"/>
      <c r="H56" s="602"/>
      <c r="I56" s="607"/>
      <c r="J56" s="605"/>
      <c r="K56" s="489"/>
      <c r="L56" s="489"/>
      <c r="M56" s="489"/>
      <c r="N56" s="490"/>
      <c r="O56" s="491"/>
      <c r="P56" s="491"/>
      <c r="Q56" s="626"/>
      <c r="R56" s="613"/>
      <c r="S56" s="497"/>
      <c r="T56" s="615"/>
      <c r="U56" s="618"/>
      <c r="V56" s="620"/>
      <c r="W56" s="606"/>
      <c r="X56" s="622"/>
      <c r="Y56" s="496"/>
      <c r="Z56" s="496"/>
      <c r="AA56" s="496"/>
      <c r="AB56" s="496"/>
      <c r="AC56" s="496"/>
      <c r="AD56" s="487"/>
      <c r="AE56" s="495"/>
      <c r="AF56" s="271"/>
      <c r="AG56" s="272"/>
      <c r="AH56" s="272"/>
      <c r="AI56" s="273"/>
      <c r="AJ56" s="273"/>
      <c r="AK56" s="273"/>
      <c r="AL56" s="273"/>
      <c r="AM56" s="273"/>
      <c r="AN56" s="273"/>
      <c r="AO56" s="273"/>
      <c r="AP56" s="273"/>
      <c r="AQ56" s="273"/>
      <c r="AR56" s="273"/>
      <c r="AS56" s="274"/>
      <c r="AT56" s="295"/>
      <c r="AU56" s="295"/>
      <c r="AV56" s="526"/>
      <c r="AW56" s="25"/>
      <c r="AX56" s="25"/>
      <c r="AY56" s="25"/>
      <c r="BF56" s="207" t="b">
        <f>OR('Terminal Unit Valve Schedule'!$D51="2-WAY",'Terminal Unit Valve Schedule'!$D51="3-WAY")</f>
        <v>1</v>
      </c>
    </row>
    <row r="57" spans="1:58" s="28" customFormat="1" ht="18" customHeight="1">
      <c r="A57" s="625"/>
      <c r="B57" s="604"/>
      <c r="C57" s="497"/>
      <c r="D57" s="598"/>
      <c r="E57" s="599"/>
      <c r="F57" s="601"/>
      <c r="G57" s="601"/>
      <c r="H57" s="602"/>
      <c r="I57" s="607"/>
      <c r="J57" s="605"/>
      <c r="K57" s="489"/>
      <c r="L57" s="489"/>
      <c r="M57" s="489"/>
      <c r="N57" s="490"/>
      <c r="O57" s="491"/>
      <c r="P57" s="491"/>
      <c r="Q57" s="626"/>
      <c r="R57" s="613"/>
      <c r="S57" s="497"/>
      <c r="T57" s="615"/>
      <c r="U57" s="618"/>
      <c r="V57" s="620"/>
      <c r="W57" s="606"/>
      <c r="X57" s="622"/>
      <c r="Y57" s="496"/>
      <c r="Z57" s="496"/>
      <c r="AA57" s="496"/>
      <c r="AB57" s="496"/>
      <c r="AC57" s="496"/>
      <c r="AD57" s="487"/>
      <c r="AE57" s="495"/>
      <c r="AF57" s="271"/>
      <c r="AG57" s="272"/>
      <c r="AH57" s="272"/>
      <c r="AI57" s="273"/>
      <c r="AJ57" s="273"/>
      <c r="AK57" s="273"/>
      <c r="AL57" s="273"/>
      <c r="AM57" s="273"/>
      <c r="AN57" s="273"/>
      <c r="AO57" s="273"/>
      <c r="AP57" s="273"/>
      <c r="AQ57" s="273"/>
      <c r="AR57" s="273"/>
      <c r="AS57" s="274"/>
      <c r="AT57" s="295"/>
      <c r="AU57" s="295"/>
      <c r="AV57" s="526"/>
      <c r="AW57" s="25"/>
      <c r="AX57" s="25"/>
      <c r="AY57" s="25"/>
      <c r="BF57" s="207" t="b">
        <f>OR('Terminal Unit Valve Schedule'!$D52="2-WAY",'Terminal Unit Valve Schedule'!$D52="3-WAY")</f>
        <v>1</v>
      </c>
    </row>
    <row r="58" spans="1:58" s="28" customFormat="1" ht="18" customHeight="1">
      <c r="A58" s="625"/>
      <c r="B58" s="604"/>
      <c r="C58" s="493"/>
      <c r="D58" s="598"/>
      <c r="E58" s="599"/>
      <c r="F58" s="601"/>
      <c r="G58" s="601"/>
      <c r="H58" s="602"/>
      <c r="I58" s="607"/>
      <c r="J58" s="605"/>
      <c r="K58" s="489"/>
      <c r="L58" s="489"/>
      <c r="M58" s="489"/>
      <c r="N58" s="490"/>
      <c r="O58" s="491"/>
      <c r="P58" s="491"/>
      <c r="Q58" s="626"/>
      <c r="R58" s="613"/>
      <c r="S58" s="497"/>
      <c r="T58" s="615"/>
      <c r="U58" s="618"/>
      <c r="V58" s="620"/>
      <c r="W58" s="606"/>
      <c r="X58" s="622"/>
      <c r="Y58" s="496"/>
      <c r="Z58" s="496"/>
      <c r="AA58" s="496"/>
      <c r="AB58" s="496"/>
      <c r="AC58" s="496"/>
      <c r="AD58" s="487"/>
      <c r="AE58" s="495"/>
      <c r="AF58" s="271"/>
      <c r="AG58" s="272"/>
      <c r="AH58" s="272"/>
      <c r="AI58" s="273"/>
      <c r="AJ58" s="273"/>
      <c r="AK58" s="273"/>
      <c r="AL58" s="273"/>
      <c r="AM58" s="273"/>
      <c r="AN58" s="273"/>
      <c r="AO58" s="273"/>
      <c r="AP58" s="273"/>
      <c r="AQ58" s="273"/>
      <c r="AR58" s="273"/>
      <c r="AS58" s="274"/>
      <c r="AT58" s="295"/>
      <c r="AU58" s="295"/>
      <c r="AV58" s="526"/>
      <c r="AW58" s="25"/>
      <c r="AX58" s="25"/>
      <c r="AY58" s="25"/>
      <c r="BF58" s="207" t="b">
        <f>OR('Terminal Unit Valve Schedule'!$D53="2-WAY",'Terminal Unit Valve Schedule'!$D53="3-WAY")</f>
        <v>1</v>
      </c>
    </row>
    <row r="59" spans="1:58" s="28" customFormat="1" ht="18" customHeight="1">
      <c r="A59" s="625"/>
      <c r="B59" s="604"/>
      <c r="C59" s="497"/>
      <c r="D59" s="598"/>
      <c r="E59" s="599"/>
      <c r="F59" s="601"/>
      <c r="G59" s="601"/>
      <c r="H59" s="602"/>
      <c r="I59" s="607"/>
      <c r="J59" s="605"/>
      <c r="K59" s="489"/>
      <c r="L59" s="489"/>
      <c r="M59" s="489"/>
      <c r="N59" s="490"/>
      <c r="O59" s="491"/>
      <c r="P59" s="491"/>
      <c r="Q59" s="626"/>
      <c r="R59" s="613"/>
      <c r="S59" s="497"/>
      <c r="T59" s="615"/>
      <c r="U59" s="618"/>
      <c r="V59" s="620"/>
      <c r="W59" s="606"/>
      <c r="X59" s="622"/>
      <c r="Y59" s="496"/>
      <c r="Z59" s="496"/>
      <c r="AA59" s="496"/>
      <c r="AB59" s="496"/>
      <c r="AC59" s="496"/>
      <c r="AD59" s="487"/>
      <c r="AE59" s="495"/>
      <c r="AF59" s="271"/>
      <c r="AG59" s="272"/>
      <c r="AH59" s="272"/>
      <c r="AI59" s="273"/>
      <c r="AJ59" s="273"/>
      <c r="AK59" s="273"/>
      <c r="AL59" s="273"/>
      <c r="AM59" s="273"/>
      <c r="AN59" s="273"/>
      <c r="AO59" s="273"/>
      <c r="AP59" s="273"/>
      <c r="AQ59" s="273"/>
      <c r="AR59" s="273"/>
      <c r="AS59" s="274"/>
      <c r="AT59" s="295"/>
      <c r="AU59" s="295"/>
      <c r="AV59" s="526"/>
      <c r="AW59" s="25"/>
      <c r="AX59" s="25"/>
      <c r="AY59" s="25"/>
      <c r="BF59" s="207" t="b">
        <f>OR('Terminal Unit Valve Schedule'!$D54="2-WAY",'Terminal Unit Valve Schedule'!$D54="3-WAY")</f>
        <v>1</v>
      </c>
    </row>
    <row r="60" spans="1:58" s="28" customFormat="1" ht="18" customHeight="1">
      <c r="A60" s="625"/>
      <c r="B60" s="604"/>
      <c r="C60" s="497"/>
      <c r="D60" s="598"/>
      <c r="E60" s="599"/>
      <c r="F60" s="601"/>
      <c r="G60" s="601"/>
      <c r="H60" s="602"/>
      <c r="I60" s="607"/>
      <c r="J60" s="605"/>
      <c r="K60" s="489"/>
      <c r="L60" s="489"/>
      <c r="M60" s="489"/>
      <c r="N60" s="490"/>
      <c r="O60" s="491"/>
      <c r="P60" s="491"/>
      <c r="Q60" s="626"/>
      <c r="R60" s="613"/>
      <c r="S60" s="497"/>
      <c r="T60" s="615"/>
      <c r="U60" s="618"/>
      <c r="V60" s="620"/>
      <c r="W60" s="606"/>
      <c r="X60" s="622"/>
      <c r="Y60" s="496"/>
      <c r="Z60" s="496"/>
      <c r="AA60" s="496"/>
      <c r="AB60" s="496"/>
      <c r="AC60" s="496"/>
      <c r="AD60" s="487"/>
      <c r="AE60" s="495"/>
      <c r="AF60" s="271"/>
      <c r="AG60" s="272"/>
      <c r="AH60" s="272"/>
      <c r="AI60" s="273"/>
      <c r="AJ60" s="273"/>
      <c r="AK60" s="273"/>
      <c r="AL60" s="273"/>
      <c r="AM60" s="273"/>
      <c r="AN60" s="273"/>
      <c r="AO60" s="273"/>
      <c r="AP60" s="273"/>
      <c r="AQ60" s="273"/>
      <c r="AR60" s="273"/>
      <c r="AS60" s="274"/>
      <c r="AT60" s="295"/>
      <c r="AU60" s="295"/>
      <c r="AV60" s="526"/>
      <c r="AW60" s="25"/>
      <c r="AX60" s="25"/>
      <c r="AY60" s="25"/>
      <c r="BF60" s="207" t="b">
        <f>OR('Terminal Unit Valve Schedule'!$D55="2-WAY",'Terminal Unit Valve Schedule'!$D55="3-WAY")</f>
        <v>1</v>
      </c>
    </row>
    <row r="61" spans="1:58" s="28" customFormat="1" ht="18" customHeight="1">
      <c r="A61" s="625"/>
      <c r="B61" s="604"/>
      <c r="C61" s="493"/>
      <c r="D61" s="598"/>
      <c r="E61" s="599"/>
      <c r="F61" s="601"/>
      <c r="G61" s="601"/>
      <c r="H61" s="602"/>
      <c r="I61" s="607"/>
      <c r="J61" s="605"/>
      <c r="K61" s="489"/>
      <c r="L61" s="489"/>
      <c r="M61" s="489"/>
      <c r="N61" s="490"/>
      <c r="O61" s="491"/>
      <c r="P61" s="491"/>
      <c r="Q61" s="626"/>
      <c r="R61" s="613"/>
      <c r="S61" s="497"/>
      <c r="T61" s="615"/>
      <c r="U61" s="618"/>
      <c r="V61" s="620"/>
      <c r="W61" s="606"/>
      <c r="X61" s="622"/>
      <c r="Y61" s="496"/>
      <c r="Z61" s="496"/>
      <c r="AA61" s="496"/>
      <c r="AB61" s="496"/>
      <c r="AC61" s="496"/>
      <c r="AD61" s="487"/>
      <c r="AE61" s="495"/>
      <c r="AF61" s="271"/>
      <c r="AG61" s="272"/>
      <c r="AH61" s="272"/>
      <c r="AI61" s="273"/>
      <c r="AJ61" s="273"/>
      <c r="AK61" s="273"/>
      <c r="AL61" s="273"/>
      <c r="AM61" s="273"/>
      <c r="AN61" s="273"/>
      <c r="AO61" s="273"/>
      <c r="AP61" s="273"/>
      <c r="AQ61" s="273"/>
      <c r="AR61" s="273"/>
      <c r="AS61" s="274"/>
      <c r="AT61" s="295"/>
      <c r="AU61" s="295"/>
      <c r="AV61" s="526"/>
      <c r="AW61" s="25"/>
      <c r="AX61" s="25"/>
      <c r="AY61" s="25"/>
      <c r="BF61" s="207" t="b">
        <f>OR('Terminal Unit Valve Schedule'!$D56="2-WAY",'Terminal Unit Valve Schedule'!$D56="3-WAY")</f>
        <v>1</v>
      </c>
    </row>
    <row r="62" spans="1:58" s="28" customFormat="1" ht="18" customHeight="1">
      <c r="A62" s="625"/>
      <c r="B62" s="604"/>
      <c r="C62" s="497"/>
      <c r="D62" s="598"/>
      <c r="E62" s="599"/>
      <c r="F62" s="601"/>
      <c r="G62" s="601"/>
      <c r="H62" s="602"/>
      <c r="I62" s="607"/>
      <c r="J62" s="605"/>
      <c r="K62" s="489"/>
      <c r="L62" s="489"/>
      <c r="M62" s="489"/>
      <c r="N62" s="490"/>
      <c r="O62" s="491"/>
      <c r="P62" s="491"/>
      <c r="Q62" s="626"/>
      <c r="R62" s="613"/>
      <c r="S62" s="497"/>
      <c r="T62" s="615"/>
      <c r="U62" s="618"/>
      <c r="V62" s="620"/>
      <c r="W62" s="606"/>
      <c r="X62" s="622"/>
      <c r="Y62" s="496"/>
      <c r="Z62" s="496"/>
      <c r="AA62" s="496"/>
      <c r="AB62" s="496"/>
      <c r="AC62" s="496"/>
      <c r="AD62" s="487"/>
      <c r="AE62" s="495"/>
      <c r="AF62" s="271"/>
      <c r="AG62" s="272"/>
      <c r="AH62" s="272"/>
      <c r="AI62" s="273"/>
      <c r="AJ62" s="273"/>
      <c r="AK62" s="273"/>
      <c r="AL62" s="273"/>
      <c r="AM62" s="273"/>
      <c r="AN62" s="273"/>
      <c r="AO62" s="273"/>
      <c r="AP62" s="273"/>
      <c r="AQ62" s="273"/>
      <c r="AR62" s="273"/>
      <c r="AS62" s="274"/>
      <c r="AT62" s="295"/>
      <c r="AU62" s="295"/>
      <c r="AV62" s="526"/>
      <c r="AW62" s="25"/>
      <c r="AX62" s="25"/>
      <c r="AY62" s="25"/>
      <c r="BF62" s="207" t="b">
        <f>OR('Terminal Unit Valve Schedule'!$D57="2-WAY",'Terminal Unit Valve Schedule'!$D57="3-WAY")</f>
        <v>1</v>
      </c>
    </row>
    <row r="63" spans="1:58" s="28" customFormat="1" ht="18" customHeight="1">
      <c r="A63" s="625"/>
      <c r="B63" s="604"/>
      <c r="C63" s="497"/>
      <c r="D63" s="598"/>
      <c r="E63" s="599"/>
      <c r="F63" s="601"/>
      <c r="G63" s="601"/>
      <c r="H63" s="602"/>
      <c r="I63" s="607"/>
      <c r="J63" s="605"/>
      <c r="K63" s="489"/>
      <c r="L63" s="489"/>
      <c r="M63" s="489"/>
      <c r="N63" s="490"/>
      <c r="O63" s="491"/>
      <c r="P63" s="491"/>
      <c r="Q63" s="626"/>
      <c r="R63" s="613"/>
      <c r="S63" s="497"/>
      <c r="T63" s="615"/>
      <c r="U63" s="618"/>
      <c r="V63" s="620"/>
      <c r="W63" s="606"/>
      <c r="X63" s="622"/>
      <c r="Y63" s="496"/>
      <c r="Z63" s="496"/>
      <c r="AA63" s="496"/>
      <c r="AB63" s="496"/>
      <c r="AC63" s="496"/>
      <c r="AD63" s="487"/>
      <c r="AE63" s="495"/>
      <c r="AF63" s="271"/>
      <c r="AG63" s="272"/>
      <c r="AH63" s="272"/>
      <c r="AI63" s="273"/>
      <c r="AJ63" s="273"/>
      <c r="AK63" s="273"/>
      <c r="AL63" s="273"/>
      <c r="AM63" s="273"/>
      <c r="AN63" s="273"/>
      <c r="AO63" s="273"/>
      <c r="AP63" s="273"/>
      <c r="AQ63" s="273"/>
      <c r="AR63" s="273"/>
      <c r="AS63" s="274"/>
      <c r="AT63" s="295"/>
      <c r="AU63" s="295"/>
      <c r="AV63" s="526"/>
      <c r="AW63" s="25"/>
      <c r="AX63" s="25"/>
      <c r="AY63" s="25"/>
      <c r="BF63" s="207" t="b">
        <f>OR('Terminal Unit Valve Schedule'!$D58="2-WAY",'Terminal Unit Valve Schedule'!$D58="3-WAY")</f>
        <v>1</v>
      </c>
    </row>
    <row r="64" spans="1:58" s="28" customFormat="1" ht="18" customHeight="1">
      <c r="A64" s="625"/>
      <c r="B64" s="604"/>
      <c r="C64" s="493"/>
      <c r="D64" s="598"/>
      <c r="E64" s="599"/>
      <c r="F64" s="601"/>
      <c r="G64" s="601"/>
      <c r="H64" s="602"/>
      <c r="I64" s="607"/>
      <c r="J64" s="605"/>
      <c r="K64" s="489"/>
      <c r="L64" s="489"/>
      <c r="M64" s="489"/>
      <c r="N64" s="490"/>
      <c r="O64" s="491"/>
      <c r="P64" s="491"/>
      <c r="Q64" s="626"/>
      <c r="R64" s="613"/>
      <c r="S64" s="497"/>
      <c r="T64" s="615"/>
      <c r="U64" s="618"/>
      <c r="V64" s="620"/>
      <c r="W64" s="606"/>
      <c r="X64" s="622"/>
      <c r="Y64" s="496"/>
      <c r="Z64" s="496"/>
      <c r="AA64" s="496"/>
      <c r="AB64" s="496"/>
      <c r="AC64" s="496"/>
      <c r="AD64" s="487"/>
      <c r="AE64" s="495"/>
      <c r="AF64" s="271"/>
      <c r="AG64" s="272"/>
      <c r="AH64" s="272"/>
      <c r="AI64" s="273"/>
      <c r="AJ64" s="273"/>
      <c r="AK64" s="273"/>
      <c r="AL64" s="273"/>
      <c r="AM64" s="273"/>
      <c r="AN64" s="273"/>
      <c r="AO64" s="273"/>
      <c r="AP64" s="273"/>
      <c r="AQ64" s="273"/>
      <c r="AR64" s="273"/>
      <c r="AS64" s="274"/>
      <c r="AT64" s="295"/>
      <c r="AU64" s="295"/>
      <c r="AV64" s="526"/>
      <c r="AW64" s="25"/>
      <c r="AX64" s="25"/>
      <c r="AY64" s="25"/>
      <c r="BF64" s="207" t="b">
        <f>OR('Terminal Unit Valve Schedule'!$D59="2-WAY",'Terminal Unit Valve Schedule'!$D59="3-WAY")</f>
        <v>1</v>
      </c>
    </row>
    <row r="65" spans="1:58" s="28" customFormat="1" ht="18" customHeight="1">
      <c r="A65" s="625"/>
      <c r="B65" s="604"/>
      <c r="C65" s="497"/>
      <c r="D65" s="598"/>
      <c r="E65" s="599"/>
      <c r="F65" s="601"/>
      <c r="G65" s="601"/>
      <c r="H65" s="602"/>
      <c r="I65" s="607"/>
      <c r="J65" s="605"/>
      <c r="K65" s="489"/>
      <c r="L65" s="489"/>
      <c r="M65" s="489"/>
      <c r="N65" s="490"/>
      <c r="O65" s="491"/>
      <c r="P65" s="491"/>
      <c r="Q65" s="626"/>
      <c r="R65" s="613"/>
      <c r="S65" s="497"/>
      <c r="T65" s="615"/>
      <c r="U65" s="618"/>
      <c r="V65" s="620"/>
      <c r="W65" s="606"/>
      <c r="X65" s="622"/>
      <c r="Y65" s="496"/>
      <c r="Z65" s="496"/>
      <c r="AA65" s="496"/>
      <c r="AB65" s="496"/>
      <c r="AC65" s="496"/>
      <c r="AD65" s="487"/>
      <c r="AE65" s="495"/>
      <c r="AF65" s="271"/>
      <c r="AG65" s="272"/>
      <c r="AH65" s="272"/>
      <c r="AI65" s="273"/>
      <c r="AJ65" s="273"/>
      <c r="AK65" s="273"/>
      <c r="AL65" s="273"/>
      <c r="AM65" s="273"/>
      <c r="AN65" s="273"/>
      <c r="AO65" s="273"/>
      <c r="AP65" s="273"/>
      <c r="AQ65" s="273"/>
      <c r="AR65" s="273"/>
      <c r="AS65" s="274"/>
      <c r="AT65" s="295"/>
      <c r="AU65" s="295"/>
      <c r="AV65" s="526"/>
      <c r="AW65" s="25"/>
      <c r="AX65" s="25"/>
      <c r="AY65" s="25"/>
      <c r="BF65" s="207" t="b">
        <f>OR('Terminal Unit Valve Schedule'!$D60="2-WAY",'Terminal Unit Valve Schedule'!$D60="3-WAY")</f>
        <v>1</v>
      </c>
    </row>
    <row r="66" spans="1:58" s="28" customFormat="1" ht="18" customHeight="1">
      <c r="A66" s="625"/>
      <c r="B66" s="604"/>
      <c r="C66" s="497"/>
      <c r="D66" s="598"/>
      <c r="E66" s="599"/>
      <c r="F66" s="601"/>
      <c r="G66" s="601"/>
      <c r="H66" s="602"/>
      <c r="I66" s="607"/>
      <c r="J66" s="605"/>
      <c r="K66" s="489"/>
      <c r="L66" s="489"/>
      <c r="M66" s="489"/>
      <c r="N66" s="490"/>
      <c r="O66" s="491"/>
      <c r="P66" s="491"/>
      <c r="Q66" s="626"/>
      <c r="R66" s="613"/>
      <c r="S66" s="497"/>
      <c r="T66" s="615"/>
      <c r="U66" s="618"/>
      <c r="V66" s="620"/>
      <c r="W66" s="606"/>
      <c r="X66" s="622"/>
      <c r="Y66" s="496"/>
      <c r="Z66" s="496"/>
      <c r="AA66" s="496"/>
      <c r="AB66" s="496"/>
      <c r="AC66" s="496"/>
      <c r="AD66" s="487"/>
      <c r="AE66" s="495"/>
      <c r="AF66" s="271"/>
      <c r="AG66" s="272"/>
      <c r="AH66" s="272"/>
      <c r="AI66" s="273"/>
      <c r="AJ66" s="273"/>
      <c r="AK66" s="273"/>
      <c r="AL66" s="273"/>
      <c r="AM66" s="273"/>
      <c r="AN66" s="273"/>
      <c r="AO66" s="273"/>
      <c r="AP66" s="273"/>
      <c r="AQ66" s="273"/>
      <c r="AR66" s="273"/>
      <c r="AS66" s="274"/>
      <c r="AT66" s="295"/>
      <c r="AU66" s="295"/>
      <c r="AV66" s="526"/>
      <c r="AW66" s="25"/>
      <c r="AX66" s="25"/>
      <c r="AY66" s="25"/>
      <c r="BF66" s="207" t="b">
        <f>OR('Terminal Unit Valve Schedule'!$D61="2-WAY",'Terminal Unit Valve Schedule'!$D61="3-WAY")</f>
        <v>1</v>
      </c>
    </row>
    <row r="67" spans="1:58" s="28" customFormat="1" ht="18" customHeight="1">
      <c r="A67" s="625"/>
      <c r="B67" s="604"/>
      <c r="C67" s="497"/>
      <c r="D67" s="598"/>
      <c r="E67" s="599"/>
      <c r="F67" s="601"/>
      <c r="G67" s="601"/>
      <c r="H67" s="602"/>
      <c r="I67" s="607"/>
      <c r="J67" s="605"/>
      <c r="K67" s="489"/>
      <c r="L67" s="489"/>
      <c r="M67" s="489"/>
      <c r="N67" s="490"/>
      <c r="O67" s="491"/>
      <c r="P67" s="491"/>
      <c r="Q67" s="626"/>
      <c r="R67" s="613"/>
      <c r="S67" s="497"/>
      <c r="T67" s="615"/>
      <c r="U67" s="618"/>
      <c r="V67" s="620"/>
      <c r="W67" s="606"/>
      <c r="X67" s="622"/>
      <c r="Y67" s="496"/>
      <c r="Z67" s="496"/>
      <c r="AA67" s="496"/>
      <c r="AB67" s="496"/>
      <c r="AC67" s="496"/>
      <c r="AD67" s="487"/>
      <c r="AE67" s="495"/>
      <c r="AF67" s="271"/>
      <c r="AG67" s="272"/>
      <c r="AH67" s="272"/>
      <c r="AI67" s="273"/>
      <c r="AJ67" s="273"/>
      <c r="AK67" s="273"/>
      <c r="AL67" s="273"/>
      <c r="AM67" s="273"/>
      <c r="AN67" s="273"/>
      <c r="AO67" s="273"/>
      <c r="AP67" s="273"/>
      <c r="AQ67" s="273"/>
      <c r="AR67" s="273"/>
      <c r="AS67" s="274"/>
      <c r="AT67" s="295"/>
      <c r="AU67" s="295"/>
      <c r="AV67" s="526"/>
      <c r="AW67" s="25"/>
      <c r="AX67" s="25"/>
      <c r="AY67" s="25"/>
      <c r="BF67" s="207" t="b">
        <f>OR('Terminal Unit Valve Schedule'!$D62="2-WAY",'Terminal Unit Valve Schedule'!$D62="3-WAY")</f>
        <v>1</v>
      </c>
    </row>
    <row r="68" spans="1:58" s="28" customFormat="1" ht="18" customHeight="1">
      <c r="A68" s="625"/>
      <c r="B68" s="604"/>
      <c r="C68" s="497"/>
      <c r="D68" s="598"/>
      <c r="E68" s="599"/>
      <c r="F68" s="601"/>
      <c r="G68" s="601"/>
      <c r="H68" s="602"/>
      <c r="I68" s="607"/>
      <c r="J68" s="605"/>
      <c r="K68" s="489"/>
      <c r="L68" s="489"/>
      <c r="M68" s="489"/>
      <c r="N68" s="490"/>
      <c r="O68" s="491"/>
      <c r="P68" s="491"/>
      <c r="Q68" s="626"/>
      <c r="R68" s="613"/>
      <c r="S68" s="497"/>
      <c r="T68" s="615"/>
      <c r="U68" s="618"/>
      <c r="V68" s="620"/>
      <c r="W68" s="606"/>
      <c r="X68" s="622"/>
      <c r="Y68" s="496"/>
      <c r="Z68" s="496"/>
      <c r="AA68" s="496"/>
      <c r="AB68" s="496"/>
      <c r="AC68" s="496"/>
      <c r="AD68" s="487"/>
      <c r="AE68" s="495"/>
      <c r="AF68" s="271"/>
      <c r="AG68" s="272"/>
      <c r="AH68" s="272"/>
      <c r="AI68" s="273"/>
      <c r="AJ68" s="273"/>
      <c r="AK68" s="273"/>
      <c r="AL68" s="273"/>
      <c r="AM68" s="273"/>
      <c r="AN68" s="273"/>
      <c r="AO68" s="273"/>
      <c r="AP68" s="273"/>
      <c r="AQ68" s="273"/>
      <c r="AR68" s="273"/>
      <c r="AS68" s="274"/>
      <c r="AT68" s="295"/>
      <c r="AU68" s="295"/>
      <c r="AV68" s="526"/>
      <c r="AW68" s="25"/>
      <c r="AX68" s="25"/>
      <c r="AY68" s="25"/>
      <c r="BF68" s="207" t="b">
        <f>OR('Terminal Unit Valve Schedule'!$D63="2-WAY",'Terminal Unit Valve Schedule'!$D63="3-WAY")</f>
        <v>1</v>
      </c>
    </row>
    <row r="69" spans="1:58" s="28" customFormat="1" ht="18" customHeight="1">
      <c r="A69" s="625"/>
      <c r="B69" s="604"/>
      <c r="C69" s="497"/>
      <c r="D69" s="598"/>
      <c r="E69" s="599"/>
      <c r="F69" s="601"/>
      <c r="G69" s="601"/>
      <c r="H69" s="602"/>
      <c r="I69" s="607"/>
      <c r="J69" s="605"/>
      <c r="K69" s="489"/>
      <c r="L69" s="489"/>
      <c r="M69" s="489"/>
      <c r="N69" s="490"/>
      <c r="O69" s="491"/>
      <c r="P69" s="491"/>
      <c r="Q69" s="626"/>
      <c r="R69" s="613"/>
      <c r="S69" s="497"/>
      <c r="T69" s="615"/>
      <c r="U69" s="618"/>
      <c r="V69" s="620"/>
      <c r="W69" s="606"/>
      <c r="X69" s="622"/>
      <c r="Y69" s="496"/>
      <c r="Z69" s="496"/>
      <c r="AA69" s="496"/>
      <c r="AB69" s="496"/>
      <c r="AC69" s="496"/>
      <c r="AD69" s="487"/>
      <c r="AE69" s="495"/>
      <c r="AF69" s="271"/>
      <c r="AG69" s="272"/>
      <c r="AH69" s="272"/>
      <c r="AI69" s="273"/>
      <c r="AJ69" s="273"/>
      <c r="AK69" s="273"/>
      <c r="AL69" s="273"/>
      <c r="AM69" s="273"/>
      <c r="AN69" s="273"/>
      <c r="AO69" s="273"/>
      <c r="AP69" s="273"/>
      <c r="AQ69" s="273"/>
      <c r="AR69" s="273"/>
      <c r="AS69" s="274"/>
      <c r="AT69" s="295"/>
      <c r="AU69" s="295"/>
      <c r="AV69" s="526"/>
      <c r="AW69" s="25"/>
      <c r="AX69" s="25"/>
      <c r="AY69" s="25"/>
      <c r="BF69" s="207" t="b">
        <f>OR('Terminal Unit Valve Schedule'!$D64="2-WAY",'Terminal Unit Valve Schedule'!$D64="3-WAY")</f>
        <v>1</v>
      </c>
    </row>
    <row r="70" spans="1:58" s="28" customFormat="1" ht="18" customHeight="1">
      <c r="A70" s="625"/>
      <c r="B70" s="604"/>
      <c r="C70" s="493"/>
      <c r="D70" s="598"/>
      <c r="E70" s="599"/>
      <c r="F70" s="601"/>
      <c r="G70" s="601"/>
      <c r="H70" s="602"/>
      <c r="I70" s="607"/>
      <c r="J70" s="605"/>
      <c r="K70" s="489"/>
      <c r="L70" s="489"/>
      <c r="M70" s="489"/>
      <c r="N70" s="490"/>
      <c r="O70" s="491"/>
      <c r="P70" s="491"/>
      <c r="Q70" s="626"/>
      <c r="R70" s="613"/>
      <c r="S70" s="497"/>
      <c r="T70" s="615"/>
      <c r="U70" s="618"/>
      <c r="V70" s="620"/>
      <c r="W70" s="606"/>
      <c r="X70" s="622"/>
      <c r="Y70" s="496"/>
      <c r="Z70" s="496"/>
      <c r="AA70" s="496"/>
      <c r="AB70" s="496"/>
      <c r="AC70" s="496"/>
      <c r="AD70" s="487"/>
      <c r="AE70" s="495"/>
      <c r="AF70" s="271"/>
      <c r="AG70" s="272"/>
      <c r="AH70" s="272"/>
      <c r="AI70" s="273"/>
      <c r="AJ70" s="273"/>
      <c r="AK70" s="273"/>
      <c r="AL70" s="273"/>
      <c r="AM70" s="273"/>
      <c r="AN70" s="273"/>
      <c r="AO70" s="273"/>
      <c r="AP70" s="273"/>
      <c r="AQ70" s="273"/>
      <c r="AR70" s="273"/>
      <c r="AS70" s="274"/>
      <c r="AT70" s="295"/>
      <c r="AU70" s="295"/>
      <c r="AV70" s="526"/>
      <c r="AW70" s="25"/>
      <c r="AX70" s="25"/>
      <c r="AY70" s="25"/>
      <c r="BF70" s="207" t="b">
        <f>OR('Terminal Unit Valve Schedule'!$D65="2-WAY",'Terminal Unit Valve Schedule'!$D65="3-WAY")</f>
        <v>1</v>
      </c>
    </row>
    <row r="71" spans="1:58" s="28" customFormat="1" ht="18" customHeight="1">
      <c r="A71" s="625"/>
      <c r="B71" s="604"/>
      <c r="C71" s="493"/>
      <c r="D71" s="598"/>
      <c r="E71" s="599"/>
      <c r="F71" s="601"/>
      <c r="G71" s="601"/>
      <c r="H71" s="602"/>
      <c r="I71" s="607"/>
      <c r="J71" s="605"/>
      <c r="K71" s="489"/>
      <c r="L71" s="489"/>
      <c r="M71" s="489"/>
      <c r="N71" s="490"/>
      <c r="O71" s="491"/>
      <c r="P71" s="491"/>
      <c r="Q71" s="626"/>
      <c r="R71" s="613"/>
      <c r="S71" s="497"/>
      <c r="T71" s="615"/>
      <c r="U71" s="618"/>
      <c r="V71" s="620"/>
      <c r="W71" s="606"/>
      <c r="X71" s="622"/>
      <c r="Y71" s="496"/>
      <c r="Z71" s="496"/>
      <c r="AA71" s="496"/>
      <c r="AB71" s="496"/>
      <c r="AC71" s="496"/>
      <c r="AD71" s="487"/>
      <c r="AE71" s="495"/>
      <c r="AF71" s="271"/>
      <c r="AG71" s="272"/>
      <c r="AH71" s="272"/>
      <c r="AI71" s="273"/>
      <c r="AJ71" s="273"/>
      <c r="AK71" s="273"/>
      <c r="AL71" s="273"/>
      <c r="AM71" s="273"/>
      <c r="AN71" s="273"/>
      <c r="AO71" s="273"/>
      <c r="AP71" s="273"/>
      <c r="AQ71" s="273"/>
      <c r="AR71" s="273"/>
      <c r="AS71" s="274"/>
      <c r="AT71" s="295"/>
      <c r="AU71" s="295"/>
      <c r="AV71" s="526"/>
      <c r="AW71" s="25"/>
      <c r="AX71" s="25"/>
      <c r="AY71" s="25"/>
      <c r="BF71" s="207" t="b">
        <f>OR('Terminal Unit Valve Schedule'!$D66="2-WAY",'Terminal Unit Valve Schedule'!$D66="3-WAY")</f>
        <v>1</v>
      </c>
    </row>
    <row r="72" spans="1:58" s="28" customFormat="1" ht="18" customHeight="1">
      <c r="A72" s="625"/>
      <c r="B72" s="604"/>
      <c r="C72" s="497"/>
      <c r="D72" s="598"/>
      <c r="E72" s="599"/>
      <c r="F72" s="601"/>
      <c r="G72" s="601"/>
      <c r="H72" s="602"/>
      <c r="I72" s="607"/>
      <c r="J72" s="605"/>
      <c r="K72" s="489"/>
      <c r="L72" s="489"/>
      <c r="M72" s="489"/>
      <c r="N72" s="490"/>
      <c r="O72" s="491"/>
      <c r="P72" s="491"/>
      <c r="Q72" s="626"/>
      <c r="R72" s="613"/>
      <c r="S72" s="497"/>
      <c r="T72" s="615"/>
      <c r="U72" s="618"/>
      <c r="V72" s="620"/>
      <c r="W72" s="606"/>
      <c r="X72" s="622"/>
      <c r="Y72" s="496"/>
      <c r="Z72" s="496"/>
      <c r="AA72" s="496"/>
      <c r="AB72" s="496"/>
      <c r="AC72" s="496"/>
      <c r="AD72" s="487"/>
      <c r="AE72" s="495"/>
      <c r="AF72" s="271"/>
      <c r="AG72" s="272"/>
      <c r="AH72" s="272"/>
      <c r="AI72" s="273"/>
      <c r="AJ72" s="273"/>
      <c r="AK72" s="273"/>
      <c r="AL72" s="273"/>
      <c r="AM72" s="273"/>
      <c r="AN72" s="273"/>
      <c r="AO72" s="273"/>
      <c r="AP72" s="273"/>
      <c r="AQ72" s="273"/>
      <c r="AR72" s="273"/>
      <c r="AS72" s="274"/>
      <c r="AT72" s="295"/>
      <c r="AU72" s="295"/>
      <c r="AV72" s="526"/>
      <c r="AW72" s="25"/>
      <c r="AX72" s="25"/>
      <c r="AY72" s="25"/>
      <c r="BF72" s="207" t="b">
        <f>OR('Terminal Unit Valve Schedule'!$D67="2-WAY",'Terminal Unit Valve Schedule'!$D67="3-WAY")</f>
        <v>1</v>
      </c>
    </row>
    <row r="73" spans="1:58" s="28" customFormat="1" ht="18" customHeight="1">
      <c r="A73" s="625"/>
      <c r="B73" s="604"/>
      <c r="C73" s="497"/>
      <c r="D73" s="598"/>
      <c r="E73" s="599"/>
      <c r="F73" s="601"/>
      <c r="G73" s="601"/>
      <c r="H73" s="602"/>
      <c r="I73" s="607"/>
      <c r="J73" s="605"/>
      <c r="K73" s="489"/>
      <c r="L73" s="489"/>
      <c r="M73" s="489"/>
      <c r="N73" s="490"/>
      <c r="O73" s="491"/>
      <c r="P73" s="491"/>
      <c r="Q73" s="626"/>
      <c r="R73" s="613"/>
      <c r="S73" s="497"/>
      <c r="T73" s="615"/>
      <c r="U73" s="618"/>
      <c r="V73" s="620"/>
      <c r="W73" s="606"/>
      <c r="X73" s="622"/>
      <c r="Y73" s="496"/>
      <c r="Z73" s="496"/>
      <c r="AA73" s="496"/>
      <c r="AB73" s="496"/>
      <c r="AC73" s="496"/>
      <c r="AD73" s="487"/>
      <c r="AE73" s="495"/>
      <c r="AF73" s="271"/>
      <c r="AG73" s="272"/>
      <c r="AH73" s="272"/>
      <c r="AI73" s="273"/>
      <c r="AJ73" s="273"/>
      <c r="AK73" s="273"/>
      <c r="AL73" s="273"/>
      <c r="AM73" s="273"/>
      <c r="AN73" s="273"/>
      <c r="AO73" s="273"/>
      <c r="AP73" s="273"/>
      <c r="AQ73" s="273"/>
      <c r="AR73" s="273"/>
      <c r="AS73" s="274"/>
      <c r="AT73" s="295"/>
      <c r="AU73" s="295"/>
      <c r="AV73" s="526"/>
      <c r="AW73" s="25"/>
      <c r="AX73" s="25"/>
      <c r="AY73" s="25"/>
      <c r="BF73" s="207" t="b">
        <f>OR('Terminal Unit Valve Schedule'!$D68="2-WAY",'Terminal Unit Valve Schedule'!$D68="3-WAY")</f>
        <v>1</v>
      </c>
    </row>
    <row r="74" spans="1:58" s="28" customFormat="1" ht="18" customHeight="1">
      <c r="A74" s="625"/>
      <c r="B74" s="604"/>
      <c r="C74" s="493"/>
      <c r="D74" s="598"/>
      <c r="E74" s="599"/>
      <c r="F74" s="601"/>
      <c r="G74" s="601"/>
      <c r="H74" s="602"/>
      <c r="I74" s="607"/>
      <c r="J74" s="605"/>
      <c r="K74" s="489"/>
      <c r="L74" s="489"/>
      <c r="M74" s="489"/>
      <c r="N74" s="490"/>
      <c r="O74" s="491"/>
      <c r="P74" s="491"/>
      <c r="Q74" s="626"/>
      <c r="R74" s="613"/>
      <c r="S74" s="497"/>
      <c r="T74" s="615"/>
      <c r="U74" s="618"/>
      <c r="V74" s="620"/>
      <c r="W74" s="606"/>
      <c r="X74" s="622"/>
      <c r="Y74" s="496"/>
      <c r="Z74" s="496"/>
      <c r="AA74" s="496"/>
      <c r="AB74" s="496"/>
      <c r="AC74" s="496"/>
      <c r="AD74" s="487"/>
      <c r="AE74" s="495"/>
      <c r="AF74" s="271"/>
      <c r="AG74" s="272"/>
      <c r="AH74" s="272"/>
      <c r="AI74" s="273"/>
      <c r="AJ74" s="273"/>
      <c r="AK74" s="273"/>
      <c r="AL74" s="273"/>
      <c r="AM74" s="273"/>
      <c r="AN74" s="273"/>
      <c r="AO74" s="273"/>
      <c r="AP74" s="273"/>
      <c r="AQ74" s="273"/>
      <c r="AR74" s="273"/>
      <c r="AS74" s="274"/>
      <c r="AT74" s="295"/>
      <c r="AU74" s="295"/>
      <c r="AV74" s="526"/>
      <c r="AW74" s="25"/>
      <c r="AX74" s="25"/>
      <c r="AY74" s="25"/>
      <c r="BF74" s="207" t="b">
        <f>OR('Terminal Unit Valve Schedule'!$D69="2-WAY",'Terminal Unit Valve Schedule'!$D69="3-WAY")</f>
        <v>1</v>
      </c>
    </row>
    <row r="75" spans="1:58" s="28" customFormat="1" ht="18" customHeight="1">
      <c r="A75" s="625"/>
      <c r="B75" s="604"/>
      <c r="C75" s="497"/>
      <c r="D75" s="598"/>
      <c r="E75" s="599"/>
      <c r="F75" s="601"/>
      <c r="G75" s="601"/>
      <c r="H75" s="602"/>
      <c r="I75" s="607"/>
      <c r="J75" s="605"/>
      <c r="K75" s="489"/>
      <c r="L75" s="489"/>
      <c r="M75" s="489"/>
      <c r="N75" s="490"/>
      <c r="O75" s="491"/>
      <c r="P75" s="491"/>
      <c r="Q75" s="626"/>
      <c r="R75" s="613"/>
      <c r="S75" s="497"/>
      <c r="T75" s="615"/>
      <c r="U75" s="618"/>
      <c r="V75" s="620"/>
      <c r="W75" s="606"/>
      <c r="X75" s="622"/>
      <c r="Y75" s="496"/>
      <c r="Z75" s="496"/>
      <c r="AA75" s="496"/>
      <c r="AB75" s="496"/>
      <c r="AC75" s="496"/>
      <c r="AD75" s="487"/>
      <c r="AE75" s="495"/>
      <c r="AF75" s="271"/>
      <c r="AG75" s="272"/>
      <c r="AH75" s="272"/>
      <c r="AI75" s="273"/>
      <c r="AJ75" s="273"/>
      <c r="AK75" s="273"/>
      <c r="AL75" s="273"/>
      <c r="AM75" s="273"/>
      <c r="AN75" s="273"/>
      <c r="AO75" s="273"/>
      <c r="AP75" s="273"/>
      <c r="AQ75" s="273"/>
      <c r="AR75" s="273"/>
      <c r="AS75" s="274"/>
      <c r="AT75" s="295"/>
      <c r="AU75" s="295"/>
      <c r="AV75" s="526"/>
      <c r="AW75" s="25"/>
      <c r="AX75" s="25"/>
      <c r="AY75" s="25"/>
      <c r="BF75" s="207" t="b">
        <f>OR('Terminal Unit Valve Schedule'!$D70="2-WAY",'Terminal Unit Valve Schedule'!$D70="3-WAY")</f>
        <v>1</v>
      </c>
    </row>
    <row r="76" spans="1:58" s="28" customFormat="1" ht="18" customHeight="1">
      <c r="A76" s="625"/>
      <c r="B76" s="604"/>
      <c r="C76" s="497"/>
      <c r="D76" s="598"/>
      <c r="E76" s="599"/>
      <c r="F76" s="601"/>
      <c r="G76" s="601"/>
      <c r="H76" s="602"/>
      <c r="I76" s="607"/>
      <c r="J76" s="605"/>
      <c r="K76" s="489"/>
      <c r="L76" s="489"/>
      <c r="M76" s="489"/>
      <c r="N76" s="490"/>
      <c r="O76" s="491"/>
      <c r="P76" s="491"/>
      <c r="Q76" s="626"/>
      <c r="R76" s="613"/>
      <c r="S76" s="497"/>
      <c r="T76" s="615"/>
      <c r="U76" s="618"/>
      <c r="V76" s="620"/>
      <c r="W76" s="606"/>
      <c r="X76" s="622"/>
      <c r="Y76" s="496"/>
      <c r="Z76" s="496"/>
      <c r="AA76" s="496"/>
      <c r="AB76" s="496"/>
      <c r="AC76" s="496"/>
      <c r="AD76" s="487"/>
      <c r="AE76" s="495"/>
      <c r="AF76" s="271"/>
      <c r="AG76" s="272"/>
      <c r="AH76" s="272"/>
      <c r="AI76" s="273"/>
      <c r="AJ76" s="273"/>
      <c r="AK76" s="273"/>
      <c r="AL76" s="273"/>
      <c r="AM76" s="273"/>
      <c r="AN76" s="273"/>
      <c r="AO76" s="273"/>
      <c r="AP76" s="273"/>
      <c r="AQ76" s="273"/>
      <c r="AR76" s="273"/>
      <c r="AS76" s="274"/>
      <c r="AT76" s="295"/>
      <c r="AU76" s="295"/>
      <c r="AV76" s="526"/>
      <c r="AW76" s="25"/>
      <c r="AX76" s="25"/>
      <c r="AY76" s="25"/>
      <c r="BF76" s="207" t="b">
        <f>OR('Terminal Unit Valve Schedule'!$D71="2-WAY",'Terminal Unit Valve Schedule'!$D71="3-WAY")</f>
        <v>1</v>
      </c>
    </row>
    <row r="77" spans="1:58" s="28" customFormat="1" ht="18" customHeight="1">
      <c r="A77" s="625"/>
      <c r="B77" s="604"/>
      <c r="C77" s="493"/>
      <c r="D77" s="598"/>
      <c r="E77" s="599"/>
      <c r="F77" s="601"/>
      <c r="G77" s="601"/>
      <c r="H77" s="602"/>
      <c r="I77" s="607"/>
      <c r="J77" s="605"/>
      <c r="K77" s="489"/>
      <c r="L77" s="489"/>
      <c r="M77" s="489"/>
      <c r="N77" s="490"/>
      <c r="O77" s="491"/>
      <c r="P77" s="491"/>
      <c r="Q77" s="626"/>
      <c r="R77" s="613"/>
      <c r="S77" s="497"/>
      <c r="T77" s="616"/>
      <c r="U77" s="619"/>
      <c r="V77" s="620"/>
      <c r="W77" s="606"/>
      <c r="X77" s="622"/>
      <c r="Y77" s="496"/>
      <c r="Z77" s="496"/>
      <c r="AA77" s="496"/>
      <c r="AB77" s="496"/>
      <c r="AC77" s="496"/>
      <c r="AD77" s="487"/>
      <c r="AE77" s="495"/>
      <c r="AF77" s="271"/>
      <c r="AG77" s="272"/>
      <c r="AH77" s="272"/>
      <c r="AI77" s="273"/>
      <c r="AJ77" s="273"/>
      <c r="AK77" s="273"/>
      <c r="AL77" s="273"/>
      <c r="AM77" s="273"/>
      <c r="AN77" s="273"/>
      <c r="AO77" s="273"/>
      <c r="AP77" s="273"/>
      <c r="AQ77" s="273"/>
      <c r="AR77" s="273"/>
      <c r="AS77" s="274"/>
      <c r="AT77" s="295"/>
      <c r="AU77" s="295"/>
      <c r="AV77" s="526"/>
      <c r="AW77" s="25"/>
      <c r="AX77" s="25"/>
      <c r="AY77" s="25"/>
      <c r="BF77" s="207" t="b">
        <f>OR('Terminal Unit Valve Schedule'!$D72="2-WAY",'Terminal Unit Valve Schedule'!$D72="3-WAY")</f>
        <v>1</v>
      </c>
    </row>
    <row r="78" spans="1:58" s="28" customFormat="1" ht="18" customHeight="1">
      <c r="A78" s="625"/>
      <c r="B78" s="604"/>
      <c r="C78" s="497"/>
      <c r="D78" s="598"/>
      <c r="E78" s="599"/>
      <c r="F78" s="601"/>
      <c r="G78" s="601"/>
      <c r="H78" s="602"/>
      <c r="I78" s="607"/>
      <c r="J78" s="605"/>
      <c r="K78" s="489"/>
      <c r="L78" s="489"/>
      <c r="M78" s="489"/>
      <c r="N78" s="490"/>
      <c r="O78" s="491"/>
      <c r="P78" s="491"/>
      <c r="Q78" s="626"/>
      <c r="R78" s="613"/>
      <c r="S78" s="497"/>
      <c r="T78" s="616"/>
      <c r="U78" s="618"/>
      <c r="V78" s="620"/>
      <c r="W78" s="606"/>
      <c r="X78" s="622"/>
      <c r="Y78" s="496"/>
      <c r="Z78" s="496"/>
      <c r="AA78" s="496"/>
      <c r="AB78" s="496"/>
      <c r="AC78" s="496"/>
      <c r="AD78" s="487"/>
      <c r="AE78" s="495"/>
      <c r="AF78" s="271"/>
      <c r="AG78" s="272"/>
      <c r="AH78" s="272"/>
      <c r="AI78" s="273"/>
      <c r="AJ78" s="273"/>
      <c r="AK78" s="273"/>
      <c r="AL78" s="273"/>
      <c r="AM78" s="273"/>
      <c r="AN78" s="273"/>
      <c r="AO78" s="273"/>
      <c r="AP78" s="273"/>
      <c r="AQ78" s="273"/>
      <c r="AR78" s="273"/>
      <c r="AS78" s="274"/>
      <c r="AT78" s="295"/>
      <c r="AU78" s="295"/>
      <c r="AV78" s="526"/>
      <c r="AW78" s="25"/>
      <c r="AX78" s="25"/>
      <c r="AY78" s="25"/>
      <c r="BF78" s="207" t="b">
        <f>OR('Terminal Unit Valve Schedule'!$D73="2-WAY",'Terminal Unit Valve Schedule'!$D73="3-WAY")</f>
        <v>1</v>
      </c>
    </row>
    <row r="79" spans="1:58" s="28" customFormat="1" ht="18" customHeight="1">
      <c r="A79" s="625"/>
      <c r="B79" s="604"/>
      <c r="C79" s="497"/>
      <c r="D79" s="598"/>
      <c r="E79" s="599"/>
      <c r="F79" s="601"/>
      <c r="G79" s="601"/>
      <c r="H79" s="602"/>
      <c r="I79" s="607"/>
      <c r="J79" s="605"/>
      <c r="K79" s="489"/>
      <c r="L79" s="489"/>
      <c r="M79" s="489"/>
      <c r="N79" s="490"/>
      <c r="O79" s="491"/>
      <c r="P79" s="491"/>
      <c r="Q79" s="626"/>
      <c r="R79" s="613"/>
      <c r="S79" s="497"/>
      <c r="T79" s="616"/>
      <c r="U79" s="618"/>
      <c r="V79" s="620"/>
      <c r="W79" s="606"/>
      <c r="X79" s="622"/>
      <c r="Y79" s="496"/>
      <c r="Z79" s="496"/>
      <c r="AA79" s="496"/>
      <c r="AB79" s="496"/>
      <c r="AC79" s="496"/>
      <c r="AD79" s="487"/>
      <c r="AE79" s="495"/>
      <c r="AF79" s="271"/>
      <c r="AG79" s="272"/>
      <c r="AH79" s="272"/>
      <c r="AI79" s="273"/>
      <c r="AJ79" s="273"/>
      <c r="AK79" s="273"/>
      <c r="AL79" s="273"/>
      <c r="AM79" s="273"/>
      <c r="AN79" s="273"/>
      <c r="AO79" s="273"/>
      <c r="AP79" s="273"/>
      <c r="AQ79" s="273"/>
      <c r="AR79" s="273"/>
      <c r="AS79" s="274"/>
      <c r="AT79" s="295"/>
      <c r="AU79" s="295"/>
      <c r="AV79" s="526"/>
      <c r="AW79" s="25"/>
      <c r="AX79" s="25"/>
      <c r="AY79" s="25"/>
      <c r="BF79" s="207" t="b">
        <f>OR('Terminal Unit Valve Schedule'!$D74="2-WAY",'Terminal Unit Valve Schedule'!$D74="3-WAY")</f>
        <v>1</v>
      </c>
    </row>
    <row r="80" spans="1:58" s="28" customFormat="1" ht="18" customHeight="1">
      <c r="A80" s="625"/>
      <c r="B80" s="604"/>
      <c r="C80" s="493"/>
      <c r="D80" s="598"/>
      <c r="E80" s="599"/>
      <c r="F80" s="601"/>
      <c r="G80" s="601"/>
      <c r="H80" s="602"/>
      <c r="I80" s="607"/>
      <c r="J80" s="605"/>
      <c r="K80" s="489"/>
      <c r="L80" s="489"/>
      <c r="M80" s="489"/>
      <c r="N80" s="490"/>
      <c r="O80" s="491"/>
      <c r="P80" s="491"/>
      <c r="Q80" s="626"/>
      <c r="R80" s="613"/>
      <c r="S80" s="497"/>
      <c r="T80" s="616"/>
      <c r="U80" s="618"/>
      <c r="V80" s="620"/>
      <c r="W80" s="606"/>
      <c r="X80" s="622"/>
      <c r="Y80" s="496"/>
      <c r="Z80" s="496"/>
      <c r="AA80" s="496"/>
      <c r="AB80" s="496"/>
      <c r="AC80" s="496"/>
      <c r="AD80" s="487"/>
      <c r="AE80" s="495"/>
      <c r="AF80" s="271"/>
      <c r="AG80" s="272"/>
      <c r="AH80" s="272"/>
      <c r="AI80" s="273"/>
      <c r="AJ80" s="273"/>
      <c r="AK80" s="273"/>
      <c r="AL80" s="273"/>
      <c r="AM80" s="273"/>
      <c r="AN80" s="273"/>
      <c r="AO80" s="273"/>
      <c r="AP80" s="273"/>
      <c r="AQ80" s="273"/>
      <c r="AR80" s="273"/>
      <c r="AS80" s="274"/>
      <c r="AT80" s="295"/>
      <c r="AU80" s="295"/>
      <c r="AV80" s="526"/>
      <c r="AW80" s="25"/>
      <c r="AX80" s="25"/>
      <c r="AY80" s="25"/>
      <c r="BF80" s="207" t="b">
        <f>OR('Terminal Unit Valve Schedule'!$D75="2-WAY",'Terminal Unit Valve Schedule'!$D75="3-WAY")</f>
        <v>1</v>
      </c>
    </row>
    <row r="81" spans="1:58" s="28" customFormat="1" ht="18" customHeight="1">
      <c r="A81" s="625"/>
      <c r="B81" s="604"/>
      <c r="C81" s="497"/>
      <c r="D81" s="598"/>
      <c r="E81" s="599"/>
      <c r="F81" s="601"/>
      <c r="G81" s="601"/>
      <c r="H81" s="602"/>
      <c r="I81" s="607"/>
      <c r="J81" s="605"/>
      <c r="K81" s="489"/>
      <c r="L81" s="489"/>
      <c r="M81" s="489"/>
      <c r="N81" s="490"/>
      <c r="O81" s="491"/>
      <c r="P81" s="491"/>
      <c r="Q81" s="626"/>
      <c r="R81" s="613"/>
      <c r="S81" s="497"/>
      <c r="T81" s="616"/>
      <c r="U81" s="618"/>
      <c r="V81" s="620"/>
      <c r="W81" s="606"/>
      <c r="X81" s="622"/>
      <c r="Y81" s="496"/>
      <c r="Z81" s="496"/>
      <c r="AA81" s="496"/>
      <c r="AB81" s="496"/>
      <c r="AC81" s="496"/>
      <c r="AD81" s="487"/>
      <c r="AE81" s="495"/>
      <c r="AF81" s="271"/>
      <c r="AG81" s="272"/>
      <c r="AH81" s="272"/>
      <c r="AI81" s="273"/>
      <c r="AJ81" s="273"/>
      <c r="AK81" s="273"/>
      <c r="AL81" s="273"/>
      <c r="AM81" s="273"/>
      <c r="AN81" s="273"/>
      <c r="AO81" s="273"/>
      <c r="AP81" s="273"/>
      <c r="AQ81" s="273"/>
      <c r="AR81" s="273"/>
      <c r="AS81" s="274"/>
      <c r="AT81" s="295"/>
      <c r="AU81" s="295"/>
      <c r="AV81" s="526"/>
      <c r="AW81" s="25"/>
      <c r="AX81" s="25"/>
      <c r="AY81" s="25"/>
      <c r="BF81" s="207" t="b">
        <f>OR('Terminal Unit Valve Schedule'!$D76="2-WAY",'Terminal Unit Valve Schedule'!$D76="3-WAY")</f>
        <v>1</v>
      </c>
    </row>
    <row r="82" spans="1:58" s="28" customFormat="1" ht="18" customHeight="1">
      <c r="A82" s="625"/>
      <c r="B82" s="604"/>
      <c r="C82" s="497"/>
      <c r="D82" s="598"/>
      <c r="E82" s="599"/>
      <c r="F82" s="601"/>
      <c r="G82" s="601"/>
      <c r="H82" s="602"/>
      <c r="I82" s="607"/>
      <c r="J82" s="605"/>
      <c r="K82" s="489"/>
      <c r="L82" s="489"/>
      <c r="M82" s="489"/>
      <c r="N82" s="490"/>
      <c r="O82" s="491"/>
      <c r="P82" s="491"/>
      <c r="Q82" s="626"/>
      <c r="R82" s="613"/>
      <c r="S82" s="497"/>
      <c r="T82" s="616"/>
      <c r="U82" s="618"/>
      <c r="V82" s="620"/>
      <c r="W82" s="606"/>
      <c r="X82" s="622"/>
      <c r="Y82" s="496"/>
      <c r="Z82" s="496"/>
      <c r="AA82" s="496"/>
      <c r="AB82" s="496"/>
      <c r="AC82" s="496"/>
      <c r="AD82" s="487"/>
      <c r="AE82" s="495"/>
      <c r="AF82" s="271"/>
      <c r="AG82" s="272"/>
      <c r="AH82" s="272"/>
      <c r="AI82" s="273"/>
      <c r="AJ82" s="273"/>
      <c r="AK82" s="273"/>
      <c r="AL82" s="273"/>
      <c r="AM82" s="273"/>
      <c r="AN82" s="273"/>
      <c r="AO82" s="273"/>
      <c r="AP82" s="273"/>
      <c r="AQ82" s="273"/>
      <c r="AR82" s="273"/>
      <c r="AS82" s="274"/>
      <c r="AT82" s="295"/>
      <c r="AU82" s="295"/>
      <c r="AV82" s="526"/>
      <c r="AW82" s="25"/>
      <c r="AX82" s="25"/>
      <c r="AY82" s="25"/>
      <c r="BF82" s="207" t="b">
        <f>OR('Terminal Unit Valve Schedule'!$D77="2-WAY",'Terminal Unit Valve Schedule'!$D77="3-WAY")</f>
        <v>1</v>
      </c>
    </row>
    <row r="83" spans="1:58" s="28" customFormat="1" ht="18" customHeight="1">
      <c r="A83" s="625"/>
      <c r="B83" s="604"/>
      <c r="C83" s="493"/>
      <c r="D83" s="598"/>
      <c r="E83" s="599"/>
      <c r="F83" s="601"/>
      <c r="G83" s="601"/>
      <c r="H83" s="602"/>
      <c r="I83" s="607"/>
      <c r="J83" s="605"/>
      <c r="K83" s="489"/>
      <c r="L83" s="489"/>
      <c r="M83" s="489"/>
      <c r="N83" s="490"/>
      <c r="O83" s="491"/>
      <c r="P83" s="491"/>
      <c r="Q83" s="626"/>
      <c r="R83" s="613"/>
      <c r="S83" s="497"/>
      <c r="T83" s="616"/>
      <c r="U83" s="618"/>
      <c r="V83" s="620"/>
      <c r="W83" s="606"/>
      <c r="X83" s="622"/>
      <c r="Y83" s="496"/>
      <c r="Z83" s="496"/>
      <c r="AA83" s="496"/>
      <c r="AB83" s="496"/>
      <c r="AC83" s="496"/>
      <c r="AD83" s="487"/>
      <c r="AE83" s="495"/>
      <c r="AF83" s="271"/>
      <c r="AG83" s="272"/>
      <c r="AH83" s="272"/>
      <c r="AI83" s="273"/>
      <c r="AJ83" s="273"/>
      <c r="AK83" s="273"/>
      <c r="AL83" s="273"/>
      <c r="AM83" s="273"/>
      <c r="AN83" s="273"/>
      <c r="AO83" s="273"/>
      <c r="AP83" s="273"/>
      <c r="AQ83" s="273"/>
      <c r="AR83" s="273"/>
      <c r="AS83" s="274"/>
      <c r="AT83" s="295"/>
      <c r="AU83" s="295"/>
      <c r="AV83" s="526"/>
      <c r="AW83" s="25"/>
      <c r="AX83" s="25"/>
      <c r="AY83" s="25"/>
      <c r="BF83" s="207" t="b">
        <f>OR('Terminal Unit Valve Schedule'!$D78="2-WAY",'Terminal Unit Valve Schedule'!$D78="3-WAY")</f>
        <v>1</v>
      </c>
    </row>
    <row r="84" spans="1:58" s="28" customFormat="1" ht="18" customHeight="1">
      <c r="A84" s="625"/>
      <c r="B84" s="604"/>
      <c r="C84" s="497"/>
      <c r="D84" s="598"/>
      <c r="E84" s="599"/>
      <c r="F84" s="601"/>
      <c r="G84" s="601"/>
      <c r="H84" s="602"/>
      <c r="I84" s="607"/>
      <c r="J84" s="605"/>
      <c r="K84" s="489"/>
      <c r="L84" s="489"/>
      <c r="M84" s="489"/>
      <c r="N84" s="490"/>
      <c r="O84" s="491"/>
      <c r="P84" s="491"/>
      <c r="Q84" s="626"/>
      <c r="R84" s="613"/>
      <c r="S84" s="497"/>
      <c r="T84" s="616"/>
      <c r="U84" s="618"/>
      <c r="V84" s="620"/>
      <c r="W84" s="606"/>
      <c r="X84" s="622"/>
      <c r="Y84" s="496"/>
      <c r="Z84" s="496"/>
      <c r="AA84" s="496"/>
      <c r="AB84" s="496"/>
      <c r="AC84" s="496"/>
      <c r="AD84" s="487"/>
      <c r="AE84" s="495"/>
      <c r="AF84" s="271"/>
      <c r="AG84" s="272"/>
      <c r="AH84" s="272"/>
      <c r="AI84" s="273"/>
      <c r="AJ84" s="273"/>
      <c r="AK84" s="273"/>
      <c r="AL84" s="273"/>
      <c r="AM84" s="273"/>
      <c r="AN84" s="273"/>
      <c r="AO84" s="273"/>
      <c r="AP84" s="273"/>
      <c r="AQ84" s="273"/>
      <c r="AR84" s="273"/>
      <c r="AS84" s="274"/>
      <c r="AT84" s="295"/>
      <c r="AU84" s="295"/>
      <c r="AV84" s="526"/>
      <c r="AW84" s="25"/>
      <c r="AX84" s="25"/>
      <c r="AY84" s="25"/>
      <c r="BF84" s="207" t="b">
        <f>OR('Terminal Unit Valve Schedule'!$D79="2-WAY",'Terminal Unit Valve Schedule'!$D79="3-WAY")</f>
        <v>1</v>
      </c>
    </row>
    <row r="85" spans="1:58" s="28" customFormat="1" ht="18" customHeight="1">
      <c r="A85" s="625"/>
      <c r="B85" s="604"/>
      <c r="C85" s="493"/>
      <c r="D85" s="598"/>
      <c r="E85" s="599"/>
      <c r="F85" s="601"/>
      <c r="G85" s="601"/>
      <c r="H85" s="602"/>
      <c r="I85" s="607"/>
      <c r="J85" s="605"/>
      <c r="K85" s="489"/>
      <c r="L85" s="489"/>
      <c r="M85" s="489"/>
      <c r="N85" s="490"/>
      <c r="O85" s="491"/>
      <c r="P85" s="491"/>
      <c r="Q85" s="626"/>
      <c r="R85" s="613"/>
      <c r="S85" s="497"/>
      <c r="T85" s="616"/>
      <c r="U85" s="618"/>
      <c r="V85" s="620"/>
      <c r="W85" s="606"/>
      <c r="X85" s="622"/>
      <c r="Y85" s="496"/>
      <c r="Z85" s="496"/>
      <c r="AA85" s="496"/>
      <c r="AB85" s="496"/>
      <c r="AC85" s="496"/>
      <c r="AD85" s="487"/>
      <c r="AE85" s="495"/>
      <c r="AF85" s="271"/>
      <c r="AG85" s="272"/>
      <c r="AH85" s="272"/>
      <c r="AI85" s="273"/>
      <c r="AJ85" s="273"/>
      <c r="AK85" s="273"/>
      <c r="AL85" s="273"/>
      <c r="AM85" s="273"/>
      <c r="AN85" s="273"/>
      <c r="AO85" s="273"/>
      <c r="AP85" s="273"/>
      <c r="AQ85" s="273"/>
      <c r="AR85" s="273"/>
      <c r="AS85" s="274"/>
      <c r="AT85" s="295"/>
      <c r="AU85" s="295"/>
      <c r="AV85" s="526"/>
      <c r="AW85" s="25"/>
      <c r="AX85" s="25"/>
      <c r="AY85" s="25"/>
      <c r="BF85" s="207" t="b">
        <f>OR('Terminal Unit Valve Schedule'!$D80="2-WAY",'Terminal Unit Valve Schedule'!$D80="3-WAY")</f>
        <v>1</v>
      </c>
    </row>
    <row r="86" spans="1:58" s="28" customFormat="1" ht="18" customHeight="1">
      <c r="A86" s="625"/>
      <c r="B86" s="604"/>
      <c r="C86" s="493"/>
      <c r="D86" s="598"/>
      <c r="E86" s="599"/>
      <c r="F86" s="601"/>
      <c r="G86" s="601"/>
      <c r="H86" s="602"/>
      <c r="I86" s="607"/>
      <c r="J86" s="605"/>
      <c r="K86" s="489"/>
      <c r="L86" s="489"/>
      <c r="M86" s="489"/>
      <c r="N86" s="490"/>
      <c r="O86" s="491"/>
      <c r="P86" s="491"/>
      <c r="Q86" s="626"/>
      <c r="R86" s="613"/>
      <c r="S86" s="497"/>
      <c r="T86" s="616"/>
      <c r="U86" s="618"/>
      <c r="V86" s="620"/>
      <c r="W86" s="606"/>
      <c r="X86" s="622"/>
      <c r="Y86" s="496"/>
      <c r="Z86" s="496"/>
      <c r="AA86" s="496"/>
      <c r="AB86" s="496"/>
      <c r="AC86" s="496"/>
      <c r="AD86" s="487"/>
      <c r="AE86" s="495"/>
      <c r="AF86" s="271"/>
      <c r="AG86" s="272"/>
      <c r="AH86" s="272"/>
      <c r="AI86" s="273"/>
      <c r="AJ86" s="273"/>
      <c r="AK86" s="273"/>
      <c r="AL86" s="273"/>
      <c r="AM86" s="273"/>
      <c r="AN86" s="273"/>
      <c r="AO86" s="273"/>
      <c r="AP86" s="273"/>
      <c r="AQ86" s="273"/>
      <c r="AR86" s="273"/>
      <c r="AS86" s="274"/>
      <c r="AT86" s="295"/>
      <c r="AU86" s="295"/>
      <c r="AV86" s="526"/>
      <c r="AW86" s="25"/>
      <c r="AX86" s="25"/>
      <c r="AY86" s="25"/>
      <c r="BF86" s="207" t="b">
        <f>OR('Terminal Unit Valve Schedule'!$D81="2-WAY",'Terminal Unit Valve Schedule'!$D81="3-WAY")</f>
        <v>1</v>
      </c>
    </row>
    <row r="87" spans="1:58" s="28" customFormat="1" ht="18" customHeight="1">
      <c r="A87" s="625"/>
      <c r="B87" s="604"/>
      <c r="C87" s="497"/>
      <c r="D87" s="598"/>
      <c r="E87" s="599"/>
      <c r="F87" s="601"/>
      <c r="G87" s="601"/>
      <c r="H87" s="602"/>
      <c r="I87" s="607"/>
      <c r="J87" s="605"/>
      <c r="K87" s="489"/>
      <c r="L87" s="489"/>
      <c r="M87" s="489"/>
      <c r="N87" s="490"/>
      <c r="O87" s="491"/>
      <c r="P87" s="491"/>
      <c r="Q87" s="626"/>
      <c r="R87" s="613"/>
      <c r="S87" s="497"/>
      <c r="T87" s="616"/>
      <c r="U87" s="618"/>
      <c r="V87" s="620"/>
      <c r="W87" s="606"/>
      <c r="X87" s="622"/>
      <c r="Y87" s="496"/>
      <c r="Z87" s="496"/>
      <c r="AA87" s="496"/>
      <c r="AB87" s="496"/>
      <c r="AC87" s="496"/>
      <c r="AD87" s="487"/>
      <c r="AE87" s="495"/>
      <c r="AF87" s="271"/>
      <c r="AG87" s="272"/>
      <c r="AH87" s="272"/>
      <c r="AI87" s="273"/>
      <c r="AJ87" s="273"/>
      <c r="AK87" s="273"/>
      <c r="AL87" s="273"/>
      <c r="AM87" s="273"/>
      <c r="AN87" s="273"/>
      <c r="AO87" s="273"/>
      <c r="AP87" s="273"/>
      <c r="AQ87" s="273"/>
      <c r="AR87" s="273"/>
      <c r="AS87" s="274"/>
      <c r="AT87" s="295"/>
      <c r="AU87" s="295"/>
      <c r="AV87" s="526"/>
      <c r="AW87" s="25"/>
      <c r="AX87" s="25"/>
      <c r="AY87" s="25"/>
      <c r="BF87" s="207" t="b">
        <f>OR('Terminal Unit Valve Schedule'!$D82="2-WAY",'Terminal Unit Valve Schedule'!$D82="3-WAY")</f>
        <v>1</v>
      </c>
    </row>
    <row r="88" spans="1:58" s="28" customFormat="1" ht="18" customHeight="1">
      <c r="A88" s="625"/>
      <c r="B88" s="604"/>
      <c r="C88" s="497"/>
      <c r="D88" s="598"/>
      <c r="E88" s="599"/>
      <c r="F88" s="601"/>
      <c r="G88" s="601"/>
      <c r="H88" s="602"/>
      <c r="I88" s="607"/>
      <c r="J88" s="605"/>
      <c r="K88" s="489"/>
      <c r="L88" s="489"/>
      <c r="M88" s="489"/>
      <c r="N88" s="490"/>
      <c r="O88" s="491"/>
      <c r="P88" s="491"/>
      <c r="Q88" s="626"/>
      <c r="R88" s="613"/>
      <c r="S88" s="497"/>
      <c r="T88" s="616"/>
      <c r="U88" s="618"/>
      <c r="V88" s="620"/>
      <c r="W88" s="606"/>
      <c r="X88" s="622"/>
      <c r="Y88" s="496"/>
      <c r="Z88" s="496"/>
      <c r="AA88" s="496"/>
      <c r="AB88" s="496"/>
      <c r="AC88" s="496"/>
      <c r="AD88" s="487"/>
      <c r="AE88" s="495"/>
      <c r="AF88" s="271"/>
      <c r="AG88" s="272"/>
      <c r="AH88" s="272"/>
      <c r="AI88" s="273"/>
      <c r="AJ88" s="273"/>
      <c r="AK88" s="273"/>
      <c r="AL88" s="273"/>
      <c r="AM88" s="273"/>
      <c r="AN88" s="273"/>
      <c r="AO88" s="273"/>
      <c r="AP88" s="273"/>
      <c r="AQ88" s="273"/>
      <c r="AR88" s="273"/>
      <c r="AS88" s="274"/>
      <c r="AT88" s="295"/>
      <c r="AU88" s="295"/>
      <c r="AV88" s="526"/>
      <c r="AW88" s="25"/>
      <c r="AX88" s="25"/>
      <c r="AY88" s="25"/>
      <c r="BF88" s="207" t="b">
        <f>OR('Terminal Unit Valve Schedule'!$D83="2-WAY",'Terminal Unit Valve Schedule'!$D83="3-WAY")</f>
        <v>1</v>
      </c>
    </row>
    <row r="89" spans="1:58" s="28" customFormat="1" ht="18" customHeight="1">
      <c r="A89" s="625"/>
      <c r="B89" s="604"/>
      <c r="C89" s="493"/>
      <c r="D89" s="598"/>
      <c r="E89" s="599"/>
      <c r="F89" s="601"/>
      <c r="G89" s="601"/>
      <c r="H89" s="602"/>
      <c r="I89" s="607"/>
      <c r="J89" s="605"/>
      <c r="K89" s="489"/>
      <c r="L89" s="489"/>
      <c r="M89" s="489"/>
      <c r="N89" s="490"/>
      <c r="O89" s="491"/>
      <c r="P89" s="491"/>
      <c r="Q89" s="626"/>
      <c r="R89" s="613"/>
      <c r="S89" s="497"/>
      <c r="T89" s="616"/>
      <c r="U89" s="618"/>
      <c r="V89" s="620"/>
      <c r="W89" s="606"/>
      <c r="X89" s="622"/>
      <c r="Y89" s="496"/>
      <c r="Z89" s="496"/>
      <c r="AA89" s="496"/>
      <c r="AB89" s="496"/>
      <c r="AC89" s="496"/>
      <c r="AD89" s="487"/>
      <c r="AE89" s="495"/>
      <c r="AF89" s="271"/>
      <c r="AG89" s="272"/>
      <c r="AH89" s="272"/>
      <c r="AI89" s="273"/>
      <c r="AJ89" s="273"/>
      <c r="AK89" s="273"/>
      <c r="AL89" s="273"/>
      <c r="AM89" s="273"/>
      <c r="AN89" s="273"/>
      <c r="AO89" s="273"/>
      <c r="AP89" s="273"/>
      <c r="AQ89" s="273"/>
      <c r="AR89" s="273"/>
      <c r="AS89" s="274"/>
      <c r="AT89" s="295"/>
      <c r="AU89" s="295"/>
      <c r="AV89" s="526"/>
      <c r="AW89" s="25"/>
      <c r="AX89" s="25"/>
      <c r="AY89" s="25"/>
      <c r="BF89" s="207" t="b">
        <f>OR('Terminal Unit Valve Schedule'!$D84="2-WAY",'Terminal Unit Valve Schedule'!$D84="3-WAY")</f>
        <v>1</v>
      </c>
    </row>
    <row r="90" spans="1:58" s="28" customFormat="1" ht="18" customHeight="1">
      <c r="A90" s="625"/>
      <c r="B90" s="604"/>
      <c r="C90" s="497"/>
      <c r="D90" s="598"/>
      <c r="E90" s="599"/>
      <c r="F90" s="601"/>
      <c r="G90" s="601"/>
      <c r="H90" s="602"/>
      <c r="I90" s="607"/>
      <c r="J90" s="605"/>
      <c r="K90" s="489"/>
      <c r="L90" s="489"/>
      <c r="M90" s="489"/>
      <c r="N90" s="490"/>
      <c r="O90" s="491"/>
      <c r="P90" s="491"/>
      <c r="Q90" s="626"/>
      <c r="R90" s="613"/>
      <c r="S90" s="497"/>
      <c r="T90" s="616"/>
      <c r="U90" s="618"/>
      <c r="V90" s="620"/>
      <c r="W90" s="606"/>
      <c r="X90" s="622"/>
      <c r="Y90" s="496"/>
      <c r="Z90" s="496"/>
      <c r="AA90" s="496"/>
      <c r="AB90" s="496"/>
      <c r="AC90" s="496"/>
      <c r="AD90" s="487"/>
      <c r="AE90" s="495"/>
      <c r="AF90" s="271"/>
      <c r="AG90" s="272"/>
      <c r="AH90" s="272"/>
      <c r="AI90" s="273"/>
      <c r="AJ90" s="273"/>
      <c r="AK90" s="273"/>
      <c r="AL90" s="273"/>
      <c r="AM90" s="273"/>
      <c r="AN90" s="273"/>
      <c r="AO90" s="273"/>
      <c r="AP90" s="273"/>
      <c r="AQ90" s="273"/>
      <c r="AR90" s="273"/>
      <c r="AS90" s="274"/>
      <c r="AT90" s="295"/>
      <c r="AU90" s="295"/>
      <c r="AV90" s="526"/>
      <c r="AW90" s="25"/>
      <c r="AX90" s="25"/>
      <c r="AY90" s="25"/>
      <c r="BF90" s="207" t="b">
        <f>OR('Terminal Unit Valve Schedule'!$D85="2-WAY",'Terminal Unit Valve Schedule'!$D85="3-WAY")</f>
        <v>1</v>
      </c>
    </row>
    <row r="91" spans="1:58" s="28" customFormat="1" ht="18" customHeight="1">
      <c r="A91" s="625"/>
      <c r="B91" s="604"/>
      <c r="C91" s="497"/>
      <c r="D91" s="598"/>
      <c r="E91" s="599"/>
      <c r="F91" s="601"/>
      <c r="G91" s="601"/>
      <c r="H91" s="602"/>
      <c r="I91" s="607"/>
      <c r="J91" s="605"/>
      <c r="K91" s="489"/>
      <c r="L91" s="489"/>
      <c r="M91" s="489"/>
      <c r="N91" s="490"/>
      <c r="O91" s="491"/>
      <c r="P91" s="491"/>
      <c r="Q91" s="626"/>
      <c r="R91" s="613"/>
      <c r="S91" s="497"/>
      <c r="T91" s="616"/>
      <c r="U91" s="618"/>
      <c r="V91" s="620"/>
      <c r="W91" s="606"/>
      <c r="X91" s="622"/>
      <c r="Y91" s="496"/>
      <c r="Z91" s="496"/>
      <c r="AA91" s="496"/>
      <c r="AB91" s="496"/>
      <c r="AC91" s="496"/>
      <c r="AD91" s="487"/>
      <c r="AE91" s="495"/>
      <c r="AF91" s="271"/>
      <c r="AG91" s="272"/>
      <c r="AH91" s="272"/>
      <c r="AI91" s="273"/>
      <c r="AJ91" s="273"/>
      <c r="AK91" s="273"/>
      <c r="AL91" s="273"/>
      <c r="AM91" s="273"/>
      <c r="AN91" s="273"/>
      <c r="AO91" s="273"/>
      <c r="AP91" s="273"/>
      <c r="AQ91" s="273"/>
      <c r="AR91" s="273"/>
      <c r="AS91" s="274"/>
      <c r="AT91" s="295"/>
      <c r="AU91" s="295"/>
      <c r="AV91" s="526"/>
      <c r="AW91" s="25"/>
      <c r="AX91" s="25"/>
      <c r="AY91" s="25"/>
      <c r="BF91" s="207" t="b">
        <f>OR('Terminal Unit Valve Schedule'!$D86="2-WAY",'Terminal Unit Valve Schedule'!$D86="3-WAY")</f>
        <v>1</v>
      </c>
    </row>
    <row r="92" spans="1:58" s="28" customFormat="1" ht="18" customHeight="1">
      <c r="A92" s="625"/>
      <c r="B92" s="604"/>
      <c r="C92" s="493"/>
      <c r="D92" s="598"/>
      <c r="E92" s="599"/>
      <c r="F92" s="601"/>
      <c r="G92" s="601"/>
      <c r="H92" s="602"/>
      <c r="I92" s="607"/>
      <c r="J92" s="605"/>
      <c r="K92" s="489"/>
      <c r="L92" s="489"/>
      <c r="M92" s="489"/>
      <c r="N92" s="490"/>
      <c r="O92" s="491"/>
      <c r="P92" s="491"/>
      <c r="Q92" s="626"/>
      <c r="R92" s="613"/>
      <c r="S92" s="497"/>
      <c r="T92" s="616"/>
      <c r="U92" s="618"/>
      <c r="V92" s="620"/>
      <c r="W92" s="606"/>
      <c r="X92" s="622"/>
      <c r="Y92" s="496"/>
      <c r="Z92" s="496"/>
      <c r="AA92" s="496"/>
      <c r="AB92" s="496"/>
      <c r="AC92" s="496"/>
      <c r="AD92" s="487"/>
      <c r="AE92" s="495"/>
      <c r="AF92" s="271"/>
      <c r="AG92" s="272"/>
      <c r="AH92" s="272"/>
      <c r="AI92" s="273"/>
      <c r="AJ92" s="273"/>
      <c r="AK92" s="273"/>
      <c r="AL92" s="273"/>
      <c r="AM92" s="273"/>
      <c r="AN92" s="273"/>
      <c r="AO92" s="273"/>
      <c r="AP92" s="273"/>
      <c r="AQ92" s="273"/>
      <c r="AR92" s="273"/>
      <c r="AS92" s="274"/>
      <c r="AT92" s="295"/>
      <c r="AU92" s="295"/>
      <c r="AV92" s="526"/>
      <c r="AW92" s="25"/>
      <c r="AX92" s="25"/>
      <c r="AY92" s="25"/>
      <c r="BF92" s="207" t="b">
        <f>OR('Terminal Unit Valve Schedule'!$D87="2-WAY",'Terminal Unit Valve Schedule'!$D87="3-WAY")</f>
        <v>1</v>
      </c>
    </row>
    <row r="93" spans="1:58" s="28" customFormat="1" ht="18" customHeight="1">
      <c r="A93" s="625"/>
      <c r="B93" s="604"/>
      <c r="C93" s="497"/>
      <c r="D93" s="598"/>
      <c r="E93" s="599"/>
      <c r="F93" s="601"/>
      <c r="G93" s="601"/>
      <c r="H93" s="602"/>
      <c r="I93" s="607"/>
      <c r="J93" s="605"/>
      <c r="K93" s="489"/>
      <c r="L93" s="489"/>
      <c r="M93" s="489"/>
      <c r="N93" s="490"/>
      <c r="O93" s="491"/>
      <c r="P93" s="491"/>
      <c r="Q93" s="626"/>
      <c r="R93" s="613"/>
      <c r="S93" s="497"/>
      <c r="T93" s="616"/>
      <c r="U93" s="618"/>
      <c r="V93" s="620"/>
      <c r="W93" s="606"/>
      <c r="X93" s="622"/>
      <c r="Y93" s="496"/>
      <c r="Z93" s="496"/>
      <c r="AA93" s="496"/>
      <c r="AB93" s="496"/>
      <c r="AC93" s="496"/>
      <c r="AD93" s="487"/>
      <c r="AE93" s="495"/>
      <c r="AF93" s="271"/>
      <c r="AG93" s="272"/>
      <c r="AH93" s="272"/>
      <c r="AI93" s="273"/>
      <c r="AJ93" s="273"/>
      <c r="AK93" s="273"/>
      <c r="AL93" s="273"/>
      <c r="AM93" s="273"/>
      <c r="AN93" s="273"/>
      <c r="AO93" s="273"/>
      <c r="AP93" s="273"/>
      <c r="AQ93" s="273"/>
      <c r="AR93" s="273"/>
      <c r="AS93" s="274"/>
      <c r="AT93" s="295"/>
      <c r="AU93" s="295"/>
      <c r="AV93" s="526"/>
      <c r="AW93" s="25"/>
      <c r="AX93" s="25"/>
      <c r="AY93" s="25"/>
      <c r="BF93" s="207" t="b">
        <f>OR('Terminal Unit Valve Schedule'!$D88="2-WAY",'Terminal Unit Valve Schedule'!$D88="3-WAY")</f>
        <v>1</v>
      </c>
    </row>
    <row r="94" spans="1:58" s="28" customFormat="1" ht="18" customHeight="1">
      <c r="A94" s="625"/>
      <c r="B94" s="604"/>
      <c r="C94" s="497"/>
      <c r="D94" s="598"/>
      <c r="E94" s="599"/>
      <c r="F94" s="601"/>
      <c r="G94" s="601"/>
      <c r="H94" s="602"/>
      <c r="I94" s="607"/>
      <c r="J94" s="605"/>
      <c r="K94" s="489"/>
      <c r="L94" s="489"/>
      <c r="M94" s="489"/>
      <c r="N94" s="490"/>
      <c r="O94" s="491"/>
      <c r="P94" s="491"/>
      <c r="Q94" s="626"/>
      <c r="R94" s="613"/>
      <c r="S94" s="497"/>
      <c r="T94" s="616"/>
      <c r="U94" s="618"/>
      <c r="V94" s="620"/>
      <c r="W94" s="606"/>
      <c r="X94" s="622"/>
      <c r="Y94" s="496"/>
      <c r="Z94" s="496"/>
      <c r="AA94" s="496"/>
      <c r="AB94" s="496"/>
      <c r="AC94" s="496"/>
      <c r="AD94" s="487"/>
      <c r="AE94" s="495"/>
      <c r="AF94" s="271"/>
      <c r="AG94" s="272"/>
      <c r="AH94" s="272"/>
      <c r="AI94" s="273"/>
      <c r="AJ94" s="273"/>
      <c r="AK94" s="273"/>
      <c r="AL94" s="273"/>
      <c r="AM94" s="273"/>
      <c r="AN94" s="273"/>
      <c r="AO94" s="273"/>
      <c r="AP94" s="273"/>
      <c r="AQ94" s="273"/>
      <c r="AR94" s="273"/>
      <c r="AS94" s="274"/>
      <c r="AT94" s="295"/>
      <c r="AU94" s="295"/>
      <c r="AV94" s="526"/>
      <c r="AW94" s="25"/>
      <c r="AX94" s="25"/>
      <c r="AY94" s="25"/>
      <c r="BF94" s="207" t="b">
        <f>OR('Terminal Unit Valve Schedule'!$D89="2-WAY",'Terminal Unit Valve Schedule'!$D89="3-WAY")</f>
        <v>1</v>
      </c>
    </row>
    <row r="95" spans="1:58" s="28" customFormat="1" ht="18" customHeight="1">
      <c r="A95" s="625"/>
      <c r="B95" s="604"/>
      <c r="C95" s="497"/>
      <c r="D95" s="598"/>
      <c r="E95" s="599"/>
      <c r="F95" s="601"/>
      <c r="G95" s="601"/>
      <c r="H95" s="602"/>
      <c r="I95" s="607"/>
      <c r="J95" s="605"/>
      <c r="K95" s="489"/>
      <c r="L95" s="489"/>
      <c r="M95" s="489"/>
      <c r="N95" s="490"/>
      <c r="O95" s="491"/>
      <c r="P95" s="491"/>
      <c r="Q95" s="626"/>
      <c r="R95" s="613"/>
      <c r="S95" s="497"/>
      <c r="T95" s="616"/>
      <c r="U95" s="618"/>
      <c r="V95" s="620"/>
      <c r="W95" s="606"/>
      <c r="X95" s="622"/>
      <c r="Y95" s="496"/>
      <c r="Z95" s="496"/>
      <c r="AA95" s="496"/>
      <c r="AB95" s="496"/>
      <c r="AC95" s="496"/>
      <c r="AD95" s="487"/>
      <c r="AE95" s="495"/>
      <c r="AF95" s="271"/>
      <c r="AG95" s="272"/>
      <c r="AH95" s="272"/>
      <c r="AI95" s="273"/>
      <c r="AJ95" s="273"/>
      <c r="AK95" s="273"/>
      <c r="AL95" s="273"/>
      <c r="AM95" s="273"/>
      <c r="AN95" s="273"/>
      <c r="AO95" s="273"/>
      <c r="AP95" s="273"/>
      <c r="AQ95" s="273"/>
      <c r="AR95" s="273"/>
      <c r="AS95" s="274"/>
      <c r="AT95" s="295"/>
      <c r="AU95" s="295"/>
      <c r="AV95" s="526"/>
      <c r="AW95" s="25"/>
      <c r="AX95" s="25"/>
      <c r="AY95" s="25"/>
      <c r="BF95" s="207" t="b">
        <f>OR('Terminal Unit Valve Schedule'!$D90="2-WAY",'Terminal Unit Valve Schedule'!$D90="3-WAY")</f>
        <v>1</v>
      </c>
    </row>
    <row r="96" spans="1:58" s="28" customFormat="1" ht="18" customHeight="1">
      <c r="A96" s="625"/>
      <c r="B96" s="604"/>
      <c r="C96" s="497"/>
      <c r="D96" s="598"/>
      <c r="E96" s="599"/>
      <c r="F96" s="601"/>
      <c r="G96" s="601"/>
      <c r="H96" s="602"/>
      <c r="I96" s="607"/>
      <c r="J96" s="605"/>
      <c r="K96" s="489"/>
      <c r="L96" s="489"/>
      <c r="M96" s="489"/>
      <c r="N96" s="490"/>
      <c r="O96" s="491"/>
      <c r="P96" s="491"/>
      <c r="Q96" s="626"/>
      <c r="R96" s="613"/>
      <c r="S96" s="497"/>
      <c r="T96" s="616"/>
      <c r="U96" s="618"/>
      <c r="V96" s="620"/>
      <c r="W96" s="606"/>
      <c r="X96" s="622"/>
      <c r="Y96" s="496"/>
      <c r="Z96" s="496"/>
      <c r="AA96" s="496"/>
      <c r="AB96" s="496"/>
      <c r="AC96" s="496"/>
      <c r="AD96" s="487"/>
      <c r="AE96" s="495"/>
      <c r="AF96" s="271"/>
      <c r="AG96" s="272"/>
      <c r="AH96" s="272"/>
      <c r="AI96" s="273"/>
      <c r="AJ96" s="273"/>
      <c r="AK96" s="273"/>
      <c r="AL96" s="273"/>
      <c r="AM96" s="273"/>
      <c r="AN96" s="273"/>
      <c r="AO96" s="273"/>
      <c r="AP96" s="273"/>
      <c r="AQ96" s="273"/>
      <c r="AR96" s="273"/>
      <c r="AS96" s="274"/>
      <c r="AT96" s="295"/>
      <c r="AU96" s="295"/>
      <c r="AV96" s="526"/>
      <c r="AW96" s="25"/>
      <c r="AX96" s="25"/>
      <c r="AY96" s="25"/>
      <c r="BF96" s="207" t="b">
        <f>OR('Terminal Unit Valve Schedule'!$D91="2-WAY",'Terminal Unit Valve Schedule'!$D91="3-WAY")</f>
        <v>1</v>
      </c>
    </row>
    <row r="97" spans="1:58" s="28" customFormat="1" ht="18" customHeight="1">
      <c r="A97" s="625"/>
      <c r="B97" s="604"/>
      <c r="C97" s="493"/>
      <c r="D97" s="598"/>
      <c r="E97" s="599"/>
      <c r="F97" s="601"/>
      <c r="G97" s="601"/>
      <c r="H97" s="602"/>
      <c r="I97" s="607"/>
      <c r="J97" s="605"/>
      <c r="K97" s="489"/>
      <c r="L97" s="489"/>
      <c r="M97" s="489"/>
      <c r="N97" s="490"/>
      <c r="O97" s="491"/>
      <c r="P97" s="491"/>
      <c r="Q97" s="626"/>
      <c r="R97" s="613"/>
      <c r="S97" s="497"/>
      <c r="T97" s="616"/>
      <c r="U97" s="618"/>
      <c r="V97" s="620"/>
      <c r="W97" s="606"/>
      <c r="X97" s="622"/>
      <c r="Y97" s="496"/>
      <c r="Z97" s="496"/>
      <c r="AA97" s="496"/>
      <c r="AB97" s="496"/>
      <c r="AC97" s="496"/>
      <c r="AD97" s="487"/>
      <c r="AE97" s="495"/>
      <c r="AF97" s="271"/>
      <c r="AG97" s="272"/>
      <c r="AH97" s="272"/>
      <c r="AI97" s="273"/>
      <c r="AJ97" s="273"/>
      <c r="AK97" s="273"/>
      <c r="AL97" s="273"/>
      <c r="AM97" s="273"/>
      <c r="AN97" s="273"/>
      <c r="AO97" s="273"/>
      <c r="AP97" s="273"/>
      <c r="AQ97" s="273"/>
      <c r="AR97" s="273"/>
      <c r="AS97" s="274"/>
      <c r="AT97" s="295"/>
      <c r="AU97" s="295"/>
      <c r="AV97" s="526"/>
      <c r="AW97" s="25"/>
      <c r="AX97" s="25"/>
      <c r="AY97" s="25"/>
      <c r="BF97" s="207" t="b">
        <f>OR('Terminal Unit Valve Schedule'!$D92="2-WAY",'Terminal Unit Valve Schedule'!$D92="3-WAY")</f>
        <v>1</v>
      </c>
    </row>
    <row r="98" spans="1:58" s="28" customFormat="1" ht="18" customHeight="1">
      <c r="A98" s="625"/>
      <c r="B98" s="604"/>
      <c r="C98" s="497"/>
      <c r="D98" s="598"/>
      <c r="E98" s="599"/>
      <c r="F98" s="601"/>
      <c r="G98" s="601"/>
      <c r="H98" s="602"/>
      <c r="I98" s="607"/>
      <c r="J98" s="605"/>
      <c r="K98" s="489"/>
      <c r="L98" s="489"/>
      <c r="M98" s="489"/>
      <c r="N98" s="490"/>
      <c r="O98" s="491"/>
      <c r="P98" s="491"/>
      <c r="Q98" s="626"/>
      <c r="R98" s="613"/>
      <c r="S98" s="497"/>
      <c r="T98" s="616"/>
      <c r="U98" s="618"/>
      <c r="V98" s="620"/>
      <c r="W98" s="606"/>
      <c r="X98" s="622"/>
      <c r="Y98" s="496"/>
      <c r="Z98" s="496"/>
      <c r="AA98" s="496"/>
      <c r="AB98" s="496"/>
      <c r="AC98" s="496"/>
      <c r="AD98" s="487"/>
      <c r="AE98" s="495"/>
      <c r="AF98" s="271"/>
      <c r="AG98" s="272"/>
      <c r="AH98" s="272"/>
      <c r="AI98" s="273"/>
      <c r="AJ98" s="273"/>
      <c r="AK98" s="273"/>
      <c r="AL98" s="273"/>
      <c r="AM98" s="273"/>
      <c r="AN98" s="273"/>
      <c r="AO98" s="273"/>
      <c r="AP98" s="273"/>
      <c r="AQ98" s="273"/>
      <c r="AR98" s="273"/>
      <c r="AS98" s="274"/>
      <c r="AT98" s="295"/>
      <c r="AU98" s="295"/>
      <c r="AV98" s="526"/>
      <c r="AW98" s="25"/>
      <c r="AX98" s="25"/>
      <c r="AY98" s="25"/>
      <c r="BF98" s="207" t="b">
        <f>OR('Terminal Unit Valve Schedule'!$D93="2-WAY",'Terminal Unit Valve Schedule'!$D93="3-WAY")</f>
        <v>1</v>
      </c>
    </row>
    <row r="99" spans="1:58" s="28" customFormat="1" ht="18" customHeight="1">
      <c r="A99" s="625"/>
      <c r="B99" s="604"/>
      <c r="C99" s="497"/>
      <c r="D99" s="598"/>
      <c r="E99" s="599"/>
      <c r="F99" s="601"/>
      <c r="G99" s="601"/>
      <c r="H99" s="602"/>
      <c r="I99" s="607"/>
      <c r="J99" s="605"/>
      <c r="K99" s="489"/>
      <c r="L99" s="489"/>
      <c r="M99" s="489"/>
      <c r="N99" s="490"/>
      <c r="O99" s="491"/>
      <c r="P99" s="491"/>
      <c r="Q99" s="626"/>
      <c r="R99" s="613"/>
      <c r="S99" s="497"/>
      <c r="T99" s="616"/>
      <c r="U99" s="618"/>
      <c r="V99" s="620"/>
      <c r="W99" s="606"/>
      <c r="X99" s="622"/>
      <c r="Y99" s="496"/>
      <c r="Z99" s="496"/>
      <c r="AA99" s="496"/>
      <c r="AB99" s="496"/>
      <c r="AC99" s="496"/>
      <c r="AD99" s="487"/>
      <c r="AE99" s="495"/>
      <c r="AF99" s="271"/>
      <c r="AG99" s="272"/>
      <c r="AH99" s="272"/>
      <c r="AI99" s="273"/>
      <c r="AJ99" s="273"/>
      <c r="AK99" s="273"/>
      <c r="AL99" s="273"/>
      <c r="AM99" s="273"/>
      <c r="AN99" s="273"/>
      <c r="AO99" s="273"/>
      <c r="AP99" s="273"/>
      <c r="AQ99" s="273"/>
      <c r="AR99" s="273"/>
      <c r="AS99" s="274"/>
      <c r="AT99" s="295"/>
      <c r="AU99" s="295"/>
      <c r="AV99" s="526"/>
      <c r="AW99" s="25"/>
      <c r="AX99" s="25"/>
      <c r="AY99" s="25"/>
      <c r="BF99" s="207" t="b">
        <f>OR('Terminal Unit Valve Schedule'!$D94="2-WAY",'Terminal Unit Valve Schedule'!$D94="3-WAY")</f>
        <v>1</v>
      </c>
    </row>
    <row r="100" spans="1:58" s="28" customFormat="1" ht="18" customHeight="1">
      <c r="A100" s="625"/>
      <c r="B100" s="604"/>
      <c r="C100" s="493"/>
      <c r="D100" s="598"/>
      <c r="E100" s="599"/>
      <c r="F100" s="601"/>
      <c r="G100" s="601"/>
      <c r="H100" s="602"/>
      <c r="I100" s="607"/>
      <c r="J100" s="605"/>
      <c r="K100" s="489"/>
      <c r="L100" s="489"/>
      <c r="M100" s="489"/>
      <c r="N100" s="490"/>
      <c r="O100" s="491"/>
      <c r="P100" s="491"/>
      <c r="Q100" s="626"/>
      <c r="R100" s="613"/>
      <c r="S100" s="497"/>
      <c r="T100" s="616"/>
      <c r="U100" s="618"/>
      <c r="V100" s="620"/>
      <c r="W100" s="606"/>
      <c r="X100" s="622"/>
      <c r="Y100" s="496"/>
      <c r="Z100" s="496"/>
      <c r="AA100" s="496"/>
      <c r="AB100" s="496"/>
      <c r="AC100" s="496"/>
      <c r="AD100" s="487"/>
      <c r="AE100" s="495"/>
      <c r="AF100" s="271"/>
      <c r="AG100" s="272"/>
      <c r="AH100" s="272"/>
      <c r="AI100" s="273"/>
      <c r="AJ100" s="273"/>
      <c r="AK100" s="273"/>
      <c r="AL100" s="273"/>
      <c r="AM100" s="273"/>
      <c r="AN100" s="273"/>
      <c r="AO100" s="273"/>
      <c r="AP100" s="273"/>
      <c r="AQ100" s="273"/>
      <c r="AR100" s="273"/>
      <c r="AS100" s="274"/>
      <c r="AT100" s="295"/>
      <c r="AU100" s="295"/>
      <c r="AV100" s="526"/>
      <c r="AW100" s="25"/>
      <c r="AX100" s="25"/>
      <c r="AY100" s="25"/>
      <c r="BF100" s="207" t="b">
        <f>OR('Terminal Unit Valve Schedule'!$D95="2-WAY",'Terminal Unit Valve Schedule'!$D95="3-WAY")</f>
        <v>1</v>
      </c>
    </row>
    <row r="101" spans="1:58" s="28" customFormat="1" ht="18" customHeight="1">
      <c r="A101" s="625"/>
      <c r="B101" s="604"/>
      <c r="C101" s="497"/>
      <c r="D101" s="598"/>
      <c r="E101" s="599"/>
      <c r="F101" s="601"/>
      <c r="G101" s="601"/>
      <c r="H101" s="602"/>
      <c r="I101" s="607"/>
      <c r="J101" s="605"/>
      <c r="K101" s="489"/>
      <c r="L101" s="489"/>
      <c r="M101" s="489"/>
      <c r="N101" s="490"/>
      <c r="O101" s="491"/>
      <c r="P101" s="491"/>
      <c r="Q101" s="626"/>
      <c r="R101" s="613"/>
      <c r="S101" s="497"/>
      <c r="T101" s="616"/>
      <c r="U101" s="618"/>
      <c r="V101" s="620"/>
      <c r="W101" s="606"/>
      <c r="X101" s="622"/>
      <c r="Y101" s="496"/>
      <c r="Z101" s="496"/>
      <c r="AA101" s="496"/>
      <c r="AB101" s="496"/>
      <c r="AC101" s="496"/>
      <c r="AD101" s="487"/>
      <c r="AE101" s="495"/>
      <c r="AF101" s="271"/>
      <c r="AG101" s="272"/>
      <c r="AH101" s="272"/>
      <c r="AI101" s="273"/>
      <c r="AJ101" s="273"/>
      <c r="AK101" s="273"/>
      <c r="AL101" s="273"/>
      <c r="AM101" s="273"/>
      <c r="AN101" s="273"/>
      <c r="AO101" s="273"/>
      <c r="AP101" s="273"/>
      <c r="AQ101" s="273"/>
      <c r="AR101" s="273"/>
      <c r="AS101" s="274"/>
      <c r="AT101" s="295"/>
      <c r="AU101" s="295"/>
      <c r="AV101" s="526"/>
      <c r="AW101" s="25"/>
      <c r="AX101" s="25"/>
      <c r="AY101" s="25"/>
      <c r="BF101" s="207" t="b">
        <f>OR('Terminal Unit Valve Schedule'!$D96="2-WAY",'Terminal Unit Valve Schedule'!$D96="3-WAY")</f>
        <v>1</v>
      </c>
    </row>
    <row r="102" spans="1:58" s="28" customFormat="1" ht="18" customHeight="1">
      <c r="A102" s="625"/>
      <c r="B102" s="604"/>
      <c r="C102" s="497"/>
      <c r="D102" s="598"/>
      <c r="E102" s="599"/>
      <c r="F102" s="601"/>
      <c r="G102" s="601"/>
      <c r="H102" s="602"/>
      <c r="I102" s="607"/>
      <c r="J102" s="605"/>
      <c r="K102" s="489"/>
      <c r="L102" s="489"/>
      <c r="M102" s="489"/>
      <c r="N102" s="490"/>
      <c r="O102" s="491"/>
      <c r="P102" s="491"/>
      <c r="Q102" s="626"/>
      <c r="R102" s="613"/>
      <c r="S102" s="497"/>
      <c r="T102" s="616"/>
      <c r="U102" s="618"/>
      <c r="V102" s="620"/>
      <c r="W102" s="606"/>
      <c r="X102" s="622"/>
      <c r="Y102" s="496"/>
      <c r="Z102" s="496"/>
      <c r="AA102" s="496"/>
      <c r="AB102" s="496"/>
      <c r="AC102" s="496"/>
      <c r="AD102" s="487"/>
      <c r="AE102" s="495"/>
      <c r="AF102" s="271"/>
      <c r="AG102" s="272"/>
      <c r="AH102" s="272"/>
      <c r="AI102" s="273"/>
      <c r="AJ102" s="273"/>
      <c r="AK102" s="273"/>
      <c r="AL102" s="273"/>
      <c r="AM102" s="273"/>
      <c r="AN102" s="273"/>
      <c r="AO102" s="273"/>
      <c r="AP102" s="273"/>
      <c r="AQ102" s="273"/>
      <c r="AR102" s="273"/>
      <c r="AS102" s="274"/>
      <c r="AT102" s="295"/>
      <c r="AU102" s="295"/>
      <c r="AV102" s="526"/>
      <c r="AW102" s="25"/>
      <c r="AX102" s="25"/>
      <c r="AY102" s="25"/>
      <c r="BF102" s="207" t="b">
        <f>OR('Terminal Unit Valve Schedule'!$D97="2-WAY",'Terminal Unit Valve Schedule'!$D97="3-WAY")</f>
        <v>1</v>
      </c>
    </row>
    <row r="103" spans="1:58" s="28" customFormat="1" ht="18" customHeight="1">
      <c r="A103" s="625"/>
      <c r="B103" s="604"/>
      <c r="C103" s="497"/>
      <c r="D103" s="598"/>
      <c r="E103" s="599"/>
      <c r="F103" s="601"/>
      <c r="G103" s="601"/>
      <c r="H103" s="602"/>
      <c r="I103" s="607"/>
      <c r="J103" s="605"/>
      <c r="K103" s="489"/>
      <c r="L103" s="489"/>
      <c r="M103" s="489"/>
      <c r="N103" s="490"/>
      <c r="O103" s="491"/>
      <c r="P103" s="491"/>
      <c r="Q103" s="626"/>
      <c r="R103" s="613"/>
      <c r="S103" s="497"/>
      <c r="T103" s="616"/>
      <c r="U103" s="618"/>
      <c r="V103" s="620"/>
      <c r="W103" s="606"/>
      <c r="X103" s="622"/>
      <c r="Y103" s="496"/>
      <c r="Z103" s="496"/>
      <c r="AA103" s="496"/>
      <c r="AB103" s="496"/>
      <c r="AC103" s="496"/>
      <c r="AD103" s="487"/>
      <c r="AE103" s="495"/>
      <c r="AF103" s="271"/>
      <c r="AG103" s="272"/>
      <c r="AH103" s="272"/>
      <c r="AI103" s="273"/>
      <c r="AJ103" s="273"/>
      <c r="AK103" s="273"/>
      <c r="AL103" s="273"/>
      <c r="AM103" s="273"/>
      <c r="AN103" s="273"/>
      <c r="AO103" s="273"/>
      <c r="AP103" s="273"/>
      <c r="AQ103" s="273"/>
      <c r="AR103" s="273"/>
      <c r="AS103" s="274"/>
      <c r="AT103" s="295"/>
      <c r="AU103" s="295"/>
      <c r="AV103" s="526"/>
      <c r="AW103" s="25"/>
      <c r="AX103" s="25"/>
      <c r="AY103" s="25"/>
      <c r="BF103" s="207" t="b">
        <f>OR('Terminal Unit Valve Schedule'!$D98="2-WAY",'Terminal Unit Valve Schedule'!$D98="3-WAY")</f>
        <v>1</v>
      </c>
    </row>
    <row r="104" spans="1:58" s="28" customFormat="1" ht="18" customHeight="1">
      <c r="A104" s="625"/>
      <c r="B104" s="604"/>
      <c r="C104" s="493"/>
      <c r="D104" s="598"/>
      <c r="E104" s="599"/>
      <c r="F104" s="601"/>
      <c r="G104" s="601"/>
      <c r="H104" s="602"/>
      <c r="I104" s="607"/>
      <c r="J104" s="605"/>
      <c r="K104" s="489"/>
      <c r="L104" s="489"/>
      <c r="M104" s="489"/>
      <c r="N104" s="490"/>
      <c r="O104" s="491"/>
      <c r="P104" s="491"/>
      <c r="Q104" s="626"/>
      <c r="R104" s="613"/>
      <c r="S104" s="497"/>
      <c r="T104" s="616"/>
      <c r="U104" s="618"/>
      <c r="V104" s="620"/>
      <c r="W104" s="606"/>
      <c r="X104" s="622"/>
      <c r="Y104" s="496"/>
      <c r="Z104" s="496"/>
      <c r="AA104" s="496"/>
      <c r="AB104" s="496"/>
      <c r="AC104" s="496"/>
      <c r="AD104" s="487"/>
      <c r="AE104" s="495"/>
      <c r="AF104" s="271"/>
      <c r="AG104" s="272"/>
      <c r="AH104" s="272"/>
      <c r="AI104" s="273"/>
      <c r="AJ104" s="273"/>
      <c r="AK104" s="273"/>
      <c r="AL104" s="273"/>
      <c r="AM104" s="273"/>
      <c r="AN104" s="273"/>
      <c r="AO104" s="273"/>
      <c r="AP104" s="273"/>
      <c r="AQ104" s="273"/>
      <c r="AR104" s="273"/>
      <c r="AS104" s="274"/>
      <c r="AT104" s="295"/>
      <c r="AU104" s="295"/>
      <c r="AV104" s="526"/>
      <c r="AW104" s="25"/>
      <c r="AX104" s="25"/>
      <c r="AY104" s="25"/>
      <c r="BF104" s="207" t="b">
        <f>OR('Terminal Unit Valve Schedule'!$D99="2-WAY",'Terminal Unit Valve Schedule'!$D99="3-WAY")</f>
        <v>1</v>
      </c>
    </row>
    <row r="105" spans="1:58" s="28" customFormat="1" ht="18" customHeight="1">
      <c r="A105" s="625"/>
      <c r="B105" s="604"/>
      <c r="C105" s="497"/>
      <c r="D105" s="598"/>
      <c r="E105" s="599"/>
      <c r="F105" s="601"/>
      <c r="G105" s="601"/>
      <c r="H105" s="602"/>
      <c r="I105" s="607"/>
      <c r="J105" s="605"/>
      <c r="K105" s="489"/>
      <c r="L105" s="489"/>
      <c r="M105" s="489"/>
      <c r="N105" s="490"/>
      <c r="O105" s="491"/>
      <c r="P105" s="491"/>
      <c r="Q105" s="626"/>
      <c r="R105" s="613"/>
      <c r="S105" s="497"/>
      <c r="T105" s="616"/>
      <c r="U105" s="618"/>
      <c r="V105" s="620"/>
      <c r="W105" s="606"/>
      <c r="X105" s="622"/>
      <c r="Y105" s="496"/>
      <c r="Z105" s="496"/>
      <c r="AA105" s="496"/>
      <c r="AB105" s="496"/>
      <c r="AC105" s="496"/>
      <c r="AD105" s="487"/>
      <c r="AE105" s="495"/>
      <c r="AF105" s="271"/>
      <c r="AG105" s="272"/>
      <c r="AH105" s="272"/>
      <c r="AI105" s="273"/>
      <c r="AJ105" s="273"/>
      <c r="AK105" s="273"/>
      <c r="AL105" s="273"/>
      <c r="AM105" s="273"/>
      <c r="AN105" s="273"/>
      <c r="AO105" s="273"/>
      <c r="AP105" s="273"/>
      <c r="AQ105" s="273"/>
      <c r="AR105" s="273"/>
      <c r="AS105" s="274"/>
      <c r="AT105" s="295"/>
      <c r="AU105" s="295"/>
      <c r="AV105" s="526"/>
      <c r="AW105" s="25"/>
      <c r="AX105" s="25"/>
      <c r="AY105" s="25"/>
      <c r="BF105" s="207" t="b">
        <f>OR('Terminal Unit Valve Schedule'!$D100="2-WAY",'Terminal Unit Valve Schedule'!$D100="3-WAY")</f>
        <v>1</v>
      </c>
    </row>
    <row r="106" spans="1:58" s="28" customFormat="1" ht="18" customHeight="1">
      <c r="A106" s="625"/>
      <c r="B106" s="604"/>
      <c r="C106" s="497"/>
      <c r="D106" s="598"/>
      <c r="E106" s="599"/>
      <c r="F106" s="601"/>
      <c r="G106" s="601"/>
      <c r="H106" s="602"/>
      <c r="I106" s="607"/>
      <c r="J106" s="605"/>
      <c r="K106" s="489"/>
      <c r="L106" s="489"/>
      <c r="M106" s="489"/>
      <c r="N106" s="490"/>
      <c r="O106" s="491"/>
      <c r="P106" s="491"/>
      <c r="Q106" s="626"/>
      <c r="R106" s="613"/>
      <c r="S106" s="497"/>
      <c r="T106" s="616"/>
      <c r="U106" s="618"/>
      <c r="V106" s="620"/>
      <c r="W106" s="606"/>
      <c r="X106" s="622"/>
      <c r="Y106" s="496"/>
      <c r="Z106" s="496"/>
      <c r="AA106" s="496"/>
      <c r="AB106" s="496"/>
      <c r="AC106" s="496"/>
      <c r="AD106" s="487"/>
      <c r="AE106" s="495"/>
      <c r="AF106" s="271"/>
      <c r="AG106" s="272"/>
      <c r="AH106" s="272"/>
      <c r="AI106" s="273"/>
      <c r="AJ106" s="273"/>
      <c r="AK106" s="273"/>
      <c r="AL106" s="273"/>
      <c r="AM106" s="273"/>
      <c r="AN106" s="273"/>
      <c r="AO106" s="273"/>
      <c r="AP106" s="273"/>
      <c r="AQ106" s="273"/>
      <c r="AR106" s="273"/>
      <c r="AS106" s="274"/>
      <c r="AT106" s="295"/>
      <c r="AU106" s="295"/>
      <c r="AV106" s="526"/>
      <c r="AW106" s="25"/>
      <c r="AX106" s="25"/>
      <c r="AY106" s="25"/>
      <c r="BF106" s="207" t="b">
        <f>OR('Terminal Unit Valve Schedule'!$D101="2-WAY",'Terminal Unit Valve Schedule'!$D101="3-WAY")</f>
        <v>1</v>
      </c>
    </row>
    <row r="107" spans="1:58" s="28" customFormat="1" ht="18" customHeight="1">
      <c r="A107" s="625"/>
      <c r="B107" s="604"/>
      <c r="C107" s="497"/>
      <c r="D107" s="598"/>
      <c r="E107" s="599"/>
      <c r="F107" s="601"/>
      <c r="G107" s="601"/>
      <c r="H107" s="602"/>
      <c r="I107" s="607"/>
      <c r="J107" s="605"/>
      <c r="K107" s="489"/>
      <c r="L107" s="489"/>
      <c r="M107" s="489"/>
      <c r="N107" s="490"/>
      <c r="O107" s="491"/>
      <c r="P107" s="491"/>
      <c r="Q107" s="626"/>
      <c r="R107" s="613"/>
      <c r="S107" s="497"/>
      <c r="T107" s="616"/>
      <c r="U107" s="618"/>
      <c r="V107" s="620"/>
      <c r="W107" s="606"/>
      <c r="X107" s="622"/>
      <c r="Y107" s="496"/>
      <c r="Z107" s="496"/>
      <c r="AA107" s="496"/>
      <c r="AB107" s="496"/>
      <c r="AC107" s="496"/>
      <c r="AD107" s="487"/>
      <c r="AE107" s="495"/>
      <c r="AF107" s="271"/>
      <c r="AG107" s="272"/>
      <c r="AH107" s="272"/>
      <c r="AI107" s="273"/>
      <c r="AJ107" s="273"/>
      <c r="AK107" s="273"/>
      <c r="AL107" s="273"/>
      <c r="AM107" s="273"/>
      <c r="AN107" s="273"/>
      <c r="AO107" s="273"/>
      <c r="AP107" s="273"/>
      <c r="AQ107" s="273"/>
      <c r="AR107" s="273"/>
      <c r="AS107" s="274"/>
      <c r="AT107" s="295"/>
      <c r="AU107" s="295"/>
      <c r="AV107" s="526"/>
      <c r="AW107" s="25"/>
      <c r="AX107" s="25"/>
      <c r="AY107" s="25"/>
      <c r="BF107" s="207" t="b">
        <f>OR('Terminal Unit Valve Schedule'!$D102="2-WAY",'Terminal Unit Valve Schedule'!$D102="3-WAY")</f>
        <v>1</v>
      </c>
    </row>
    <row r="108" spans="1:58" s="28" customFormat="1" ht="18" customHeight="1">
      <c r="A108" s="625"/>
      <c r="B108" s="604"/>
      <c r="C108" s="493"/>
      <c r="D108" s="598"/>
      <c r="E108" s="599"/>
      <c r="F108" s="601"/>
      <c r="G108" s="601"/>
      <c r="H108" s="602"/>
      <c r="I108" s="607"/>
      <c r="J108" s="605"/>
      <c r="K108" s="489"/>
      <c r="L108" s="489"/>
      <c r="M108" s="489"/>
      <c r="N108" s="490"/>
      <c r="O108" s="491"/>
      <c r="P108" s="491"/>
      <c r="Q108" s="626"/>
      <c r="R108" s="613"/>
      <c r="S108" s="497"/>
      <c r="T108" s="616"/>
      <c r="U108" s="618"/>
      <c r="V108" s="620"/>
      <c r="W108" s="606"/>
      <c r="X108" s="622"/>
      <c r="Y108" s="496"/>
      <c r="Z108" s="496"/>
      <c r="AA108" s="496"/>
      <c r="AB108" s="496"/>
      <c r="AC108" s="496"/>
      <c r="AD108" s="487"/>
      <c r="AE108" s="495"/>
      <c r="AF108" s="271"/>
      <c r="AG108" s="272"/>
      <c r="AH108" s="272"/>
      <c r="AI108" s="273"/>
      <c r="AJ108" s="273"/>
      <c r="AK108" s="273"/>
      <c r="AL108" s="273"/>
      <c r="AM108" s="273"/>
      <c r="AN108" s="273"/>
      <c r="AO108" s="273"/>
      <c r="AP108" s="273"/>
      <c r="AQ108" s="273"/>
      <c r="AR108" s="273"/>
      <c r="AS108" s="274"/>
      <c r="AT108" s="295"/>
      <c r="AU108" s="295"/>
      <c r="AV108" s="526"/>
      <c r="AW108" s="25"/>
      <c r="AX108" s="25"/>
      <c r="AY108" s="25"/>
      <c r="BF108" s="207" t="b">
        <f>OR('Terminal Unit Valve Schedule'!$D103="2-WAY",'Terminal Unit Valve Schedule'!$D103="3-WAY")</f>
        <v>1</v>
      </c>
    </row>
    <row r="109" spans="1:58" s="28" customFormat="1" ht="18" customHeight="1">
      <c r="A109" s="625"/>
      <c r="B109" s="604"/>
      <c r="C109" s="497"/>
      <c r="D109" s="598"/>
      <c r="E109" s="599"/>
      <c r="F109" s="601"/>
      <c r="G109" s="601"/>
      <c r="H109" s="602"/>
      <c r="I109" s="607"/>
      <c r="J109" s="605"/>
      <c r="K109" s="489"/>
      <c r="L109" s="489"/>
      <c r="M109" s="489"/>
      <c r="N109" s="490"/>
      <c r="O109" s="491"/>
      <c r="P109" s="491"/>
      <c r="Q109" s="626"/>
      <c r="R109" s="613"/>
      <c r="S109" s="497"/>
      <c r="T109" s="616"/>
      <c r="U109" s="618"/>
      <c r="V109" s="620"/>
      <c r="W109" s="606"/>
      <c r="X109" s="622"/>
      <c r="Y109" s="496"/>
      <c r="Z109" s="496"/>
      <c r="AA109" s="496"/>
      <c r="AB109" s="496"/>
      <c r="AC109" s="496"/>
      <c r="AD109" s="487"/>
      <c r="AE109" s="495"/>
      <c r="AF109" s="271"/>
      <c r="AG109" s="272"/>
      <c r="AH109" s="272"/>
      <c r="AI109" s="273"/>
      <c r="AJ109" s="273"/>
      <c r="AK109" s="273"/>
      <c r="AL109" s="273"/>
      <c r="AM109" s="273"/>
      <c r="AN109" s="273"/>
      <c r="AO109" s="273"/>
      <c r="AP109" s="273"/>
      <c r="AQ109" s="273"/>
      <c r="AR109" s="273"/>
      <c r="AS109" s="274"/>
      <c r="AT109" s="295"/>
      <c r="AU109" s="295"/>
      <c r="AV109" s="526"/>
      <c r="AW109" s="25"/>
      <c r="AX109" s="25"/>
      <c r="AY109" s="25"/>
      <c r="BF109" s="207" t="b">
        <f>OR('Terminal Unit Valve Schedule'!$D104="2-WAY",'Terminal Unit Valve Schedule'!$D104="3-WAY")</f>
        <v>1</v>
      </c>
    </row>
    <row r="110" spans="1:58" s="28" customFormat="1" ht="18" customHeight="1">
      <c r="A110" s="625"/>
      <c r="B110" s="604"/>
      <c r="C110" s="497"/>
      <c r="D110" s="598"/>
      <c r="E110" s="599"/>
      <c r="F110" s="601"/>
      <c r="G110" s="601"/>
      <c r="H110" s="602"/>
      <c r="I110" s="607"/>
      <c r="J110" s="605"/>
      <c r="K110" s="489"/>
      <c r="L110" s="489"/>
      <c r="M110" s="489"/>
      <c r="N110" s="490"/>
      <c r="O110" s="491"/>
      <c r="P110" s="491"/>
      <c r="Q110" s="626"/>
      <c r="R110" s="613"/>
      <c r="S110" s="497"/>
      <c r="T110" s="616"/>
      <c r="U110" s="618"/>
      <c r="V110" s="620"/>
      <c r="W110" s="606"/>
      <c r="X110" s="622"/>
      <c r="Y110" s="496"/>
      <c r="Z110" s="496"/>
      <c r="AA110" s="496"/>
      <c r="AB110" s="496"/>
      <c r="AC110" s="496"/>
      <c r="AD110" s="487"/>
      <c r="AE110" s="495"/>
      <c r="AF110" s="271"/>
      <c r="AG110" s="272"/>
      <c r="AH110" s="272"/>
      <c r="AI110" s="273"/>
      <c r="AJ110" s="273"/>
      <c r="AK110" s="273"/>
      <c r="AL110" s="273"/>
      <c r="AM110" s="273"/>
      <c r="AN110" s="273"/>
      <c r="AO110" s="273"/>
      <c r="AP110" s="273"/>
      <c r="AQ110" s="273"/>
      <c r="AR110" s="273"/>
      <c r="AS110" s="274"/>
      <c r="AT110" s="295"/>
      <c r="AU110" s="295"/>
      <c r="AV110" s="526"/>
      <c r="AW110" s="25"/>
      <c r="AX110" s="25"/>
      <c r="AY110" s="25"/>
      <c r="BF110" s="207" t="b">
        <f>OR('Terminal Unit Valve Schedule'!$D105="2-WAY",'Terminal Unit Valve Schedule'!$D105="3-WAY")</f>
        <v>1</v>
      </c>
    </row>
    <row r="111" spans="1:58" s="28" customFormat="1" ht="18" customHeight="1">
      <c r="A111" s="625"/>
      <c r="B111" s="604"/>
      <c r="C111" s="497"/>
      <c r="D111" s="598"/>
      <c r="E111" s="599"/>
      <c r="F111" s="601"/>
      <c r="G111" s="601"/>
      <c r="H111" s="602"/>
      <c r="I111" s="607"/>
      <c r="J111" s="605"/>
      <c r="K111" s="489"/>
      <c r="L111" s="489"/>
      <c r="M111" s="489"/>
      <c r="N111" s="490"/>
      <c r="O111" s="491"/>
      <c r="P111" s="491"/>
      <c r="Q111" s="626"/>
      <c r="R111" s="613"/>
      <c r="S111" s="497"/>
      <c r="T111" s="616"/>
      <c r="U111" s="618"/>
      <c r="V111" s="620"/>
      <c r="W111" s="606"/>
      <c r="X111" s="622"/>
      <c r="Y111" s="496"/>
      <c r="Z111" s="496"/>
      <c r="AA111" s="496"/>
      <c r="AB111" s="496"/>
      <c r="AC111" s="496"/>
      <c r="AD111" s="487"/>
      <c r="AE111" s="495"/>
      <c r="AF111" s="271"/>
      <c r="AG111" s="272"/>
      <c r="AH111" s="272"/>
      <c r="AI111" s="273"/>
      <c r="AJ111" s="273"/>
      <c r="AK111" s="273"/>
      <c r="AL111" s="273"/>
      <c r="AM111" s="273"/>
      <c r="AN111" s="273"/>
      <c r="AO111" s="273"/>
      <c r="AP111" s="273"/>
      <c r="AQ111" s="273"/>
      <c r="AR111" s="273"/>
      <c r="AS111" s="274"/>
      <c r="AT111" s="295"/>
      <c r="AU111" s="295"/>
      <c r="AV111" s="526"/>
      <c r="AW111" s="25"/>
      <c r="AX111" s="25"/>
      <c r="AY111" s="25"/>
      <c r="BF111" s="207" t="b">
        <f>OR('Terminal Unit Valve Schedule'!$D106="2-WAY",'Terminal Unit Valve Schedule'!$D106="3-WAY")</f>
        <v>1</v>
      </c>
    </row>
    <row r="112" spans="1:58" s="28" customFormat="1" ht="18" customHeight="1">
      <c r="A112" s="625"/>
      <c r="B112" s="604"/>
      <c r="C112" s="493"/>
      <c r="D112" s="598"/>
      <c r="E112" s="599"/>
      <c r="F112" s="601"/>
      <c r="G112" s="601"/>
      <c r="H112" s="602"/>
      <c r="I112" s="607"/>
      <c r="J112" s="605"/>
      <c r="K112" s="489"/>
      <c r="L112" s="489"/>
      <c r="M112" s="489"/>
      <c r="N112" s="490"/>
      <c r="O112" s="491"/>
      <c r="P112" s="491"/>
      <c r="Q112" s="626"/>
      <c r="R112" s="613"/>
      <c r="S112" s="497"/>
      <c r="T112" s="616"/>
      <c r="U112" s="618"/>
      <c r="V112" s="620"/>
      <c r="W112" s="606"/>
      <c r="X112" s="622"/>
      <c r="Y112" s="496"/>
      <c r="Z112" s="496"/>
      <c r="AA112" s="496"/>
      <c r="AB112" s="496"/>
      <c r="AC112" s="496"/>
      <c r="AD112" s="487"/>
      <c r="AE112" s="495"/>
      <c r="AF112" s="271"/>
      <c r="AG112" s="272"/>
      <c r="AH112" s="272"/>
      <c r="AI112" s="273"/>
      <c r="AJ112" s="273"/>
      <c r="AK112" s="273"/>
      <c r="AL112" s="273"/>
      <c r="AM112" s="273"/>
      <c r="AN112" s="273"/>
      <c r="AO112" s="273"/>
      <c r="AP112" s="273"/>
      <c r="AQ112" s="273"/>
      <c r="AR112" s="273"/>
      <c r="AS112" s="274"/>
      <c r="AT112" s="295"/>
      <c r="AU112" s="295"/>
      <c r="AV112" s="526"/>
      <c r="AW112" s="25"/>
      <c r="AX112" s="25"/>
      <c r="AY112" s="25"/>
      <c r="BF112" s="207" t="b">
        <f>OR('Terminal Unit Valve Schedule'!$D107="2-WAY",'Terminal Unit Valve Schedule'!$D107="3-WAY")</f>
        <v>1</v>
      </c>
    </row>
    <row r="113" spans="1:58" s="28" customFormat="1" ht="18" customHeight="1">
      <c r="A113" s="625"/>
      <c r="B113" s="604"/>
      <c r="C113" s="497"/>
      <c r="D113" s="598"/>
      <c r="E113" s="599"/>
      <c r="F113" s="601"/>
      <c r="G113" s="601"/>
      <c r="H113" s="602"/>
      <c r="I113" s="607"/>
      <c r="J113" s="605"/>
      <c r="K113" s="489"/>
      <c r="L113" s="489"/>
      <c r="M113" s="489"/>
      <c r="N113" s="490"/>
      <c r="O113" s="491"/>
      <c r="P113" s="491"/>
      <c r="Q113" s="626"/>
      <c r="R113" s="613"/>
      <c r="S113" s="497"/>
      <c r="T113" s="616"/>
      <c r="U113" s="618"/>
      <c r="V113" s="620"/>
      <c r="W113" s="606"/>
      <c r="X113" s="622"/>
      <c r="Y113" s="496"/>
      <c r="Z113" s="496"/>
      <c r="AA113" s="496"/>
      <c r="AB113" s="496"/>
      <c r="AC113" s="496"/>
      <c r="AD113" s="487"/>
      <c r="AE113" s="495"/>
      <c r="AF113" s="271"/>
      <c r="AG113" s="272"/>
      <c r="AH113" s="272"/>
      <c r="AI113" s="273"/>
      <c r="AJ113" s="273"/>
      <c r="AK113" s="273"/>
      <c r="AL113" s="273"/>
      <c r="AM113" s="273"/>
      <c r="AN113" s="273"/>
      <c r="AO113" s="273"/>
      <c r="AP113" s="273"/>
      <c r="AQ113" s="273"/>
      <c r="AR113" s="273"/>
      <c r="AS113" s="274"/>
      <c r="AT113" s="295"/>
      <c r="AU113" s="295"/>
      <c r="AV113" s="526"/>
      <c r="AW113" s="25"/>
      <c r="AX113" s="25"/>
      <c r="AY113" s="25"/>
      <c r="BF113" s="207" t="b">
        <f>OR('Terminal Unit Valve Schedule'!$D108="2-WAY",'Terminal Unit Valve Schedule'!$D108="3-WAY")</f>
        <v>1</v>
      </c>
    </row>
    <row r="114" spans="1:58" s="28" customFormat="1" ht="18" customHeight="1">
      <c r="A114" s="625"/>
      <c r="B114" s="604"/>
      <c r="C114" s="497"/>
      <c r="D114" s="598"/>
      <c r="E114" s="599"/>
      <c r="F114" s="601"/>
      <c r="G114" s="601"/>
      <c r="H114" s="602"/>
      <c r="I114" s="607"/>
      <c r="J114" s="605"/>
      <c r="K114" s="489"/>
      <c r="L114" s="489"/>
      <c r="M114" s="489"/>
      <c r="N114" s="490"/>
      <c r="O114" s="491"/>
      <c r="P114" s="491"/>
      <c r="Q114" s="626"/>
      <c r="R114" s="613"/>
      <c r="S114" s="497"/>
      <c r="T114" s="616"/>
      <c r="U114" s="618"/>
      <c r="V114" s="620"/>
      <c r="W114" s="606"/>
      <c r="X114" s="622"/>
      <c r="Y114" s="496"/>
      <c r="Z114" s="496"/>
      <c r="AA114" s="496"/>
      <c r="AB114" s="496"/>
      <c r="AC114" s="496"/>
      <c r="AD114" s="487"/>
      <c r="AE114" s="495"/>
      <c r="AF114" s="271"/>
      <c r="AG114" s="272"/>
      <c r="AH114" s="272"/>
      <c r="AI114" s="273"/>
      <c r="AJ114" s="273"/>
      <c r="AK114" s="273"/>
      <c r="AL114" s="273"/>
      <c r="AM114" s="273"/>
      <c r="AN114" s="273"/>
      <c r="AO114" s="273"/>
      <c r="AP114" s="273"/>
      <c r="AQ114" s="273"/>
      <c r="AR114" s="273"/>
      <c r="AS114" s="274"/>
      <c r="AT114" s="295"/>
      <c r="AU114" s="295"/>
      <c r="AV114" s="526"/>
      <c r="AW114" s="25"/>
      <c r="AX114" s="25"/>
      <c r="AY114" s="25"/>
      <c r="BF114" s="207" t="b">
        <f>OR('Terminal Unit Valve Schedule'!$D109="2-WAY",'Terminal Unit Valve Schedule'!$D109="3-WAY")</f>
        <v>1</v>
      </c>
    </row>
    <row r="115" spans="1:58" s="28" customFormat="1" ht="18" customHeight="1">
      <c r="A115" s="625"/>
      <c r="B115" s="604"/>
      <c r="C115" s="497"/>
      <c r="D115" s="598"/>
      <c r="E115" s="599"/>
      <c r="F115" s="601"/>
      <c r="G115" s="601"/>
      <c r="H115" s="602"/>
      <c r="I115" s="607"/>
      <c r="J115" s="605"/>
      <c r="K115" s="489"/>
      <c r="L115" s="489"/>
      <c r="M115" s="489"/>
      <c r="N115" s="490"/>
      <c r="O115" s="491"/>
      <c r="P115" s="491"/>
      <c r="Q115" s="626"/>
      <c r="R115" s="613"/>
      <c r="S115" s="497"/>
      <c r="T115" s="616"/>
      <c r="U115" s="618"/>
      <c r="V115" s="620"/>
      <c r="W115" s="606"/>
      <c r="X115" s="622"/>
      <c r="Y115" s="496"/>
      <c r="Z115" s="496"/>
      <c r="AA115" s="496"/>
      <c r="AB115" s="496"/>
      <c r="AC115" s="496"/>
      <c r="AD115" s="487"/>
      <c r="AE115" s="495"/>
      <c r="AF115" s="271"/>
      <c r="AG115" s="272"/>
      <c r="AH115" s="272"/>
      <c r="AI115" s="273"/>
      <c r="AJ115" s="273"/>
      <c r="AK115" s="273"/>
      <c r="AL115" s="273"/>
      <c r="AM115" s="273"/>
      <c r="AN115" s="273"/>
      <c r="AO115" s="273"/>
      <c r="AP115" s="273"/>
      <c r="AQ115" s="273"/>
      <c r="AR115" s="273"/>
      <c r="AS115" s="274"/>
      <c r="AT115" s="295"/>
      <c r="AU115" s="295"/>
      <c r="AV115" s="526"/>
      <c r="AW115" s="25"/>
      <c r="AX115" s="25"/>
      <c r="AY115" s="25"/>
      <c r="BF115" s="207" t="b">
        <f>OR('Terminal Unit Valve Schedule'!$D110="2-WAY",'Terminal Unit Valve Schedule'!$D110="3-WAY")</f>
        <v>1</v>
      </c>
    </row>
    <row r="116" spans="1:58" s="28" customFormat="1" ht="18" customHeight="1">
      <c r="A116" s="625"/>
      <c r="B116" s="604"/>
      <c r="C116" s="493"/>
      <c r="D116" s="598"/>
      <c r="E116" s="599"/>
      <c r="F116" s="601"/>
      <c r="G116" s="601"/>
      <c r="H116" s="602"/>
      <c r="I116" s="607"/>
      <c r="J116" s="605"/>
      <c r="K116" s="489"/>
      <c r="L116" s="489"/>
      <c r="M116" s="489"/>
      <c r="N116" s="490"/>
      <c r="O116" s="491"/>
      <c r="P116" s="491"/>
      <c r="Q116" s="626"/>
      <c r="R116" s="613"/>
      <c r="S116" s="497"/>
      <c r="T116" s="616"/>
      <c r="U116" s="618"/>
      <c r="V116" s="620"/>
      <c r="W116" s="606"/>
      <c r="X116" s="622"/>
      <c r="Y116" s="496"/>
      <c r="Z116" s="496"/>
      <c r="AA116" s="496"/>
      <c r="AB116" s="496"/>
      <c r="AC116" s="496"/>
      <c r="AD116" s="487"/>
      <c r="AE116" s="495"/>
      <c r="AF116" s="271"/>
      <c r="AG116" s="272"/>
      <c r="AH116" s="272"/>
      <c r="AI116" s="273"/>
      <c r="AJ116" s="273"/>
      <c r="AK116" s="273"/>
      <c r="AL116" s="273"/>
      <c r="AM116" s="273"/>
      <c r="AN116" s="273"/>
      <c r="AO116" s="273"/>
      <c r="AP116" s="273"/>
      <c r="AQ116" s="273"/>
      <c r="AR116" s="273"/>
      <c r="AS116" s="274"/>
      <c r="AT116" s="295"/>
      <c r="AU116" s="295"/>
      <c r="AV116" s="526"/>
      <c r="AW116" s="25"/>
      <c r="AX116" s="25"/>
      <c r="AY116" s="25"/>
      <c r="BF116" s="207" t="b">
        <f>OR('Terminal Unit Valve Schedule'!$D111="2-WAY",'Terminal Unit Valve Schedule'!$D111="3-WAY")</f>
        <v>1</v>
      </c>
    </row>
    <row r="117" spans="1:58" s="28" customFormat="1" ht="18" customHeight="1">
      <c r="A117" s="625"/>
      <c r="B117" s="604"/>
      <c r="C117" s="497"/>
      <c r="D117" s="598"/>
      <c r="E117" s="599"/>
      <c r="F117" s="601"/>
      <c r="G117" s="601"/>
      <c r="H117" s="602"/>
      <c r="I117" s="607"/>
      <c r="J117" s="605"/>
      <c r="K117" s="489"/>
      <c r="L117" s="489"/>
      <c r="M117" s="489"/>
      <c r="N117" s="490"/>
      <c r="O117" s="491"/>
      <c r="P117" s="491"/>
      <c r="Q117" s="626"/>
      <c r="R117" s="613"/>
      <c r="S117" s="497"/>
      <c r="T117" s="616"/>
      <c r="U117" s="618"/>
      <c r="V117" s="620"/>
      <c r="W117" s="606"/>
      <c r="X117" s="622"/>
      <c r="Y117" s="496"/>
      <c r="Z117" s="496"/>
      <c r="AA117" s="496"/>
      <c r="AB117" s="496"/>
      <c r="AC117" s="496"/>
      <c r="AD117" s="487"/>
      <c r="AE117" s="495"/>
      <c r="AF117" s="271"/>
      <c r="AG117" s="272"/>
      <c r="AH117" s="272"/>
      <c r="AI117" s="273"/>
      <c r="AJ117" s="273"/>
      <c r="AK117" s="273"/>
      <c r="AL117" s="273"/>
      <c r="AM117" s="273"/>
      <c r="AN117" s="273"/>
      <c r="AO117" s="273"/>
      <c r="AP117" s="273"/>
      <c r="AQ117" s="273"/>
      <c r="AR117" s="273"/>
      <c r="AS117" s="274"/>
      <c r="AT117" s="295"/>
      <c r="AU117" s="295"/>
      <c r="AV117" s="526"/>
      <c r="AW117" s="25"/>
      <c r="AX117" s="25"/>
      <c r="AY117" s="25"/>
      <c r="BF117" s="207" t="b">
        <f>OR('Terminal Unit Valve Schedule'!$D112="2-WAY",'Terminal Unit Valve Schedule'!$D112="3-WAY")</f>
        <v>1</v>
      </c>
    </row>
    <row r="118" spans="1:58" s="28" customFormat="1" ht="18" customHeight="1">
      <c r="A118" s="625"/>
      <c r="B118" s="604"/>
      <c r="C118" s="497"/>
      <c r="D118" s="598"/>
      <c r="E118" s="599"/>
      <c r="F118" s="601"/>
      <c r="G118" s="601"/>
      <c r="H118" s="602"/>
      <c r="I118" s="607"/>
      <c r="J118" s="605"/>
      <c r="K118" s="489"/>
      <c r="L118" s="489"/>
      <c r="M118" s="489"/>
      <c r="N118" s="490"/>
      <c r="O118" s="491"/>
      <c r="P118" s="491"/>
      <c r="Q118" s="626"/>
      <c r="R118" s="613"/>
      <c r="S118" s="497"/>
      <c r="T118" s="616"/>
      <c r="U118" s="618"/>
      <c r="V118" s="620"/>
      <c r="W118" s="606"/>
      <c r="X118" s="622"/>
      <c r="Y118" s="496"/>
      <c r="Z118" s="496"/>
      <c r="AA118" s="496"/>
      <c r="AB118" s="496"/>
      <c r="AC118" s="496"/>
      <c r="AD118" s="487"/>
      <c r="AE118" s="495"/>
      <c r="AF118" s="271"/>
      <c r="AG118" s="272"/>
      <c r="AH118" s="272"/>
      <c r="AI118" s="273"/>
      <c r="AJ118" s="273"/>
      <c r="AK118" s="273"/>
      <c r="AL118" s="273"/>
      <c r="AM118" s="273"/>
      <c r="AN118" s="273"/>
      <c r="AO118" s="273"/>
      <c r="AP118" s="273"/>
      <c r="AQ118" s="273"/>
      <c r="AR118" s="273"/>
      <c r="AS118" s="274"/>
      <c r="AT118" s="295"/>
      <c r="AU118" s="295"/>
      <c r="AV118" s="526"/>
      <c r="AW118" s="25"/>
      <c r="AX118" s="25"/>
      <c r="AY118" s="25"/>
      <c r="BF118" s="207" t="b">
        <f>OR('Terminal Unit Valve Schedule'!$D113="2-WAY",'Terminal Unit Valve Schedule'!$D113="3-WAY")</f>
        <v>1</v>
      </c>
    </row>
    <row r="119" spans="1:58" s="28" customFormat="1" ht="18" customHeight="1">
      <c r="A119" s="625"/>
      <c r="B119" s="604"/>
      <c r="C119" s="497"/>
      <c r="D119" s="598"/>
      <c r="E119" s="599"/>
      <c r="F119" s="601"/>
      <c r="G119" s="601"/>
      <c r="H119" s="602"/>
      <c r="I119" s="607"/>
      <c r="J119" s="605"/>
      <c r="K119" s="489"/>
      <c r="L119" s="489"/>
      <c r="M119" s="489"/>
      <c r="N119" s="490"/>
      <c r="O119" s="491"/>
      <c r="P119" s="491"/>
      <c r="Q119" s="626"/>
      <c r="R119" s="613"/>
      <c r="S119" s="497"/>
      <c r="T119" s="616"/>
      <c r="U119" s="618"/>
      <c r="V119" s="620"/>
      <c r="W119" s="606"/>
      <c r="X119" s="622"/>
      <c r="Y119" s="496"/>
      <c r="Z119" s="496"/>
      <c r="AA119" s="496"/>
      <c r="AB119" s="496"/>
      <c r="AC119" s="496"/>
      <c r="AD119" s="487"/>
      <c r="AE119" s="495"/>
      <c r="AF119" s="271"/>
      <c r="AG119" s="272"/>
      <c r="AH119" s="272"/>
      <c r="AI119" s="273"/>
      <c r="AJ119" s="273"/>
      <c r="AK119" s="273"/>
      <c r="AL119" s="273"/>
      <c r="AM119" s="273"/>
      <c r="AN119" s="273"/>
      <c r="AO119" s="273"/>
      <c r="AP119" s="273"/>
      <c r="AQ119" s="273"/>
      <c r="AR119" s="273"/>
      <c r="AS119" s="274"/>
      <c r="AT119" s="295"/>
      <c r="AU119" s="295"/>
      <c r="AV119" s="526"/>
      <c r="AW119" s="25"/>
      <c r="AX119" s="25"/>
      <c r="AY119" s="25"/>
      <c r="BF119" s="207" t="b">
        <f>OR('Terminal Unit Valve Schedule'!$D114="2-WAY",'Terminal Unit Valve Schedule'!$D114="3-WAY")</f>
        <v>1</v>
      </c>
    </row>
    <row r="120" spans="1:58" s="28" customFormat="1" ht="18" customHeight="1">
      <c r="A120" s="625"/>
      <c r="B120" s="604"/>
      <c r="C120" s="493"/>
      <c r="D120" s="598"/>
      <c r="E120" s="599"/>
      <c r="F120" s="601"/>
      <c r="G120" s="601"/>
      <c r="H120" s="602"/>
      <c r="I120" s="607"/>
      <c r="J120" s="605"/>
      <c r="K120" s="489"/>
      <c r="L120" s="489"/>
      <c r="M120" s="489"/>
      <c r="N120" s="490"/>
      <c r="O120" s="491"/>
      <c r="P120" s="491"/>
      <c r="Q120" s="626"/>
      <c r="R120" s="613"/>
      <c r="S120" s="497"/>
      <c r="T120" s="616"/>
      <c r="U120" s="618"/>
      <c r="V120" s="620"/>
      <c r="W120" s="606"/>
      <c r="X120" s="622"/>
      <c r="Y120" s="496"/>
      <c r="Z120" s="496"/>
      <c r="AA120" s="496"/>
      <c r="AB120" s="496"/>
      <c r="AC120" s="496"/>
      <c r="AD120" s="487"/>
      <c r="AE120" s="495"/>
      <c r="AF120" s="271"/>
      <c r="AG120" s="272"/>
      <c r="AH120" s="272"/>
      <c r="AI120" s="273"/>
      <c r="AJ120" s="273"/>
      <c r="AK120" s="273"/>
      <c r="AL120" s="273"/>
      <c r="AM120" s="273"/>
      <c r="AN120" s="273"/>
      <c r="AO120" s="273"/>
      <c r="AP120" s="273"/>
      <c r="AQ120" s="273"/>
      <c r="AR120" s="273"/>
      <c r="AS120" s="274"/>
      <c r="AT120" s="295"/>
      <c r="AU120" s="295"/>
      <c r="AV120" s="526"/>
      <c r="AW120" s="25"/>
      <c r="AX120" s="25"/>
      <c r="AY120" s="25"/>
      <c r="BF120" s="207" t="b">
        <f>OR('Terminal Unit Valve Schedule'!$D115="2-WAY",'Terminal Unit Valve Schedule'!$D115="3-WAY")</f>
        <v>1</v>
      </c>
    </row>
    <row r="121" spans="1:58" s="28" customFormat="1" ht="18" customHeight="1">
      <c r="A121" s="625"/>
      <c r="B121" s="604"/>
      <c r="C121" s="497"/>
      <c r="D121" s="598"/>
      <c r="E121" s="599"/>
      <c r="F121" s="601"/>
      <c r="G121" s="601"/>
      <c r="H121" s="602"/>
      <c r="I121" s="607"/>
      <c r="J121" s="605"/>
      <c r="K121" s="489"/>
      <c r="L121" s="489"/>
      <c r="M121" s="489"/>
      <c r="N121" s="490"/>
      <c r="O121" s="491"/>
      <c r="P121" s="491"/>
      <c r="Q121" s="626"/>
      <c r="R121" s="613"/>
      <c r="S121" s="497"/>
      <c r="T121" s="616"/>
      <c r="U121" s="618"/>
      <c r="V121" s="620"/>
      <c r="W121" s="606"/>
      <c r="X121" s="622"/>
      <c r="Y121" s="496"/>
      <c r="Z121" s="496"/>
      <c r="AA121" s="496"/>
      <c r="AB121" s="496"/>
      <c r="AC121" s="496"/>
      <c r="AD121" s="487"/>
      <c r="AE121" s="495"/>
      <c r="AF121" s="271"/>
      <c r="AG121" s="272"/>
      <c r="AH121" s="272"/>
      <c r="AI121" s="273"/>
      <c r="AJ121" s="273"/>
      <c r="AK121" s="273"/>
      <c r="AL121" s="273"/>
      <c r="AM121" s="273"/>
      <c r="AN121" s="273"/>
      <c r="AO121" s="273"/>
      <c r="AP121" s="273"/>
      <c r="AQ121" s="273"/>
      <c r="AR121" s="273"/>
      <c r="AS121" s="274"/>
      <c r="AT121" s="295"/>
      <c r="AU121" s="295"/>
      <c r="AV121" s="526"/>
      <c r="AW121" s="25"/>
      <c r="AX121" s="25"/>
      <c r="AY121" s="25"/>
      <c r="BF121" s="207" t="b">
        <f>OR('Terminal Unit Valve Schedule'!$D116="2-WAY",'Terminal Unit Valve Schedule'!$D116="3-WAY")</f>
        <v>1</v>
      </c>
    </row>
    <row r="122" spans="1:58" s="28" customFormat="1" ht="18" customHeight="1">
      <c r="A122" s="625"/>
      <c r="B122" s="604"/>
      <c r="C122" s="497"/>
      <c r="D122" s="598"/>
      <c r="E122" s="599"/>
      <c r="F122" s="601"/>
      <c r="G122" s="601"/>
      <c r="H122" s="602"/>
      <c r="I122" s="607"/>
      <c r="J122" s="605"/>
      <c r="K122" s="489"/>
      <c r="L122" s="489"/>
      <c r="M122" s="489"/>
      <c r="N122" s="490"/>
      <c r="O122" s="491"/>
      <c r="P122" s="491"/>
      <c r="Q122" s="626"/>
      <c r="R122" s="613"/>
      <c r="S122" s="497"/>
      <c r="T122" s="616"/>
      <c r="U122" s="618"/>
      <c r="V122" s="620"/>
      <c r="W122" s="606"/>
      <c r="X122" s="622"/>
      <c r="Y122" s="496"/>
      <c r="Z122" s="496"/>
      <c r="AA122" s="496"/>
      <c r="AB122" s="496"/>
      <c r="AC122" s="496"/>
      <c r="AD122" s="487"/>
      <c r="AE122" s="495"/>
      <c r="AF122" s="271"/>
      <c r="AG122" s="272"/>
      <c r="AH122" s="272"/>
      <c r="AI122" s="273"/>
      <c r="AJ122" s="273"/>
      <c r="AK122" s="273"/>
      <c r="AL122" s="273"/>
      <c r="AM122" s="273"/>
      <c r="AN122" s="273"/>
      <c r="AO122" s="273"/>
      <c r="AP122" s="273"/>
      <c r="AQ122" s="273"/>
      <c r="AR122" s="273"/>
      <c r="AS122" s="274"/>
      <c r="AT122" s="295"/>
      <c r="AU122" s="295"/>
      <c r="AV122" s="526"/>
      <c r="AW122" s="25"/>
      <c r="AX122" s="25"/>
      <c r="AY122" s="25"/>
      <c r="BF122" s="207" t="b">
        <f>OR('Terminal Unit Valve Schedule'!$D117="2-WAY",'Terminal Unit Valve Schedule'!$D117="3-WAY")</f>
        <v>1</v>
      </c>
    </row>
    <row r="123" spans="1:58" s="28" customFormat="1" ht="18" customHeight="1">
      <c r="A123" s="625"/>
      <c r="B123" s="604"/>
      <c r="C123" s="493"/>
      <c r="D123" s="598"/>
      <c r="E123" s="599"/>
      <c r="F123" s="601"/>
      <c r="G123" s="601"/>
      <c r="H123" s="602"/>
      <c r="I123" s="607"/>
      <c r="J123" s="605"/>
      <c r="K123" s="489"/>
      <c r="L123" s="489"/>
      <c r="M123" s="489"/>
      <c r="N123" s="490"/>
      <c r="O123" s="491"/>
      <c r="P123" s="491"/>
      <c r="Q123" s="626"/>
      <c r="R123" s="613"/>
      <c r="S123" s="497"/>
      <c r="T123" s="616"/>
      <c r="U123" s="618"/>
      <c r="V123" s="620"/>
      <c r="W123" s="606"/>
      <c r="X123" s="622"/>
      <c r="Y123" s="496"/>
      <c r="Z123" s="496"/>
      <c r="AA123" s="496"/>
      <c r="AB123" s="496"/>
      <c r="AC123" s="496"/>
      <c r="AD123" s="487"/>
      <c r="AE123" s="495"/>
      <c r="AF123" s="271"/>
      <c r="AG123" s="272"/>
      <c r="AH123" s="272"/>
      <c r="AI123" s="273"/>
      <c r="AJ123" s="273"/>
      <c r="AK123" s="273"/>
      <c r="AL123" s="273"/>
      <c r="AM123" s="273"/>
      <c r="AN123" s="273"/>
      <c r="AO123" s="273"/>
      <c r="AP123" s="273"/>
      <c r="AQ123" s="273"/>
      <c r="AR123" s="273"/>
      <c r="AS123" s="274"/>
      <c r="AT123" s="295"/>
      <c r="AU123" s="295"/>
      <c r="AV123" s="526"/>
      <c r="AW123" s="25"/>
      <c r="AX123" s="25"/>
      <c r="AY123" s="25"/>
      <c r="BF123" s="207" t="b">
        <f>OR('Terminal Unit Valve Schedule'!$D118="2-WAY",'Terminal Unit Valve Schedule'!$D118="3-WAY")</f>
        <v>1</v>
      </c>
    </row>
    <row r="124" spans="1:58" s="28" customFormat="1" ht="18" customHeight="1">
      <c r="A124" s="625"/>
      <c r="B124" s="604"/>
      <c r="C124" s="493"/>
      <c r="D124" s="598"/>
      <c r="E124" s="599"/>
      <c r="F124" s="601"/>
      <c r="G124" s="601"/>
      <c r="H124" s="602"/>
      <c r="I124" s="607"/>
      <c r="J124" s="605"/>
      <c r="K124" s="489"/>
      <c r="L124" s="489"/>
      <c r="M124" s="489"/>
      <c r="N124" s="490"/>
      <c r="O124" s="491"/>
      <c r="P124" s="491"/>
      <c r="Q124" s="626"/>
      <c r="R124" s="613"/>
      <c r="S124" s="497"/>
      <c r="T124" s="616"/>
      <c r="U124" s="618"/>
      <c r="V124" s="620"/>
      <c r="W124" s="606"/>
      <c r="X124" s="622"/>
      <c r="Y124" s="496"/>
      <c r="Z124" s="496"/>
      <c r="AA124" s="496"/>
      <c r="AB124" s="496"/>
      <c r="AC124" s="496"/>
      <c r="AD124" s="487"/>
      <c r="AE124" s="495"/>
      <c r="AF124" s="271"/>
      <c r="AG124" s="272"/>
      <c r="AH124" s="272"/>
      <c r="AI124" s="273"/>
      <c r="AJ124" s="273"/>
      <c r="AK124" s="273"/>
      <c r="AL124" s="273"/>
      <c r="AM124" s="273"/>
      <c r="AN124" s="273"/>
      <c r="AO124" s="273"/>
      <c r="AP124" s="273"/>
      <c r="AQ124" s="273"/>
      <c r="AR124" s="273"/>
      <c r="AS124" s="274"/>
      <c r="AT124" s="295"/>
      <c r="AU124" s="295"/>
      <c r="AV124" s="526"/>
      <c r="AW124" s="25"/>
      <c r="AX124" s="25"/>
      <c r="AY124" s="25"/>
      <c r="BF124" s="207" t="b">
        <f>OR('Terminal Unit Valve Schedule'!$D119="2-WAY",'Terminal Unit Valve Schedule'!$D119="3-WAY")</f>
        <v>1</v>
      </c>
    </row>
    <row r="125" spans="1:58" s="28" customFormat="1" ht="18" customHeight="1">
      <c r="A125" s="625"/>
      <c r="B125" s="604"/>
      <c r="C125" s="497"/>
      <c r="D125" s="598"/>
      <c r="E125" s="599"/>
      <c r="F125" s="601"/>
      <c r="G125" s="601"/>
      <c r="H125" s="602"/>
      <c r="I125" s="607"/>
      <c r="J125" s="605"/>
      <c r="K125" s="489"/>
      <c r="L125" s="489"/>
      <c r="M125" s="489"/>
      <c r="N125" s="490"/>
      <c r="O125" s="491"/>
      <c r="P125" s="491"/>
      <c r="Q125" s="626"/>
      <c r="R125" s="613"/>
      <c r="S125" s="497"/>
      <c r="T125" s="616"/>
      <c r="U125" s="618"/>
      <c r="V125" s="620"/>
      <c r="W125" s="606"/>
      <c r="X125" s="622"/>
      <c r="Y125" s="496"/>
      <c r="Z125" s="496"/>
      <c r="AA125" s="496"/>
      <c r="AB125" s="496"/>
      <c r="AC125" s="496"/>
      <c r="AD125" s="487"/>
      <c r="AE125" s="495"/>
      <c r="AF125" s="271"/>
      <c r="AG125" s="272"/>
      <c r="AH125" s="272"/>
      <c r="AI125" s="273"/>
      <c r="AJ125" s="273"/>
      <c r="AK125" s="273"/>
      <c r="AL125" s="273"/>
      <c r="AM125" s="273"/>
      <c r="AN125" s="273"/>
      <c r="AO125" s="273"/>
      <c r="AP125" s="273"/>
      <c r="AQ125" s="273"/>
      <c r="AR125" s="273"/>
      <c r="AS125" s="274"/>
      <c r="AT125" s="295"/>
      <c r="AU125" s="295"/>
      <c r="AV125" s="526"/>
      <c r="AW125" s="25"/>
      <c r="AX125" s="25"/>
      <c r="AY125" s="25"/>
      <c r="BF125" s="207" t="b">
        <f>OR('Terminal Unit Valve Schedule'!$D120="2-WAY",'Terminal Unit Valve Schedule'!$D120="3-WAY")</f>
        <v>1</v>
      </c>
    </row>
    <row r="126" spans="1:58" s="28" customFormat="1" ht="18" customHeight="1">
      <c r="A126" s="625"/>
      <c r="B126" s="604"/>
      <c r="C126" s="497"/>
      <c r="D126" s="598"/>
      <c r="E126" s="599"/>
      <c r="F126" s="601"/>
      <c r="G126" s="601"/>
      <c r="H126" s="602"/>
      <c r="I126" s="607"/>
      <c r="J126" s="605"/>
      <c r="K126" s="489"/>
      <c r="L126" s="489"/>
      <c r="M126" s="489"/>
      <c r="N126" s="490"/>
      <c r="O126" s="491"/>
      <c r="P126" s="491"/>
      <c r="Q126" s="626"/>
      <c r="R126" s="613"/>
      <c r="S126" s="497"/>
      <c r="T126" s="616"/>
      <c r="U126" s="618"/>
      <c r="V126" s="620"/>
      <c r="W126" s="606"/>
      <c r="X126" s="622"/>
      <c r="Y126" s="496"/>
      <c r="Z126" s="496"/>
      <c r="AA126" s="496"/>
      <c r="AB126" s="496"/>
      <c r="AC126" s="496"/>
      <c r="AD126" s="487"/>
      <c r="AE126" s="495"/>
      <c r="AF126" s="271"/>
      <c r="AG126" s="272"/>
      <c r="AH126" s="272"/>
      <c r="AI126" s="273"/>
      <c r="AJ126" s="273"/>
      <c r="AK126" s="273"/>
      <c r="AL126" s="273"/>
      <c r="AM126" s="273"/>
      <c r="AN126" s="273"/>
      <c r="AO126" s="273"/>
      <c r="AP126" s="273"/>
      <c r="AQ126" s="273"/>
      <c r="AR126" s="273"/>
      <c r="AS126" s="274"/>
      <c r="AT126" s="295"/>
      <c r="AU126" s="295"/>
      <c r="AV126" s="526"/>
      <c r="AW126" s="25"/>
      <c r="AX126" s="25"/>
      <c r="AY126" s="25"/>
      <c r="BF126" s="207" t="b">
        <f>OR('Terminal Unit Valve Schedule'!$D121="2-WAY",'Terminal Unit Valve Schedule'!$D121="3-WAY")</f>
        <v>1</v>
      </c>
    </row>
    <row r="127" spans="1:58" s="28" customFormat="1" ht="18" customHeight="1">
      <c r="A127" s="625"/>
      <c r="B127" s="604"/>
      <c r="C127" s="497"/>
      <c r="D127" s="598"/>
      <c r="E127" s="599"/>
      <c r="F127" s="601"/>
      <c r="G127" s="601"/>
      <c r="H127" s="602"/>
      <c r="I127" s="607"/>
      <c r="J127" s="605"/>
      <c r="K127" s="489"/>
      <c r="L127" s="489"/>
      <c r="M127" s="489"/>
      <c r="N127" s="490"/>
      <c r="O127" s="491"/>
      <c r="P127" s="491"/>
      <c r="Q127" s="626"/>
      <c r="R127" s="613"/>
      <c r="S127" s="497"/>
      <c r="T127" s="616"/>
      <c r="U127" s="618"/>
      <c r="V127" s="620"/>
      <c r="W127" s="606"/>
      <c r="X127" s="622"/>
      <c r="Y127" s="496"/>
      <c r="Z127" s="496"/>
      <c r="AA127" s="496"/>
      <c r="AB127" s="496"/>
      <c r="AC127" s="496"/>
      <c r="AD127" s="487"/>
      <c r="AE127" s="495"/>
      <c r="AF127" s="271"/>
      <c r="AG127" s="272"/>
      <c r="AH127" s="272"/>
      <c r="AI127" s="273"/>
      <c r="AJ127" s="273"/>
      <c r="AK127" s="273"/>
      <c r="AL127" s="273"/>
      <c r="AM127" s="273"/>
      <c r="AN127" s="273"/>
      <c r="AO127" s="273"/>
      <c r="AP127" s="273"/>
      <c r="AQ127" s="273"/>
      <c r="AR127" s="273"/>
      <c r="AS127" s="274"/>
      <c r="AT127" s="295"/>
      <c r="AU127" s="295"/>
      <c r="AV127" s="526"/>
      <c r="AW127" s="25"/>
      <c r="AX127" s="25"/>
      <c r="AY127" s="25"/>
      <c r="BF127" s="207" t="b">
        <f>OR('Terminal Unit Valve Schedule'!$D122="2-WAY",'Terminal Unit Valve Schedule'!$D122="3-WAY")</f>
        <v>1</v>
      </c>
    </row>
    <row r="128" spans="1:58" s="28" customFormat="1" ht="18" customHeight="1">
      <c r="A128" s="625"/>
      <c r="B128" s="604"/>
      <c r="C128" s="493"/>
      <c r="D128" s="598"/>
      <c r="E128" s="599"/>
      <c r="F128" s="601"/>
      <c r="G128" s="601"/>
      <c r="H128" s="602"/>
      <c r="I128" s="607"/>
      <c r="J128" s="605"/>
      <c r="K128" s="489"/>
      <c r="L128" s="489"/>
      <c r="M128" s="489"/>
      <c r="N128" s="490"/>
      <c r="O128" s="491"/>
      <c r="P128" s="491"/>
      <c r="Q128" s="626"/>
      <c r="R128" s="613"/>
      <c r="S128" s="497"/>
      <c r="T128" s="616"/>
      <c r="U128" s="618"/>
      <c r="V128" s="620"/>
      <c r="W128" s="606"/>
      <c r="X128" s="622"/>
      <c r="Y128" s="496"/>
      <c r="Z128" s="496"/>
      <c r="AA128" s="496"/>
      <c r="AB128" s="496"/>
      <c r="AC128" s="496"/>
      <c r="AD128" s="487"/>
      <c r="AE128" s="495"/>
      <c r="AF128" s="271"/>
      <c r="AG128" s="272"/>
      <c r="AH128" s="272"/>
      <c r="AI128" s="273"/>
      <c r="AJ128" s="273"/>
      <c r="AK128" s="273"/>
      <c r="AL128" s="273"/>
      <c r="AM128" s="273"/>
      <c r="AN128" s="273"/>
      <c r="AO128" s="273"/>
      <c r="AP128" s="273"/>
      <c r="AQ128" s="273"/>
      <c r="AR128" s="273"/>
      <c r="AS128" s="274"/>
      <c r="AT128" s="295"/>
      <c r="AU128" s="295"/>
      <c r="AV128" s="526"/>
      <c r="AW128" s="25"/>
      <c r="AX128" s="25"/>
      <c r="AY128" s="25"/>
      <c r="BF128" s="207" t="b">
        <f>OR('Terminal Unit Valve Schedule'!$D123="2-WAY",'Terminal Unit Valve Schedule'!$D123="3-WAY")</f>
        <v>1</v>
      </c>
    </row>
    <row r="129" spans="1:58" s="28" customFormat="1" ht="18" customHeight="1">
      <c r="A129" s="625"/>
      <c r="B129" s="604"/>
      <c r="C129" s="497"/>
      <c r="D129" s="598"/>
      <c r="E129" s="599"/>
      <c r="F129" s="601"/>
      <c r="G129" s="601"/>
      <c r="H129" s="602"/>
      <c r="I129" s="607"/>
      <c r="J129" s="605"/>
      <c r="K129" s="489"/>
      <c r="L129" s="489"/>
      <c r="M129" s="489"/>
      <c r="N129" s="490"/>
      <c r="O129" s="491"/>
      <c r="P129" s="491"/>
      <c r="Q129" s="626"/>
      <c r="R129" s="613"/>
      <c r="S129" s="497"/>
      <c r="T129" s="616"/>
      <c r="U129" s="618"/>
      <c r="V129" s="620"/>
      <c r="W129" s="606"/>
      <c r="X129" s="622"/>
      <c r="Y129" s="496"/>
      <c r="Z129" s="496"/>
      <c r="AA129" s="496"/>
      <c r="AB129" s="496"/>
      <c r="AC129" s="496"/>
      <c r="AD129" s="487"/>
      <c r="AE129" s="495"/>
      <c r="AF129" s="271"/>
      <c r="AG129" s="272"/>
      <c r="AH129" s="272"/>
      <c r="AI129" s="273"/>
      <c r="AJ129" s="273"/>
      <c r="AK129" s="273"/>
      <c r="AL129" s="273"/>
      <c r="AM129" s="273"/>
      <c r="AN129" s="273"/>
      <c r="AO129" s="273"/>
      <c r="AP129" s="273"/>
      <c r="AQ129" s="273"/>
      <c r="AR129" s="273"/>
      <c r="AS129" s="274"/>
      <c r="AT129" s="295"/>
      <c r="AU129" s="295"/>
      <c r="AV129" s="526"/>
      <c r="AW129" s="25"/>
      <c r="AX129" s="25"/>
      <c r="AY129" s="25"/>
      <c r="BF129" s="207" t="b">
        <f>OR('Terminal Unit Valve Schedule'!$D124="2-WAY",'Terminal Unit Valve Schedule'!$D124="3-WAY")</f>
        <v>1</v>
      </c>
    </row>
    <row r="130" spans="1:58" s="28" customFormat="1" ht="18" customHeight="1">
      <c r="A130" s="625"/>
      <c r="B130" s="604"/>
      <c r="C130" s="497"/>
      <c r="D130" s="598"/>
      <c r="E130" s="599"/>
      <c r="F130" s="601"/>
      <c r="G130" s="601"/>
      <c r="H130" s="602"/>
      <c r="I130" s="607"/>
      <c r="J130" s="605"/>
      <c r="K130" s="489"/>
      <c r="L130" s="489"/>
      <c r="M130" s="489"/>
      <c r="N130" s="490"/>
      <c r="O130" s="491"/>
      <c r="P130" s="491"/>
      <c r="Q130" s="626"/>
      <c r="R130" s="613"/>
      <c r="S130" s="497"/>
      <c r="T130" s="616"/>
      <c r="U130" s="618"/>
      <c r="V130" s="620"/>
      <c r="W130" s="606"/>
      <c r="X130" s="622"/>
      <c r="Y130" s="496"/>
      <c r="Z130" s="496"/>
      <c r="AA130" s="496"/>
      <c r="AB130" s="496"/>
      <c r="AC130" s="496"/>
      <c r="AD130" s="487"/>
      <c r="AE130" s="495"/>
      <c r="AF130" s="271"/>
      <c r="AG130" s="272"/>
      <c r="AH130" s="272"/>
      <c r="AI130" s="273"/>
      <c r="AJ130" s="273"/>
      <c r="AK130" s="273"/>
      <c r="AL130" s="273"/>
      <c r="AM130" s="273"/>
      <c r="AN130" s="273"/>
      <c r="AO130" s="273"/>
      <c r="AP130" s="273"/>
      <c r="AQ130" s="273"/>
      <c r="AR130" s="273"/>
      <c r="AS130" s="274"/>
      <c r="AT130" s="295"/>
      <c r="AU130" s="295"/>
      <c r="AV130" s="526"/>
      <c r="AW130" s="25"/>
      <c r="AX130" s="25"/>
      <c r="AY130" s="25"/>
      <c r="BF130" s="207" t="b">
        <f>OR('Terminal Unit Valve Schedule'!$D125="2-WAY",'Terminal Unit Valve Schedule'!$D125="3-WAY")</f>
        <v>1</v>
      </c>
    </row>
    <row r="131" spans="1:58" s="28" customFormat="1" ht="18" customHeight="1">
      <c r="A131" s="625"/>
      <c r="B131" s="604"/>
      <c r="C131" s="497"/>
      <c r="D131" s="598"/>
      <c r="E131" s="599"/>
      <c r="F131" s="601"/>
      <c r="G131" s="601"/>
      <c r="H131" s="602"/>
      <c r="I131" s="607"/>
      <c r="J131" s="605"/>
      <c r="K131" s="489"/>
      <c r="L131" s="489"/>
      <c r="M131" s="489"/>
      <c r="N131" s="490"/>
      <c r="O131" s="491"/>
      <c r="P131" s="491"/>
      <c r="Q131" s="626"/>
      <c r="R131" s="613"/>
      <c r="S131" s="497"/>
      <c r="T131" s="616"/>
      <c r="U131" s="618"/>
      <c r="V131" s="620"/>
      <c r="W131" s="606"/>
      <c r="X131" s="622"/>
      <c r="Y131" s="496"/>
      <c r="Z131" s="496"/>
      <c r="AA131" s="496"/>
      <c r="AB131" s="496"/>
      <c r="AC131" s="496"/>
      <c r="AD131" s="487"/>
      <c r="AE131" s="495"/>
      <c r="AF131" s="271"/>
      <c r="AG131" s="272"/>
      <c r="AH131" s="272"/>
      <c r="AI131" s="273"/>
      <c r="AJ131" s="273"/>
      <c r="AK131" s="273"/>
      <c r="AL131" s="273"/>
      <c r="AM131" s="273"/>
      <c r="AN131" s="273"/>
      <c r="AO131" s="273"/>
      <c r="AP131" s="273"/>
      <c r="AQ131" s="273"/>
      <c r="AR131" s="273"/>
      <c r="AS131" s="274"/>
      <c r="AT131" s="295"/>
      <c r="AU131" s="295"/>
      <c r="AV131" s="526"/>
      <c r="AW131" s="25"/>
      <c r="AX131" s="25"/>
      <c r="AY131" s="25"/>
      <c r="BF131" s="207" t="b">
        <f>OR('Terminal Unit Valve Schedule'!$D126="2-WAY",'Terminal Unit Valve Schedule'!$D126="3-WAY")</f>
        <v>1</v>
      </c>
    </row>
    <row r="132" spans="1:58" s="28" customFormat="1" ht="18" customHeight="1">
      <c r="A132" s="625"/>
      <c r="B132" s="604"/>
      <c r="C132" s="493"/>
      <c r="D132" s="598"/>
      <c r="E132" s="599"/>
      <c r="F132" s="601"/>
      <c r="G132" s="601"/>
      <c r="H132" s="602"/>
      <c r="I132" s="607"/>
      <c r="J132" s="605"/>
      <c r="K132" s="489"/>
      <c r="L132" s="489"/>
      <c r="M132" s="489"/>
      <c r="N132" s="490"/>
      <c r="O132" s="491"/>
      <c r="P132" s="491"/>
      <c r="Q132" s="626"/>
      <c r="R132" s="613"/>
      <c r="S132" s="497"/>
      <c r="T132" s="616"/>
      <c r="U132" s="618"/>
      <c r="V132" s="620"/>
      <c r="W132" s="606"/>
      <c r="X132" s="622"/>
      <c r="Y132" s="496"/>
      <c r="Z132" s="496"/>
      <c r="AA132" s="496"/>
      <c r="AB132" s="496"/>
      <c r="AC132" s="496"/>
      <c r="AD132" s="487"/>
      <c r="AE132" s="495"/>
      <c r="AF132" s="271"/>
      <c r="AG132" s="272"/>
      <c r="AH132" s="272"/>
      <c r="AI132" s="273"/>
      <c r="AJ132" s="273"/>
      <c r="AK132" s="273"/>
      <c r="AL132" s="273"/>
      <c r="AM132" s="273"/>
      <c r="AN132" s="273"/>
      <c r="AO132" s="273"/>
      <c r="AP132" s="273"/>
      <c r="AQ132" s="273"/>
      <c r="AR132" s="273"/>
      <c r="AS132" s="274"/>
      <c r="AT132" s="295"/>
      <c r="AU132" s="295"/>
      <c r="AV132" s="526"/>
      <c r="AW132" s="25"/>
      <c r="AX132" s="25"/>
      <c r="AY132" s="25"/>
      <c r="BF132" s="207" t="b">
        <f>OR('Terminal Unit Valve Schedule'!$D127="2-WAY",'Terminal Unit Valve Schedule'!$D127="3-WAY")</f>
        <v>1</v>
      </c>
    </row>
    <row r="133" spans="1:58" s="28" customFormat="1" ht="18" customHeight="1">
      <c r="A133" s="625"/>
      <c r="B133" s="604"/>
      <c r="C133" s="497"/>
      <c r="D133" s="598"/>
      <c r="E133" s="599"/>
      <c r="F133" s="601"/>
      <c r="G133" s="601"/>
      <c r="H133" s="602"/>
      <c r="I133" s="607"/>
      <c r="J133" s="605"/>
      <c r="K133" s="489"/>
      <c r="L133" s="489"/>
      <c r="M133" s="489"/>
      <c r="N133" s="490"/>
      <c r="O133" s="491"/>
      <c r="P133" s="491"/>
      <c r="Q133" s="626"/>
      <c r="R133" s="613"/>
      <c r="S133" s="497"/>
      <c r="T133" s="616"/>
      <c r="U133" s="618"/>
      <c r="V133" s="620"/>
      <c r="W133" s="606"/>
      <c r="X133" s="622"/>
      <c r="Y133" s="496"/>
      <c r="Z133" s="496"/>
      <c r="AA133" s="496"/>
      <c r="AB133" s="496"/>
      <c r="AC133" s="496"/>
      <c r="AD133" s="487"/>
      <c r="AE133" s="495"/>
      <c r="AF133" s="271"/>
      <c r="AG133" s="272"/>
      <c r="AH133" s="272"/>
      <c r="AI133" s="273"/>
      <c r="AJ133" s="273"/>
      <c r="AK133" s="273"/>
      <c r="AL133" s="273"/>
      <c r="AM133" s="273"/>
      <c r="AN133" s="273"/>
      <c r="AO133" s="273"/>
      <c r="AP133" s="273"/>
      <c r="AQ133" s="273"/>
      <c r="AR133" s="273"/>
      <c r="AS133" s="274"/>
      <c r="AT133" s="295"/>
      <c r="AU133" s="295"/>
      <c r="AV133" s="526"/>
      <c r="AW133" s="25"/>
      <c r="AX133" s="25"/>
      <c r="AY133" s="25"/>
      <c r="BF133" s="207" t="b">
        <f>OR('Terminal Unit Valve Schedule'!$D128="2-WAY",'Terminal Unit Valve Schedule'!$D128="3-WAY")</f>
        <v>1</v>
      </c>
    </row>
    <row r="134" spans="1:58" s="28" customFormat="1" ht="18" customHeight="1">
      <c r="A134" s="625"/>
      <c r="B134" s="604"/>
      <c r="C134" s="497"/>
      <c r="D134" s="598"/>
      <c r="E134" s="599"/>
      <c r="F134" s="601"/>
      <c r="G134" s="601"/>
      <c r="H134" s="602"/>
      <c r="I134" s="607"/>
      <c r="J134" s="605"/>
      <c r="K134" s="489"/>
      <c r="L134" s="489"/>
      <c r="M134" s="489"/>
      <c r="N134" s="490"/>
      <c r="O134" s="491"/>
      <c r="P134" s="491"/>
      <c r="Q134" s="626"/>
      <c r="R134" s="613"/>
      <c r="S134" s="497"/>
      <c r="T134" s="616"/>
      <c r="U134" s="618"/>
      <c r="V134" s="620"/>
      <c r="W134" s="606"/>
      <c r="X134" s="622"/>
      <c r="Y134" s="496"/>
      <c r="Z134" s="496"/>
      <c r="AA134" s="496"/>
      <c r="AB134" s="496"/>
      <c r="AC134" s="496"/>
      <c r="AD134" s="487"/>
      <c r="AE134" s="495"/>
      <c r="AF134" s="271"/>
      <c r="AG134" s="272"/>
      <c r="AH134" s="272"/>
      <c r="AI134" s="273"/>
      <c r="AJ134" s="273"/>
      <c r="AK134" s="273"/>
      <c r="AL134" s="273"/>
      <c r="AM134" s="273"/>
      <c r="AN134" s="273"/>
      <c r="AO134" s="273"/>
      <c r="AP134" s="273"/>
      <c r="AQ134" s="273"/>
      <c r="AR134" s="273"/>
      <c r="AS134" s="274"/>
      <c r="AT134" s="295"/>
      <c r="AU134" s="295"/>
      <c r="AV134" s="526"/>
      <c r="AW134" s="25"/>
      <c r="AX134" s="25"/>
      <c r="AY134" s="25"/>
      <c r="BF134" s="207" t="b">
        <f>OR('Terminal Unit Valve Schedule'!$D129="2-WAY",'Terminal Unit Valve Schedule'!$D129="3-WAY")</f>
        <v>1</v>
      </c>
    </row>
    <row r="135" spans="1:58" s="28" customFormat="1" ht="18" customHeight="1">
      <c r="A135" s="625"/>
      <c r="B135" s="604"/>
      <c r="C135" s="497"/>
      <c r="D135" s="598"/>
      <c r="E135" s="599"/>
      <c r="F135" s="601"/>
      <c r="G135" s="601"/>
      <c r="H135" s="602"/>
      <c r="I135" s="607"/>
      <c r="J135" s="605"/>
      <c r="K135" s="489"/>
      <c r="L135" s="489"/>
      <c r="M135" s="489"/>
      <c r="N135" s="490"/>
      <c r="O135" s="491"/>
      <c r="P135" s="491"/>
      <c r="Q135" s="626"/>
      <c r="R135" s="613"/>
      <c r="S135" s="497"/>
      <c r="T135" s="616"/>
      <c r="U135" s="618"/>
      <c r="V135" s="620"/>
      <c r="W135" s="606"/>
      <c r="X135" s="622"/>
      <c r="Y135" s="496"/>
      <c r="Z135" s="496"/>
      <c r="AA135" s="496"/>
      <c r="AB135" s="496"/>
      <c r="AC135" s="496"/>
      <c r="AD135" s="487"/>
      <c r="AE135" s="495"/>
      <c r="AF135" s="271"/>
      <c r="AG135" s="272"/>
      <c r="AH135" s="272"/>
      <c r="AI135" s="273"/>
      <c r="AJ135" s="273"/>
      <c r="AK135" s="273"/>
      <c r="AL135" s="273"/>
      <c r="AM135" s="273"/>
      <c r="AN135" s="273"/>
      <c r="AO135" s="273"/>
      <c r="AP135" s="273"/>
      <c r="AQ135" s="273"/>
      <c r="AR135" s="273"/>
      <c r="AS135" s="274"/>
      <c r="AT135" s="295"/>
      <c r="AU135" s="295"/>
      <c r="AV135" s="526"/>
      <c r="AW135" s="25"/>
      <c r="AX135" s="25"/>
      <c r="AY135" s="25"/>
      <c r="BF135" s="207" t="b">
        <f>OR('Terminal Unit Valve Schedule'!$D130="2-WAY",'Terminal Unit Valve Schedule'!$D130="3-WAY")</f>
        <v>1</v>
      </c>
    </row>
    <row r="136" spans="1:58" s="28" customFormat="1" ht="18" customHeight="1">
      <c r="A136" s="625"/>
      <c r="B136" s="604"/>
      <c r="C136" s="493"/>
      <c r="D136" s="598"/>
      <c r="E136" s="599"/>
      <c r="F136" s="601"/>
      <c r="G136" s="601"/>
      <c r="H136" s="602"/>
      <c r="I136" s="607"/>
      <c r="J136" s="605"/>
      <c r="K136" s="489"/>
      <c r="L136" s="489"/>
      <c r="M136" s="489"/>
      <c r="N136" s="490"/>
      <c r="O136" s="491"/>
      <c r="P136" s="491"/>
      <c r="Q136" s="626"/>
      <c r="R136" s="613"/>
      <c r="S136" s="497"/>
      <c r="T136" s="616"/>
      <c r="U136" s="618"/>
      <c r="V136" s="620"/>
      <c r="W136" s="606"/>
      <c r="X136" s="622"/>
      <c r="Y136" s="496"/>
      <c r="Z136" s="496"/>
      <c r="AA136" s="496"/>
      <c r="AB136" s="496"/>
      <c r="AC136" s="496"/>
      <c r="AD136" s="487"/>
      <c r="AE136" s="495"/>
      <c r="AF136" s="271"/>
      <c r="AG136" s="272"/>
      <c r="AH136" s="272"/>
      <c r="AI136" s="273"/>
      <c r="AJ136" s="273"/>
      <c r="AK136" s="273"/>
      <c r="AL136" s="273"/>
      <c r="AM136" s="273"/>
      <c r="AN136" s="273"/>
      <c r="AO136" s="273"/>
      <c r="AP136" s="273"/>
      <c r="AQ136" s="273"/>
      <c r="AR136" s="273"/>
      <c r="AS136" s="274"/>
      <c r="AT136" s="295"/>
      <c r="AU136" s="295"/>
      <c r="AV136" s="526"/>
      <c r="AW136" s="25"/>
      <c r="AX136" s="25"/>
      <c r="AY136" s="25"/>
      <c r="BF136" s="207" t="b">
        <f>OR('Terminal Unit Valve Schedule'!$D131="2-WAY",'Terminal Unit Valve Schedule'!$D131="3-WAY")</f>
        <v>1</v>
      </c>
    </row>
    <row r="137" spans="1:58" s="28" customFormat="1" ht="18" customHeight="1">
      <c r="A137" s="625"/>
      <c r="B137" s="604"/>
      <c r="C137" s="497"/>
      <c r="D137" s="598"/>
      <c r="E137" s="599"/>
      <c r="F137" s="601"/>
      <c r="G137" s="601"/>
      <c r="H137" s="602"/>
      <c r="I137" s="607"/>
      <c r="J137" s="605"/>
      <c r="K137" s="489"/>
      <c r="L137" s="489"/>
      <c r="M137" s="489"/>
      <c r="N137" s="490"/>
      <c r="O137" s="491"/>
      <c r="P137" s="491"/>
      <c r="Q137" s="626"/>
      <c r="R137" s="613"/>
      <c r="S137" s="497"/>
      <c r="T137" s="616"/>
      <c r="U137" s="618"/>
      <c r="V137" s="620"/>
      <c r="W137" s="606"/>
      <c r="X137" s="622"/>
      <c r="Y137" s="496"/>
      <c r="Z137" s="496"/>
      <c r="AA137" s="496"/>
      <c r="AB137" s="496"/>
      <c r="AC137" s="496"/>
      <c r="AD137" s="487"/>
      <c r="AE137" s="495"/>
      <c r="AF137" s="271"/>
      <c r="AG137" s="272"/>
      <c r="AH137" s="272"/>
      <c r="AI137" s="273"/>
      <c r="AJ137" s="273"/>
      <c r="AK137" s="273"/>
      <c r="AL137" s="273"/>
      <c r="AM137" s="273"/>
      <c r="AN137" s="273"/>
      <c r="AO137" s="273"/>
      <c r="AP137" s="273"/>
      <c r="AQ137" s="273"/>
      <c r="AR137" s="273"/>
      <c r="AS137" s="274"/>
      <c r="AT137" s="295"/>
      <c r="AU137" s="295"/>
      <c r="AV137" s="526"/>
      <c r="AW137" s="25"/>
      <c r="AX137" s="25"/>
      <c r="AY137" s="25"/>
      <c r="BF137" s="207" t="b">
        <f>OR('Terminal Unit Valve Schedule'!$D132="2-WAY",'Terminal Unit Valve Schedule'!$D132="3-WAY")</f>
        <v>1</v>
      </c>
    </row>
    <row r="138" spans="1:58" s="28" customFormat="1" ht="18" customHeight="1">
      <c r="A138" s="625"/>
      <c r="B138" s="604"/>
      <c r="C138" s="497"/>
      <c r="D138" s="598"/>
      <c r="E138" s="599"/>
      <c r="F138" s="601"/>
      <c r="G138" s="601"/>
      <c r="H138" s="602"/>
      <c r="I138" s="607"/>
      <c r="J138" s="605"/>
      <c r="K138" s="489"/>
      <c r="L138" s="489"/>
      <c r="M138" s="489"/>
      <c r="N138" s="490"/>
      <c r="O138" s="491"/>
      <c r="P138" s="491"/>
      <c r="Q138" s="626"/>
      <c r="R138" s="613"/>
      <c r="S138" s="497"/>
      <c r="T138" s="616"/>
      <c r="U138" s="618"/>
      <c r="V138" s="620"/>
      <c r="W138" s="606"/>
      <c r="X138" s="622"/>
      <c r="Y138" s="496"/>
      <c r="Z138" s="496"/>
      <c r="AA138" s="496"/>
      <c r="AB138" s="496"/>
      <c r="AC138" s="496"/>
      <c r="AD138" s="487"/>
      <c r="AE138" s="495"/>
      <c r="AF138" s="271"/>
      <c r="AG138" s="272"/>
      <c r="AH138" s="272"/>
      <c r="AI138" s="273"/>
      <c r="AJ138" s="273"/>
      <c r="AK138" s="273"/>
      <c r="AL138" s="273"/>
      <c r="AM138" s="273"/>
      <c r="AN138" s="273"/>
      <c r="AO138" s="273"/>
      <c r="AP138" s="273"/>
      <c r="AQ138" s="273"/>
      <c r="AR138" s="273"/>
      <c r="AS138" s="274"/>
      <c r="AT138" s="295"/>
      <c r="AU138" s="295"/>
      <c r="AV138" s="526"/>
      <c r="AW138" s="25"/>
      <c r="AX138" s="25"/>
      <c r="AY138" s="25"/>
      <c r="BF138" s="207" t="b">
        <f>OR('Terminal Unit Valve Schedule'!$D133="2-WAY",'Terminal Unit Valve Schedule'!$D133="3-WAY")</f>
        <v>1</v>
      </c>
    </row>
  </sheetData>
  <mergeCells count="9">
    <mergeCell ref="AV7:AV8"/>
    <mergeCell ref="A6:A8"/>
    <mergeCell ref="L6:L8"/>
    <mergeCell ref="K6:K8"/>
    <mergeCell ref="D6:H7"/>
    <mergeCell ref="X7:X8"/>
    <mergeCell ref="T6:W6"/>
    <mergeCell ref="T7:U7"/>
    <mergeCell ref="V7:W7"/>
  </mergeCells>
  <phoneticPr fontId="0" type="noConversion"/>
  <conditionalFormatting sqref="AW1">
    <cfRule type="expression" dxfId="11" priority="13" stopIfTrue="1">
      <formula>IF($AW$1="Complete",TRUE,FALSE)</formula>
    </cfRule>
    <cfRule type="expression" dxfId="10" priority="14" stopIfTrue="1">
      <formula>IF($AW$1="Error",TRUE,FALSE)</formula>
    </cfRule>
    <cfRule type="expression" dxfId="9" priority="15" stopIfTrue="1">
      <formula>IF($AW$1="Creating",TRUE,FALSE)</formula>
    </cfRule>
  </conditionalFormatting>
  <dataValidations disablePrompts="1" count="1">
    <dataValidation type="list" allowBlank="1" showInputMessage="1" showErrorMessage="1" sqref="AT9:AT138" xr:uid="{00000000-0002-0000-0400-000000000000}">
      <formula1>$BC$9:$BC$15</formula1>
    </dataValidation>
  </dataValidations>
  <printOptions horizontalCentered="1"/>
  <pageMargins left="0.5" right="0.5" top="1" bottom="0.25" header="0" footer="0"/>
  <pageSetup scale="56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6" r:id="rId4" name="Cir">
          <controlPr autoLine="0" r:id="rId5">
            <anchor moveWithCells="1">
              <from>
                <xdr:col>17</xdr:col>
                <xdr:colOff>9525</xdr:colOff>
                <xdr:row>5</xdr:row>
                <xdr:rowOff>200025</xdr:rowOff>
              </from>
              <to>
                <xdr:col>17</xdr:col>
                <xdr:colOff>885825</xdr:colOff>
                <xdr:row>6</xdr:row>
                <xdr:rowOff>200025</xdr:rowOff>
              </to>
            </anchor>
          </controlPr>
        </control>
      </mc:Choice>
      <mc:Fallback>
        <control shapeId="12296" r:id="rId4" name="Cir"/>
      </mc:Fallback>
    </mc:AlternateContent>
    <mc:AlternateContent xmlns:mc="http://schemas.openxmlformats.org/markup-compatibility/2006">
      <mc:Choice Requires="x14">
        <control shapeId="12297" r:id="rId6" name="Rec">
          <controlPr autoLine="0" r:id="rId7">
            <anchor moveWithCells="1">
              <from>
                <xdr:col>17</xdr:col>
                <xdr:colOff>19050</xdr:colOff>
                <xdr:row>6</xdr:row>
                <xdr:rowOff>219075</xdr:rowOff>
              </from>
              <to>
                <xdr:col>17</xdr:col>
                <xdr:colOff>895350</xdr:colOff>
                <xdr:row>7</xdr:row>
                <xdr:rowOff>219075</xdr:rowOff>
              </to>
            </anchor>
          </controlPr>
        </control>
      </mc:Choice>
      <mc:Fallback>
        <control shapeId="12297" r:id="rId6" name="Rec"/>
      </mc:Fallback>
    </mc:AlternateContent>
    <mc:AlternateContent xmlns:mc="http://schemas.openxmlformats.org/markup-compatibility/2006">
      <mc:Choice Requires="x14">
        <control shapeId="12301" r:id="rId8" name="CheckBox1">
          <controlPr autoLine="0" r:id="rId9">
            <anchor moveWithCells="1">
              <from>
                <xdr:col>52</xdr:col>
                <xdr:colOff>38100</xdr:colOff>
                <xdr:row>1</xdr:row>
                <xdr:rowOff>9525</xdr:rowOff>
              </from>
              <to>
                <xdr:col>52</xdr:col>
                <xdr:colOff>571500</xdr:colOff>
                <xdr:row>1</xdr:row>
                <xdr:rowOff>209550</xdr:rowOff>
              </to>
            </anchor>
          </controlPr>
        </control>
      </mc:Choice>
      <mc:Fallback>
        <control shapeId="12301" r:id="rId8" name="CheckBox1"/>
      </mc:Fallback>
    </mc:AlternateContent>
    <mc:AlternateContent xmlns:mc="http://schemas.openxmlformats.org/markup-compatibility/2006">
      <mc:Choice Requires="x14">
        <control shapeId="12302" r:id="rId10" name="CheckBox2">
          <controlPr autoLine="0" r:id="rId11">
            <anchor moveWithCells="1">
              <from>
                <xdr:col>52</xdr:col>
                <xdr:colOff>38100</xdr:colOff>
                <xdr:row>2</xdr:row>
                <xdr:rowOff>9525</xdr:rowOff>
              </from>
              <to>
                <xdr:col>52</xdr:col>
                <xdr:colOff>571500</xdr:colOff>
                <xdr:row>2</xdr:row>
                <xdr:rowOff>209550</xdr:rowOff>
              </to>
            </anchor>
          </controlPr>
        </control>
      </mc:Choice>
      <mc:Fallback>
        <control shapeId="12302" r:id="rId10" name="CheckBox2"/>
      </mc:Fallback>
    </mc:AlternateContent>
    <mc:AlternateContent xmlns:mc="http://schemas.openxmlformats.org/markup-compatibility/2006">
      <mc:Choice Requires="x14">
        <control shapeId="12303" r:id="rId12" name="CheckBox3">
          <controlPr autoLine="0" r:id="rId13">
            <anchor moveWithCells="1">
              <from>
                <xdr:col>52</xdr:col>
                <xdr:colOff>38100</xdr:colOff>
                <xdr:row>3</xdr:row>
                <xdr:rowOff>9525</xdr:rowOff>
              </from>
              <to>
                <xdr:col>52</xdr:col>
                <xdr:colOff>571500</xdr:colOff>
                <xdr:row>3</xdr:row>
                <xdr:rowOff>209550</xdr:rowOff>
              </to>
            </anchor>
          </controlPr>
        </control>
      </mc:Choice>
      <mc:Fallback>
        <control shapeId="12303" r:id="rId12" name="CheckBox3"/>
      </mc:Fallback>
    </mc:AlternateContent>
    <mc:AlternateContent xmlns:mc="http://schemas.openxmlformats.org/markup-compatibility/2006">
      <mc:Choice Requires="x14">
        <control shapeId="12304" r:id="rId14" name="CheckBox4">
          <controlPr autoLine="0" r:id="rId15">
            <anchor moveWithCells="1">
              <from>
                <xdr:col>52</xdr:col>
                <xdr:colOff>38100</xdr:colOff>
                <xdr:row>4</xdr:row>
                <xdr:rowOff>9525</xdr:rowOff>
              </from>
              <to>
                <xdr:col>52</xdr:col>
                <xdr:colOff>571500</xdr:colOff>
                <xdr:row>4</xdr:row>
                <xdr:rowOff>209550</xdr:rowOff>
              </to>
            </anchor>
          </controlPr>
        </control>
      </mc:Choice>
      <mc:Fallback>
        <control shapeId="12304" r:id="rId14" name="CheckBox4"/>
      </mc:Fallback>
    </mc:AlternateContent>
    <mc:AlternateContent xmlns:mc="http://schemas.openxmlformats.org/markup-compatibility/2006">
      <mc:Choice Requires="x14">
        <control shapeId="12305" r:id="rId16" name="CheckBox5">
          <controlPr autoLine="0" r:id="rId17">
            <anchor moveWithCells="1">
              <from>
                <xdr:col>52</xdr:col>
                <xdr:colOff>38100</xdr:colOff>
                <xdr:row>5</xdr:row>
                <xdr:rowOff>9525</xdr:rowOff>
              </from>
              <to>
                <xdr:col>52</xdr:col>
                <xdr:colOff>571500</xdr:colOff>
                <xdr:row>5</xdr:row>
                <xdr:rowOff>209550</xdr:rowOff>
              </to>
            </anchor>
          </controlPr>
        </control>
      </mc:Choice>
      <mc:Fallback>
        <control shapeId="12305" r:id="rId16" name="CheckBox5"/>
      </mc:Fallback>
    </mc:AlternateContent>
    <mc:AlternateContent xmlns:mc="http://schemas.openxmlformats.org/markup-compatibility/2006">
      <mc:Choice Requires="x14">
        <control shapeId="12306" r:id="rId18" name="CheckBox6">
          <controlPr autoLine="0" r:id="rId19">
            <anchor moveWithCells="1">
              <from>
                <xdr:col>52</xdr:col>
                <xdr:colOff>38100</xdr:colOff>
                <xdr:row>6</xdr:row>
                <xdr:rowOff>28575</xdr:rowOff>
              </from>
              <to>
                <xdr:col>52</xdr:col>
                <xdr:colOff>571500</xdr:colOff>
                <xdr:row>7</xdr:row>
                <xdr:rowOff>0</xdr:rowOff>
              </to>
            </anchor>
          </controlPr>
        </control>
      </mc:Choice>
      <mc:Fallback>
        <control shapeId="12306" r:id="rId18" name="CheckBox6"/>
      </mc:Fallback>
    </mc:AlternateContent>
    <mc:AlternateContent xmlns:mc="http://schemas.openxmlformats.org/markup-compatibility/2006">
      <mc:Choice Requires="x14">
        <control shapeId="12307" r:id="rId20" name="CheckBox7">
          <controlPr autoLine="0" r:id="rId21">
            <anchor moveWithCells="1">
              <from>
                <xdr:col>52</xdr:col>
                <xdr:colOff>38100</xdr:colOff>
                <xdr:row>7</xdr:row>
                <xdr:rowOff>9525</xdr:rowOff>
              </from>
              <to>
                <xdr:col>52</xdr:col>
                <xdr:colOff>571500</xdr:colOff>
                <xdr:row>7</xdr:row>
                <xdr:rowOff>209550</xdr:rowOff>
              </to>
            </anchor>
          </controlPr>
        </control>
      </mc:Choice>
      <mc:Fallback>
        <control shapeId="12307" r:id="rId20" name="CheckBox7"/>
      </mc:Fallback>
    </mc:AlternateContent>
    <mc:AlternateContent xmlns:mc="http://schemas.openxmlformats.org/markup-compatibility/2006">
      <mc:Choice Requires="x14">
        <control shapeId="12309" r:id="rId22" name="CheckBox8">
          <controlPr autoLine="0" r:id="rId23">
            <anchor moveWithCells="1">
              <from>
                <xdr:col>52</xdr:col>
                <xdr:colOff>38100</xdr:colOff>
                <xdr:row>19</xdr:row>
                <xdr:rowOff>0</xdr:rowOff>
              </from>
              <to>
                <xdr:col>52</xdr:col>
                <xdr:colOff>571500</xdr:colOff>
                <xdr:row>19</xdr:row>
                <xdr:rowOff>200025</xdr:rowOff>
              </to>
            </anchor>
          </controlPr>
        </control>
      </mc:Choice>
      <mc:Fallback>
        <control shapeId="12309" r:id="rId22" name="CheckBox8"/>
      </mc:Fallback>
    </mc:AlternateContent>
    <mc:AlternateContent xmlns:mc="http://schemas.openxmlformats.org/markup-compatibility/2006">
      <mc:Choice Requires="x14">
        <control shapeId="12310" r:id="rId24" name="CheckBox9">
          <controlPr autoLine="0" r:id="rId25">
            <anchor moveWithCells="1">
              <from>
                <xdr:col>52</xdr:col>
                <xdr:colOff>38100</xdr:colOff>
                <xdr:row>19</xdr:row>
                <xdr:rowOff>0</xdr:rowOff>
              </from>
              <to>
                <xdr:col>52</xdr:col>
                <xdr:colOff>571500</xdr:colOff>
                <xdr:row>19</xdr:row>
                <xdr:rowOff>200025</xdr:rowOff>
              </to>
            </anchor>
          </controlPr>
        </control>
      </mc:Choice>
      <mc:Fallback>
        <control shapeId="12310" r:id="rId24" name="CheckBox9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indexed="42"/>
  </sheetPr>
  <dimension ref="A1:BW127"/>
  <sheetViews>
    <sheetView showGridLines="0" topLeftCell="A7" workbookViewId="0">
      <selection activeCell="C30" sqref="C30"/>
    </sheetView>
  </sheetViews>
  <sheetFormatPr defaultRowHeight="12.75"/>
  <cols>
    <col min="1" max="1" width="4.140625" customWidth="1"/>
    <col min="2" max="2" width="13.140625" customWidth="1"/>
    <col min="3" max="3" width="28" customWidth="1"/>
    <col min="4" max="4" width="1.7109375" customWidth="1"/>
    <col min="6" max="6" width="1.7109375" style="154" customWidth="1"/>
    <col min="7" max="7" width="17.85546875" customWidth="1"/>
    <col min="8" max="8" width="3.140625" customWidth="1"/>
    <col min="9" max="9" width="10.5703125" customWidth="1"/>
    <col min="10" max="10" width="19.7109375" customWidth="1"/>
    <col min="11" max="11" width="1.7109375" customWidth="1"/>
    <col min="13" max="13" width="1.7109375" customWidth="1"/>
    <col min="14" max="14" width="15.42578125" bestFit="1" customWidth="1"/>
    <col min="15" max="15" width="2.7109375" customWidth="1"/>
    <col min="16" max="16" width="10.5703125" customWidth="1"/>
    <col min="17" max="17" width="19.7109375" customWidth="1"/>
    <col min="18" max="18" width="1.28515625" customWidth="1"/>
    <col min="20" max="20" width="2.7109375" customWidth="1"/>
    <col min="21" max="21" width="15.42578125" bestFit="1" customWidth="1"/>
    <col min="22" max="22" width="2.7109375" style="154" customWidth="1"/>
    <col min="23" max="23" width="10.5703125" customWidth="1"/>
    <col min="24" max="24" width="19.7109375" customWidth="1"/>
    <col min="25" max="25" width="1.28515625" customWidth="1"/>
    <col min="27" max="27" width="2.7109375" customWidth="1"/>
    <col min="28" max="28" width="15.42578125" bestFit="1" customWidth="1"/>
    <col min="29" max="29" width="2.7109375" style="154" customWidth="1"/>
    <col min="30" max="30" width="10.5703125" customWidth="1"/>
    <col min="31" max="31" width="19.7109375" customWidth="1"/>
    <col min="32" max="32" width="1.28515625" customWidth="1"/>
    <col min="34" max="34" width="2.7109375" customWidth="1"/>
    <col min="35" max="35" width="15.42578125" bestFit="1" customWidth="1"/>
    <col min="36" max="36" width="2.7109375" style="154" customWidth="1"/>
    <col min="37" max="37" width="10.5703125" customWidth="1"/>
    <col min="38" max="38" width="19.7109375" customWidth="1"/>
    <col min="39" max="39" width="1.28515625" customWidth="1"/>
    <col min="41" max="41" width="2.7109375" customWidth="1"/>
    <col min="42" max="42" width="15.42578125" bestFit="1" customWidth="1"/>
    <col min="43" max="43" width="2.7109375" style="154" customWidth="1"/>
    <col min="44" max="44" width="10.5703125" customWidth="1"/>
    <col min="45" max="45" width="19.7109375" customWidth="1"/>
    <col min="46" max="46" width="1.28515625" customWidth="1"/>
    <col min="48" max="48" width="2.7109375" customWidth="1"/>
    <col min="49" max="49" width="15.42578125" bestFit="1" customWidth="1"/>
    <col min="50" max="50" width="2.7109375" style="154" customWidth="1"/>
    <col min="51" max="51" width="10.5703125" customWidth="1"/>
    <col min="52" max="52" width="19.7109375" customWidth="1"/>
    <col min="53" max="53" width="1.28515625" customWidth="1"/>
    <col min="55" max="55" width="2.7109375" customWidth="1"/>
    <col min="56" max="56" width="15.42578125" bestFit="1" customWidth="1"/>
  </cols>
  <sheetData>
    <row r="1" spans="1:56" hidden="1">
      <c r="E1" s="155" t="s">
        <v>1186</v>
      </c>
      <c r="F1" s="155"/>
      <c r="G1" s="155" t="s">
        <v>1184</v>
      </c>
    </row>
    <row r="2" spans="1:56" hidden="1">
      <c r="E2" s="155" t="s">
        <v>1185</v>
      </c>
      <c r="F2" s="155"/>
      <c r="G2" s="155" t="s">
        <v>1190</v>
      </c>
    </row>
    <row r="3" spans="1:56" hidden="1">
      <c r="E3" s="155" t="s">
        <v>1187</v>
      </c>
      <c r="F3" s="155"/>
      <c r="G3" s="167"/>
    </row>
    <row r="4" spans="1:56" hidden="1">
      <c r="E4" s="167"/>
      <c r="F4" s="155"/>
      <c r="G4" s="167"/>
    </row>
    <row r="5" spans="1:56" hidden="1">
      <c r="E5" s="167"/>
      <c r="F5" s="155"/>
      <c r="G5" s="167"/>
    </row>
    <row r="6" spans="1:56" ht="12.75" hidden="1" customHeight="1">
      <c r="E6" s="167"/>
      <c r="F6" s="155"/>
      <c r="G6" s="167"/>
    </row>
    <row r="7" spans="1:56" ht="12.75" customHeight="1">
      <c r="E7" s="155"/>
      <c r="F7" s="155"/>
      <c r="G7" s="155"/>
    </row>
    <row r="8" spans="1:56" ht="12.75" customHeight="1" thickBot="1">
      <c r="B8" s="153" t="s">
        <v>1141</v>
      </c>
    </row>
    <row r="9" spans="1:56">
      <c r="B9" s="143"/>
      <c r="C9" s="144"/>
      <c r="D9" s="144"/>
      <c r="E9" s="144"/>
      <c r="F9" s="194"/>
      <c r="G9" s="145"/>
    </row>
    <row r="10" spans="1:56">
      <c r="B10" s="168" t="s">
        <v>549</v>
      </c>
      <c r="C10" s="165" t="s">
        <v>67</v>
      </c>
      <c r="D10" s="147"/>
      <c r="E10" s="147"/>
      <c r="F10" s="142"/>
      <c r="G10" s="148"/>
    </row>
    <row r="11" spans="1:56" ht="13.5" thickBot="1">
      <c r="B11" s="149"/>
      <c r="C11" s="150"/>
      <c r="D11" s="151"/>
      <c r="E11" s="151"/>
      <c r="F11" s="150"/>
      <c r="G11" s="152"/>
    </row>
    <row r="12" spans="1:56" ht="13.5" thickBot="1">
      <c r="B12" s="147"/>
      <c r="C12" s="142"/>
      <c r="D12" s="147"/>
      <c r="E12" s="147"/>
      <c r="F12" s="142"/>
      <c r="G12" s="147"/>
    </row>
    <row r="13" spans="1:56">
      <c r="H13" s="143"/>
      <c r="I13" s="144"/>
      <c r="J13" s="144"/>
      <c r="K13" s="144"/>
      <c r="L13" s="144"/>
      <c r="M13" s="144"/>
      <c r="N13" s="145"/>
      <c r="O13" s="143"/>
      <c r="P13" s="144"/>
      <c r="Q13" s="144"/>
      <c r="R13" s="144"/>
      <c r="S13" s="144"/>
      <c r="T13" s="144"/>
      <c r="U13" s="145"/>
      <c r="V13" s="194"/>
      <c r="W13" s="144"/>
      <c r="X13" s="144"/>
      <c r="Y13" s="144"/>
      <c r="Z13" s="144"/>
      <c r="AA13" s="144"/>
      <c r="AB13" s="145"/>
      <c r="AC13" s="194"/>
      <c r="AD13" s="144"/>
      <c r="AE13" s="144"/>
      <c r="AF13" s="144"/>
      <c r="AG13" s="144"/>
      <c r="AH13" s="144"/>
      <c r="AI13" s="145"/>
      <c r="AJ13" s="194"/>
      <c r="AK13" s="144"/>
      <c r="AL13" s="144"/>
      <c r="AM13" s="144"/>
      <c r="AN13" s="144"/>
      <c r="AO13" s="144"/>
      <c r="AP13" s="145"/>
      <c r="AQ13" s="194"/>
      <c r="AR13" s="144"/>
      <c r="AS13" s="144"/>
      <c r="AT13" s="144"/>
      <c r="AU13" s="144"/>
      <c r="AV13" s="144"/>
      <c r="AW13" s="145"/>
      <c r="AX13" s="194"/>
      <c r="AY13" s="144"/>
      <c r="AZ13" s="144"/>
      <c r="BA13" s="144"/>
      <c r="BB13" s="144"/>
      <c r="BC13" s="144"/>
      <c r="BD13" s="145"/>
    </row>
    <row r="14" spans="1:56" s="139" customFormat="1" ht="15" customHeight="1">
      <c r="B14" s="140" t="s">
        <v>1192</v>
      </c>
      <c r="C14" s="166">
        <v>1</v>
      </c>
      <c r="F14" s="195"/>
      <c r="H14" s="159"/>
      <c r="I14" s="160" t="s">
        <v>1192</v>
      </c>
      <c r="J14" s="166"/>
      <c r="K14" s="161"/>
      <c r="L14" s="161"/>
      <c r="M14" s="161"/>
      <c r="N14" s="162"/>
      <c r="O14" s="159"/>
      <c r="P14" s="160" t="s">
        <v>1192</v>
      </c>
      <c r="Q14" s="166">
        <v>2</v>
      </c>
      <c r="R14" s="161"/>
      <c r="S14" s="161"/>
      <c r="T14" s="161"/>
      <c r="U14" s="162"/>
      <c r="V14" s="200"/>
      <c r="W14" s="160" t="s">
        <v>1192</v>
      </c>
      <c r="X14" s="166">
        <v>4</v>
      </c>
      <c r="Y14" s="161"/>
      <c r="Z14" s="161"/>
      <c r="AA14" s="161"/>
      <c r="AB14" s="162"/>
      <c r="AC14" s="200"/>
      <c r="AD14" s="160" t="s">
        <v>1192</v>
      </c>
      <c r="AE14" s="166"/>
      <c r="AF14" s="161"/>
      <c r="AG14" s="161"/>
      <c r="AH14" s="161"/>
      <c r="AI14" s="162"/>
      <c r="AJ14" s="200"/>
      <c r="AK14" s="160" t="s">
        <v>1192</v>
      </c>
      <c r="AL14" s="166"/>
      <c r="AM14" s="161"/>
      <c r="AN14" s="161"/>
      <c r="AO14" s="161"/>
      <c r="AP14" s="162"/>
      <c r="AQ14" s="200"/>
      <c r="AR14" s="160" t="s">
        <v>1192</v>
      </c>
      <c r="AS14" s="166"/>
      <c r="AT14" s="161"/>
      <c r="AU14" s="161"/>
      <c r="AV14" s="161"/>
      <c r="AW14" s="162"/>
      <c r="AX14" s="200"/>
      <c r="AY14" s="160" t="s">
        <v>1192</v>
      </c>
      <c r="AZ14" s="166"/>
      <c r="BA14" s="161"/>
      <c r="BB14" s="161"/>
      <c r="BC14" s="161"/>
      <c r="BD14" s="162"/>
    </row>
    <row r="15" spans="1:56">
      <c r="A15" s="153" t="s">
        <v>1139</v>
      </c>
      <c r="H15" s="146"/>
      <c r="I15" s="147"/>
      <c r="J15" s="147"/>
      <c r="K15" s="147"/>
      <c r="L15" s="147"/>
      <c r="M15" s="147"/>
      <c r="N15" s="148"/>
      <c r="O15" s="146"/>
      <c r="P15" s="147"/>
      <c r="Q15" s="147"/>
      <c r="R15" s="147"/>
      <c r="S15" s="147"/>
      <c r="T15" s="147"/>
      <c r="U15" s="148"/>
      <c r="V15" s="142"/>
      <c r="W15" s="147"/>
      <c r="X15" s="147"/>
      <c r="Y15" s="147"/>
      <c r="Z15" s="147"/>
      <c r="AA15" s="147"/>
      <c r="AB15" s="148"/>
      <c r="AC15" s="142"/>
      <c r="AD15" s="147"/>
      <c r="AE15" s="147"/>
      <c r="AF15" s="147"/>
      <c r="AG15" s="147"/>
      <c r="AH15" s="147"/>
      <c r="AI15" s="148"/>
      <c r="AJ15" s="142"/>
      <c r="AK15" s="147"/>
      <c r="AL15" s="147"/>
      <c r="AM15" s="147"/>
      <c r="AN15" s="147"/>
      <c r="AO15" s="147"/>
      <c r="AP15" s="148"/>
      <c r="AQ15" s="142"/>
      <c r="AR15" s="147"/>
      <c r="AS15" s="147"/>
      <c r="AT15" s="147"/>
      <c r="AU15" s="147"/>
      <c r="AV15" s="147"/>
      <c r="AW15" s="148"/>
      <c r="AX15" s="142"/>
      <c r="AY15" s="147"/>
      <c r="AZ15" s="147"/>
      <c r="BA15" s="147"/>
      <c r="BB15" s="147"/>
      <c r="BC15" s="147"/>
      <c r="BD15" s="148"/>
    </row>
    <row r="16" spans="1:56">
      <c r="B16" s="11" t="s">
        <v>1189</v>
      </c>
      <c r="C16" s="165" t="s">
        <v>1336</v>
      </c>
      <c r="D16" s="11"/>
      <c r="E16" s="165" t="s">
        <v>1185</v>
      </c>
      <c r="F16" s="196"/>
      <c r="H16" s="146"/>
      <c r="I16" s="156" t="s">
        <v>1189</v>
      </c>
      <c r="J16" s="165"/>
      <c r="K16" s="156"/>
      <c r="L16" s="165"/>
      <c r="M16" s="147"/>
      <c r="N16" s="148"/>
      <c r="O16" s="146"/>
      <c r="P16" s="156" t="s">
        <v>1189</v>
      </c>
      <c r="Q16" s="165" t="s">
        <v>1199</v>
      </c>
      <c r="R16" s="156"/>
      <c r="S16" s="165"/>
      <c r="T16" s="147"/>
      <c r="U16" s="148"/>
      <c r="V16" s="142"/>
      <c r="W16" s="156" t="s">
        <v>1189</v>
      </c>
      <c r="X16" s="165"/>
      <c r="Y16" s="156"/>
      <c r="Z16" s="165"/>
      <c r="AA16" s="147"/>
      <c r="AB16" s="148"/>
      <c r="AC16" s="142"/>
      <c r="AD16" s="156" t="s">
        <v>1189</v>
      </c>
      <c r="AE16" s="165"/>
      <c r="AF16" s="156"/>
      <c r="AG16" s="165"/>
      <c r="AH16" s="147"/>
      <c r="AI16" s="148"/>
      <c r="AJ16" s="142"/>
      <c r="AK16" s="156" t="s">
        <v>1189</v>
      </c>
      <c r="AL16" s="165"/>
      <c r="AM16" s="156"/>
      <c r="AN16" s="165"/>
      <c r="AO16" s="147"/>
      <c r="AP16" s="148"/>
      <c r="AQ16" s="142"/>
      <c r="AR16" s="156" t="s">
        <v>1189</v>
      </c>
      <c r="AS16" s="165"/>
      <c r="AT16" s="156"/>
      <c r="AU16" s="165"/>
      <c r="AV16" s="147"/>
      <c r="AW16" s="148"/>
      <c r="AX16" s="142"/>
      <c r="AY16" s="156" t="s">
        <v>1189</v>
      </c>
      <c r="AZ16" s="165"/>
      <c r="BA16" s="156"/>
      <c r="BB16" s="165"/>
      <c r="BC16" s="147"/>
      <c r="BD16" s="148"/>
    </row>
    <row r="17" spans="1:75">
      <c r="A17" s="153" t="s">
        <v>1138</v>
      </c>
      <c r="C17" s="142"/>
      <c r="D17" s="154"/>
      <c r="E17" s="141"/>
      <c r="F17" s="141"/>
      <c r="H17" s="146"/>
      <c r="I17" s="147"/>
      <c r="J17" s="147"/>
      <c r="K17" s="147"/>
      <c r="L17" s="147"/>
      <c r="M17" s="147"/>
      <c r="N17" s="148"/>
      <c r="O17" s="146"/>
      <c r="P17" s="147"/>
      <c r="Q17" s="147"/>
      <c r="R17" s="147"/>
      <c r="S17" s="147"/>
      <c r="T17" s="147"/>
      <c r="U17" s="148"/>
      <c r="V17" s="142"/>
      <c r="W17" s="147"/>
      <c r="X17" s="147"/>
      <c r="Y17" s="147"/>
      <c r="Z17" s="147"/>
      <c r="AA17" s="147"/>
      <c r="AB17" s="148"/>
      <c r="AC17" s="142"/>
      <c r="AD17" s="147"/>
      <c r="AE17" s="147"/>
      <c r="AF17" s="147"/>
      <c r="AG17" s="147"/>
      <c r="AH17" s="147"/>
      <c r="AI17" s="148"/>
      <c r="AJ17" s="142"/>
      <c r="AK17" s="147"/>
      <c r="AL17" s="147"/>
      <c r="AM17" s="147"/>
      <c r="AN17" s="147"/>
      <c r="AO17" s="147"/>
      <c r="AP17" s="148"/>
      <c r="AQ17" s="142"/>
      <c r="AR17" s="147"/>
      <c r="AS17" s="147"/>
      <c r="AT17" s="147"/>
      <c r="AU17" s="147"/>
      <c r="AV17" s="147"/>
      <c r="AW17" s="148"/>
      <c r="AX17" s="142"/>
      <c r="AY17" s="147"/>
      <c r="AZ17" s="147"/>
      <c r="BA17" s="147"/>
      <c r="BB17" s="147"/>
      <c r="BC17" s="147"/>
      <c r="BD17" s="148"/>
    </row>
    <row r="18" spans="1:75">
      <c r="A18" s="153" t="s">
        <v>1140</v>
      </c>
      <c r="H18" s="146"/>
      <c r="I18" s="147"/>
      <c r="J18" s="147"/>
      <c r="K18" s="147"/>
      <c r="L18" s="147"/>
      <c r="M18" s="147"/>
      <c r="N18" s="148"/>
      <c r="O18" s="146"/>
      <c r="P18" s="147"/>
      <c r="Q18" s="147"/>
      <c r="R18" s="147"/>
      <c r="S18" s="147"/>
      <c r="T18" s="147"/>
      <c r="U18" s="148"/>
      <c r="V18" s="142"/>
      <c r="W18" s="147"/>
      <c r="X18" s="147"/>
      <c r="Y18" s="147"/>
      <c r="Z18" s="147"/>
      <c r="AA18" s="147"/>
      <c r="AB18" s="148"/>
      <c r="AC18" s="142"/>
      <c r="AD18" s="147"/>
      <c r="AE18" s="147"/>
      <c r="AF18" s="147"/>
      <c r="AG18" s="147"/>
      <c r="AH18" s="147"/>
      <c r="AI18" s="148"/>
      <c r="AJ18" s="142"/>
      <c r="AK18" s="147"/>
      <c r="AL18" s="147"/>
      <c r="AM18" s="147"/>
      <c r="AN18" s="147"/>
      <c r="AO18" s="147"/>
      <c r="AP18" s="148"/>
      <c r="AQ18" s="142"/>
      <c r="AR18" s="147"/>
      <c r="AS18" s="147"/>
      <c r="AT18" s="147"/>
      <c r="AU18" s="147"/>
      <c r="AV18" s="147"/>
      <c r="AW18" s="148"/>
      <c r="AX18" s="142"/>
      <c r="AY18" s="147"/>
      <c r="AZ18" s="147"/>
      <c r="BA18" s="147"/>
      <c r="BB18" s="147"/>
      <c r="BC18" s="147"/>
      <c r="BD18" s="148"/>
    </row>
    <row r="19" spans="1:75">
      <c r="B19" s="11" t="s">
        <v>550</v>
      </c>
      <c r="C19" s="11" t="s">
        <v>551</v>
      </c>
      <c r="D19" s="11"/>
      <c r="E19" s="11"/>
      <c r="F19" s="155"/>
      <c r="H19" s="146"/>
      <c r="I19" s="156" t="s">
        <v>1191</v>
      </c>
      <c r="J19" s="156" t="s">
        <v>551</v>
      </c>
      <c r="K19" s="156"/>
      <c r="L19" s="156"/>
      <c r="M19" s="147"/>
      <c r="N19" s="148"/>
      <c r="O19" s="146"/>
      <c r="P19" s="156" t="s">
        <v>1191</v>
      </c>
      <c r="Q19" s="156" t="s">
        <v>551</v>
      </c>
      <c r="R19" s="156"/>
      <c r="S19" s="156"/>
      <c r="T19" s="147"/>
      <c r="U19" s="148"/>
      <c r="V19" s="142"/>
      <c r="W19" s="156" t="s">
        <v>1191</v>
      </c>
      <c r="X19" s="156" t="s">
        <v>551</v>
      </c>
      <c r="Y19" s="156"/>
      <c r="Z19" s="156"/>
      <c r="AA19" s="147"/>
      <c r="AB19" s="148"/>
      <c r="AC19" s="142"/>
      <c r="AD19" s="156" t="s">
        <v>1191</v>
      </c>
      <c r="AE19" s="156" t="s">
        <v>551</v>
      </c>
      <c r="AF19" s="156"/>
      <c r="AG19" s="156"/>
      <c r="AH19" s="147"/>
      <c r="AI19" s="148"/>
      <c r="AJ19" s="142"/>
      <c r="AK19" s="156" t="s">
        <v>1191</v>
      </c>
      <c r="AL19" s="156" t="s">
        <v>551</v>
      </c>
      <c r="AM19" s="156"/>
      <c r="AN19" s="156"/>
      <c r="AO19" s="147"/>
      <c r="AP19" s="148"/>
      <c r="AQ19" s="142"/>
      <c r="AR19" s="156" t="s">
        <v>1191</v>
      </c>
      <c r="AS19" s="156" t="s">
        <v>551</v>
      </c>
      <c r="AT19" s="156"/>
      <c r="AU19" s="156"/>
      <c r="AV19" s="147"/>
      <c r="AW19" s="148"/>
      <c r="AX19" s="142"/>
      <c r="AY19" s="156" t="s">
        <v>1191</v>
      </c>
      <c r="AZ19" s="156" t="s">
        <v>551</v>
      </c>
      <c r="BA19" s="156"/>
      <c r="BB19" s="156"/>
      <c r="BC19" s="147"/>
      <c r="BD19" s="148"/>
    </row>
    <row r="20" spans="1:75">
      <c r="B20" s="11" t="s">
        <v>552</v>
      </c>
      <c r="C20" s="11"/>
      <c r="D20" s="11"/>
      <c r="E20" s="155" t="s">
        <v>1188</v>
      </c>
      <c r="F20" s="155"/>
      <c r="G20" s="11" t="s">
        <v>171</v>
      </c>
      <c r="H20" s="146"/>
      <c r="I20" s="156"/>
      <c r="J20" s="156"/>
      <c r="K20" s="156"/>
      <c r="L20" s="157" t="s">
        <v>1188</v>
      </c>
      <c r="M20" s="147"/>
      <c r="N20" s="197" t="s">
        <v>175</v>
      </c>
      <c r="O20" s="146"/>
      <c r="P20" s="156"/>
      <c r="Q20" s="156"/>
      <c r="R20" s="156"/>
      <c r="S20" s="157" t="s">
        <v>1188</v>
      </c>
      <c r="T20" s="147"/>
      <c r="U20" s="197" t="s">
        <v>175</v>
      </c>
      <c r="V20" s="157"/>
      <c r="W20" s="156"/>
      <c r="X20" s="156"/>
      <c r="Y20" s="156"/>
      <c r="Z20" s="157" t="s">
        <v>1188</v>
      </c>
      <c r="AA20" s="147"/>
      <c r="AB20" s="197" t="s">
        <v>175</v>
      </c>
      <c r="AC20" s="157"/>
      <c r="AD20" s="156"/>
      <c r="AE20" s="156"/>
      <c r="AF20" s="156"/>
      <c r="AG20" s="157" t="s">
        <v>1188</v>
      </c>
      <c r="AH20" s="147"/>
      <c r="AI20" s="197" t="s">
        <v>175</v>
      </c>
      <c r="AJ20" s="157"/>
      <c r="AK20" s="156"/>
      <c r="AL20" s="156"/>
      <c r="AM20" s="156"/>
      <c r="AN20" s="157" t="s">
        <v>1188</v>
      </c>
      <c r="AO20" s="147"/>
      <c r="AP20" s="197" t="s">
        <v>175</v>
      </c>
      <c r="AQ20" s="157"/>
      <c r="AR20" s="156"/>
      <c r="AS20" s="156"/>
      <c r="AT20" s="156"/>
      <c r="AU20" s="157" t="s">
        <v>1188</v>
      </c>
      <c r="AV20" s="147"/>
      <c r="AW20" s="197" t="s">
        <v>175</v>
      </c>
      <c r="AX20" s="157"/>
      <c r="AY20" s="156"/>
      <c r="AZ20" s="156"/>
      <c r="BA20" s="156"/>
      <c r="BB20" s="157" t="s">
        <v>1188</v>
      </c>
      <c r="BC20" s="147"/>
      <c r="BD20" s="197" t="s">
        <v>175</v>
      </c>
    </row>
    <row r="21" spans="1:75">
      <c r="B21" s="204">
        <v>1</v>
      </c>
      <c r="C21" s="628" t="s">
        <v>1501</v>
      </c>
      <c r="E21" s="165" t="s">
        <v>1184</v>
      </c>
      <c r="F21" s="196"/>
      <c r="G21" s="629" t="s">
        <v>1503</v>
      </c>
      <c r="H21" s="158"/>
      <c r="I21" s="158">
        <v>1</v>
      </c>
      <c r="J21" s="165"/>
      <c r="K21" s="147"/>
      <c r="L21" s="165"/>
      <c r="M21" s="147"/>
      <c r="N21" s="201"/>
      <c r="O21" s="146"/>
      <c r="P21" s="158">
        <v>1</v>
      </c>
      <c r="Q21" s="165"/>
      <c r="R21" s="147"/>
      <c r="S21" s="165" t="s">
        <v>1190</v>
      </c>
      <c r="T21" s="147"/>
      <c r="U21" s="201"/>
      <c r="V21" s="142"/>
      <c r="W21" s="158">
        <v>1</v>
      </c>
      <c r="X21" s="165"/>
      <c r="Y21" s="147"/>
      <c r="Z21" s="165"/>
      <c r="AA21" s="147"/>
      <c r="AB21" s="201"/>
      <c r="AC21" s="142"/>
      <c r="AD21" s="158">
        <v>1</v>
      </c>
      <c r="AE21" s="165"/>
      <c r="AF21" s="147"/>
      <c r="AG21" s="165"/>
      <c r="AH21" s="147"/>
      <c r="AI21" s="201"/>
      <c r="AJ21" s="142"/>
      <c r="AK21" s="158">
        <v>1</v>
      </c>
      <c r="AL21" s="165"/>
      <c r="AM21" s="147"/>
      <c r="AN21" s="165"/>
      <c r="AO21" s="147"/>
      <c r="AP21" s="201"/>
      <c r="AQ21" s="142"/>
      <c r="AR21" s="158">
        <v>1</v>
      </c>
      <c r="AS21" s="165"/>
      <c r="AT21" s="147"/>
      <c r="AU21" s="165"/>
      <c r="AV21" s="147"/>
      <c r="AW21" s="201"/>
      <c r="AX21" s="142"/>
      <c r="AY21" s="158">
        <v>1</v>
      </c>
      <c r="AZ21" s="165"/>
      <c r="BA21" s="147"/>
      <c r="BB21" s="165"/>
      <c r="BC21" s="147"/>
      <c r="BD21" s="201"/>
      <c r="BW21" t="s">
        <v>30</v>
      </c>
    </row>
    <row r="22" spans="1:75">
      <c r="B22" s="204">
        <v>2</v>
      </c>
      <c r="C22" s="628" t="s">
        <v>1502</v>
      </c>
      <c r="E22" s="165" t="s">
        <v>1184</v>
      </c>
      <c r="F22" s="196"/>
      <c r="G22" s="629" t="s">
        <v>1504</v>
      </c>
      <c r="H22" s="158"/>
      <c r="I22" s="158">
        <v>2</v>
      </c>
      <c r="J22" s="165"/>
      <c r="K22" s="147"/>
      <c r="L22" s="165"/>
      <c r="M22" s="147"/>
      <c r="N22" s="201"/>
      <c r="O22" s="146"/>
      <c r="P22" s="158">
        <v>2</v>
      </c>
      <c r="Q22" s="165"/>
      <c r="R22" s="147"/>
      <c r="S22" s="165" t="s">
        <v>1190</v>
      </c>
      <c r="T22" s="147"/>
      <c r="U22" s="201"/>
      <c r="V22" s="142"/>
      <c r="W22" s="158">
        <v>2</v>
      </c>
      <c r="X22" s="165"/>
      <c r="Y22" s="147"/>
      <c r="Z22" s="165"/>
      <c r="AA22" s="147"/>
      <c r="AB22" s="201"/>
      <c r="AC22" s="142"/>
      <c r="AD22" s="158">
        <v>2</v>
      </c>
      <c r="AE22" s="165"/>
      <c r="AF22" s="147"/>
      <c r="AG22" s="165"/>
      <c r="AH22" s="147"/>
      <c r="AI22" s="201"/>
      <c r="AJ22" s="142"/>
      <c r="AK22" s="158">
        <v>2</v>
      </c>
      <c r="AL22" s="165"/>
      <c r="AM22" s="147"/>
      <c r="AN22" s="165"/>
      <c r="AO22" s="147"/>
      <c r="AP22" s="201"/>
      <c r="AQ22" s="142"/>
      <c r="AR22" s="158">
        <v>2</v>
      </c>
      <c r="AS22" s="165"/>
      <c r="AT22" s="147"/>
      <c r="AU22" s="165"/>
      <c r="AV22" s="147"/>
      <c r="AW22" s="201"/>
      <c r="AX22" s="142"/>
      <c r="AY22" s="158">
        <v>2</v>
      </c>
      <c r="AZ22" s="165"/>
      <c r="BA22" s="147"/>
      <c r="BB22" s="165"/>
      <c r="BC22" s="147"/>
      <c r="BD22" s="201"/>
    </row>
    <row r="23" spans="1:75">
      <c r="B23" s="204">
        <v>3</v>
      </c>
      <c r="C23" s="628" t="s">
        <v>1519</v>
      </c>
      <c r="E23" s="165" t="s">
        <v>1184</v>
      </c>
      <c r="F23" s="196"/>
      <c r="G23" s="629" t="s">
        <v>1505</v>
      </c>
      <c r="H23" s="158"/>
      <c r="I23" s="158">
        <v>3</v>
      </c>
      <c r="J23" s="165"/>
      <c r="K23" s="147"/>
      <c r="L23" s="165"/>
      <c r="M23" s="147"/>
      <c r="N23" s="201"/>
      <c r="O23" s="146"/>
      <c r="P23" s="158">
        <v>3</v>
      </c>
      <c r="Q23" s="165"/>
      <c r="R23" s="147"/>
      <c r="S23" s="165" t="s">
        <v>1190</v>
      </c>
      <c r="T23" s="147"/>
      <c r="U23" s="201"/>
      <c r="V23" s="142"/>
      <c r="W23" s="158">
        <v>3</v>
      </c>
      <c r="X23" s="165"/>
      <c r="Y23" s="147"/>
      <c r="Z23" s="165"/>
      <c r="AA23" s="147"/>
      <c r="AB23" s="201"/>
      <c r="AC23" s="142"/>
      <c r="AD23" s="158">
        <v>3</v>
      </c>
      <c r="AE23" s="165"/>
      <c r="AF23" s="147"/>
      <c r="AG23" s="165"/>
      <c r="AH23" s="147"/>
      <c r="AI23" s="201"/>
      <c r="AJ23" s="142"/>
      <c r="AK23" s="158">
        <v>3</v>
      </c>
      <c r="AL23" s="165"/>
      <c r="AM23" s="147"/>
      <c r="AN23" s="165"/>
      <c r="AO23" s="147"/>
      <c r="AP23" s="201"/>
      <c r="AQ23" s="142"/>
      <c r="AR23" s="158">
        <v>3</v>
      </c>
      <c r="AS23" s="165"/>
      <c r="AT23" s="147"/>
      <c r="AU23" s="165"/>
      <c r="AV23" s="147"/>
      <c r="AW23" s="201"/>
      <c r="AX23" s="142"/>
      <c r="AY23" s="158">
        <v>3</v>
      </c>
      <c r="AZ23" s="165"/>
      <c r="BA23" s="147"/>
      <c r="BB23" s="165"/>
      <c r="BC23" s="147"/>
      <c r="BD23" s="201"/>
    </row>
    <row r="24" spans="1:75">
      <c r="B24" s="204">
        <v>4</v>
      </c>
      <c r="C24" s="628" t="s">
        <v>1520</v>
      </c>
      <c r="E24" s="165" t="s">
        <v>1184</v>
      </c>
      <c r="F24" s="196"/>
      <c r="G24" s="629" t="s">
        <v>1506</v>
      </c>
      <c r="H24" s="158"/>
      <c r="I24" s="158">
        <v>4</v>
      </c>
      <c r="J24" s="165"/>
      <c r="K24" s="147"/>
      <c r="L24" s="165"/>
      <c r="M24" s="147"/>
      <c r="N24" s="201"/>
      <c r="O24" s="146"/>
      <c r="P24" s="158">
        <v>4</v>
      </c>
      <c r="Q24" s="165"/>
      <c r="R24" s="147"/>
      <c r="S24" s="165" t="s">
        <v>1190</v>
      </c>
      <c r="T24" s="147"/>
      <c r="U24" s="201"/>
      <c r="V24" s="142"/>
      <c r="W24" s="158">
        <v>4</v>
      </c>
      <c r="X24" s="165"/>
      <c r="Y24" s="147"/>
      <c r="Z24" s="165"/>
      <c r="AA24" s="147"/>
      <c r="AB24" s="201"/>
      <c r="AC24" s="142"/>
      <c r="AD24" s="158">
        <v>4</v>
      </c>
      <c r="AE24" s="165"/>
      <c r="AF24" s="147"/>
      <c r="AG24" s="165"/>
      <c r="AH24" s="147"/>
      <c r="AI24" s="201"/>
      <c r="AJ24" s="142"/>
      <c r="AK24" s="158">
        <v>4</v>
      </c>
      <c r="AL24" s="165"/>
      <c r="AM24" s="147"/>
      <c r="AN24" s="165"/>
      <c r="AO24" s="147"/>
      <c r="AP24" s="201"/>
      <c r="AQ24" s="142"/>
      <c r="AR24" s="158">
        <v>4</v>
      </c>
      <c r="AS24" s="165"/>
      <c r="AT24" s="147"/>
      <c r="AU24" s="165"/>
      <c r="AV24" s="147"/>
      <c r="AW24" s="201"/>
      <c r="AX24" s="142"/>
      <c r="AY24" s="158">
        <v>4</v>
      </c>
      <c r="AZ24" s="165"/>
      <c r="BA24" s="147"/>
      <c r="BB24" s="165"/>
      <c r="BC24" s="147"/>
      <c r="BD24" s="201"/>
    </row>
    <row r="25" spans="1:75">
      <c r="B25" s="204">
        <v>5</v>
      </c>
      <c r="C25" s="628" t="s">
        <v>1521</v>
      </c>
      <c r="E25" s="165" t="s">
        <v>1184</v>
      </c>
      <c r="F25" s="196"/>
      <c r="G25" s="629" t="s">
        <v>1507</v>
      </c>
      <c r="H25" s="158"/>
      <c r="I25" s="158">
        <v>5</v>
      </c>
      <c r="J25" s="165"/>
      <c r="K25" s="147"/>
      <c r="L25" s="165"/>
      <c r="M25" s="147"/>
      <c r="N25" s="201"/>
      <c r="O25" s="146"/>
      <c r="P25" s="158">
        <v>5</v>
      </c>
      <c r="Q25" s="165"/>
      <c r="R25" s="147"/>
      <c r="S25" s="165" t="s">
        <v>1190</v>
      </c>
      <c r="T25" s="147"/>
      <c r="U25" s="201"/>
      <c r="V25" s="142"/>
      <c r="W25" s="158">
        <v>5</v>
      </c>
      <c r="X25" s="165"/>
      <c r="Y25" s="147"/>
      <c r="Z25" s="165"/>
      <c r="AA25" s="147"/>
      <c r="AB25" s="201"/>
      <c r="AC25" s="142"/>
      <c r="AD25" s="158">
        <v>5</v>
      </c>
      <c r="AE25" s="165"/>
      <c r="AF25" s="147"/>
      <c r="AG25" s="165"/>
      <c r="AH25" s="147"/>
      <c r="AI25" s="201"/>
      <c r="AJ25" s="142"/>
      <c r="AK25" s="158">
        <v>5</v>
      </c>
      <c r="AL25" s="165"/>
      <c r="AM25" s="147"/>
      <c r="AN25" s="165"/>
      <c r="AO25" s="147"/>
      <c r="AP25" s="201"/>
      <c r="AQ25" s="142"/>
      <c r="AR25" s="158">
        <v>5</v>
      </c>
      <c r="AS25" s="165"/>
      <c r="AT25" s="147"/>
      <c r="AU25" s="165"/>
      <c r="AV25" s="147"/>
      <c r="AW25" s="201"/>
      <c r="AX25" s="142"/>
      <c r="AY25" s="158">
        <v>5</v>
      </c>
      <c r="AZ25" s="165"/>
      <c r="BA25" s="147"/>
      <c r="BB25" s="165"/>
      <c r="BC25" s="147"/>
      <c r="BD25" s="201"/>
    </row>
    <row r="26" spans="1:75">
      <c r="B26" s="204">
        <v>6</v>
      </c>
      <c r="C26" s="628" t="s">
        <v>1500</v>
      </c>
      <c r="E26" s="165" t="s">
        <v>1184</v>
      </c>
      <c r="F26" s="196"/>
      <c r="G26" s="603" t="s">
        <v>1358</v>
      </c>
      <c r="H26" s="158"/>
      <c r="I26" s="158">
        <v>6</v>
      </c>
      <c r="J26" s="165"/>
      <c r="K26" s="147"/>
      <c r="L26" s="165"/>
      <c r="M26" s="147"/>
      <c r="N26" s="201"/>
      <c r="O26" s="146"/>
      <c r="P26" s="158">
        <v>6</v>
      </c>
      <c r="Q26" s="165"/>
      <c r="R26" s="147"/>
      <c r="S26" s="165" t="s">
        <v>1190</v>
      </c>
      <c r="T26" s="147"/>
      <c r="U26" s="201"/>
      <c r="V26" s="142"/>
      <c r="W26" s="158">
        <v>6</v>
      </c>
      <c r="X26" s="165"/>
      <c r="Y26" s="147"/>
      <c r="Z26" s="165"/>
      <c r="AA26" s="147"/>
      <c r="AB26" s="201"/>
      <c r="AC26" s="142"/>
      <c r="AD26" s="158">
        <v>6</v>
      </c>
      <c r="AE26" s="165"/>
      <c r="AF26" s="147"/>
      <c r="AG26" s="165"/>
      <c r="AH26" s="147"/>
      <c r="AI26" s="201"/>
      <c r="AJ26" s="142"/>
      <c r="AK26" s="158">
        <v>6</v>
      </c>
      <c r="AL26" s="165"/>
      <c r="AM26" s="147"/>
      <c r="AN26" s="165"/>
      <c r="AO26" s="147"/>
      <c r="AP26" s="201"/>
      <c r="AQ26" s="142"/>
      <c r="AR26" s="158">
        <v>6</v>
      </c>
      <c r="AS26" s="165"/>
      <c r="AT26" s="147"/>
      <c r="AU26" s="165"/>
      <c r="AV26" s="147"/>
      <c r="AW26" s="201"/>
      <c r="AX26" s="142"/>
      <c r="AY26" s="158">
        <v>6</v>
      </c>
      <c r="AZ26" s="165"/>
      <c r="BA26" s="147"/>
      <c r="BB26" s="165"/>
      <c r="BC26" s="147"/>
      <c r="BD26" s="201"/>
    </row>
    <row r="27" spans="1:75">
      <c r="B27" s="204">
        <v>7</v>
      </c>
      <c r="C27" s="628" t="s">
        <v>1522</v>
      </c>
      <c r="E27" s="165" t="s">
        <v>1184</v>
      </c>
      <c r="F27" s="196"/>
      <c r="G27" s="629" t="s">
        <v>1508</v>
      </c>
      <c r="H27" s="147"/>
      <c r="I27" s="158">
        <v>7</v>
      </c>
      <c r="J27" s="165"/>
      <c r="K27" s="147"/>
      <c r="L27" s="165"/>
      <c r="M27" s="147"/>
      <c r="N27" s="201"/>
      <c r="O27" s="146"/>
      <c r="P27" s="158">
        <v>7</v>
      </c>
      <c r="Q27" s="165"/>
      <c r="R27" s="147"/>
      <c r="S27" s="165" t="s">
        <v>1190</v>
      </c>
      <c r="T27" s="147"/>
      <c r="U27" s="201"/>
      <c r="V27" s="142"/>
      <c r="W27" s="158">
        <v>7</v>
      </c>
      <c r="X27" s="165"/>
      <c r="Y27" s="147"/>
      <c r="Z27" s="165"/>
      <c r="AA27" s="147"/>
      <c r="AB27" s="201"/>
      <c r="AC27" s="142"/>
      <c r="AD27" s="158">
        <v>7</v>
      </c>
      <c r="AE27" s="165"/>
      <c r="AF27" s="147"/>
      <c r="AG27" s="165"/>
      <c r="AH27" s="147"/>
      <c r="AI27" s="201"/>
      <c r="AJ27" s="142"/>
      <c r="AK27" s="158">
        <v>7</v>
      </c>
      <c r="AL27" s="165"/>
      <c r="AM27" s="147"/>
      <c r="AN27" s="165"/>
      <c r="AO27" s="147"/>
      <c r="AP27" s="201"/>
      <c r="AQ27" s="142"/>
      <c r="AR27" s="158">
        <v>7</v>
      </c>
      <c r="AS27" s="165"/>
      <c r="AT27" s="147"/>
      <c r="AU27" s="165"/>
      <c r="AV27" s="147"/>
      <c r="AW27" s="201"/>
      <c r="AX27" s="142"/>
      <c r="AY27" s="158">
        <v>7</v>
      </c>
      <c r="AZ27" s="165"/>
      <c r="BA27" s="147"/>
      <c r="BB27" s="165"/>
      <c r="BC27" s="147"/>
      <c r="BD27" s="201"/>
    </row>
    <row r="28" spans="1:75">
      <c r="B28" s="204">
        <v>8</v>
      </c>
      <c r="C28" s="628" t="s">
        <v>1523</v>
      </c>
      <c r="E28" s="165" t="s">
        <v>1184</v>
      </c>
      <c r="F28" s="196"/>
      <c r="G28" s="629" t="s">
        <v>1509</v>
      </c>
      <c r="H28" s="147"/>
      <c r="I28" s="158">
        <v>8</v>
      </c>
      <c r="J28" s="165"/>
      <c r="K28" s="147"/>
      <c r="L28" s="165"/>
      <c r="M28" s="147"/>
      <c r="N28" s="201"/>
      <c r="O28" s="146"/>
      <c r="P28" s="158">
        <v>8</v>
      </c>
      <c r="Q28" s="165"/>
      <c r="R28" s="147"/>
      <c r="S28" s="165" t="s">
        <v>1190</v>
      </c>
      <c r="T28" s="147"/>
      <c r="U28" s="201"/>
      <c r="V28" s="142"/>
      <c r="W28" s="158">
        <v>8</v>
      </c>
      <c r="X28" s="165"/>
      <c r="Y28" s="147"/>
      <c r="Z28" s="165"/>
      <c r="AA28" s="147"/>
      <c r="AB28" s="201"/>
      <c r="AC28" s="142"/>
      <c r="AD28" s="158">
        <v>8</v>
      </c>
      <c r="AE28" s="165"/>
      <c r="AF28" s="147"/>
      <c r="AG28" s="165"/>
      <c r="AH28" s="147"/>
      <c r="AI28" s="201"/>
      <c r="AJ28" s="142"/>
      <c r="AK28" s="158">
        <v>8</v>
      </c>
      <c r="AL28" s="165"/>
      <c r="AM28" s="147"/>
      <c r="AN28" s="165"/>
      <c r="AO28" s="147"/>
      <c r="AP28" s="201"/>
      <c r="AQ28" s="142"/>
      <c r="AR28" s="158">
        <v>8</v>
      </c>
      <c r="AS28" s="165"/>
      <c r="AT28" s="147"/>
      <c r="AU28" s="165"/>
      <c r="AV28" s="147"/>
      <c r="AW28" s="201"/>
      <c r="AX28" s="142"/>
      <c r="AY28" s="158">
        <v>8</v>
      </c>
      <c r="AZ28" s="165"/>
      <c r="BA28" s="147"/>
      <c r="BB28" s="165"/>
      <c r="BC28" s="147"/>
      <c r="BD28" s="201"/>
    </row>
    <row r="29" spans="1:75">
      <c r="B29" s="204">
        <v>9</v>
      </c>
      <c r="C29" s="628" t="s">
        <v>1524</v>
      </c>
      <c r="E29" s="165" t="s">
        <v>1184</v>
      </c>
      <c r="F29" s="196"/>
      <c r="G29" s="629" t="s">
        <v>1510</v>
      </c>
      <c r="H29" s="147"/>
      <c r="I29" s="158">
        <v>9</v>
      </c>
      <c r="J29" s="165"/>
      <c r="K29" s="147"/>
      <c r="L29" s="165"/>
      <c r="M29" s="147"/>
      <c r="N29" s="201"/>
      <c r="O29" s="146"/>
      <c r="P29" s="158">
        <v>9</v>
      </c>
      <c r="Q29" s="165"/>
      <c r="R29" s="147"/>
      <c r="S29" s="165" t="s">
        <v>1190</v>
      </c>
      <c r="T29" s="147"/>
      <c r="U29" s="201"/>
      <c r="V29" s="142"/>
      <c r="W29" s="158">
        <v>9</v>
      </c>
      <c r="X29" s="165"/>
      <c r="Y29" s="147"/>
      <c r="Z29" s="165"/>
      <c r="AA29" s="147"/>
      <c r="AB29" s="201"/>
      <c r="AC29" s="142"/>
      <c r="AD29" s="158">
        <v>9</v>
      </c>
      <c r="AE29" s="165"/>
      <c r="AF29" s="147"/>
      <c r="AG29" s="165"/>
      <c r="AH29" s="147"/>
      <c r="AI29" s="201"/>
      <c r="AJ29" s="142"/>
      <c r="AK29" s="158">
        <v>9</v>
      </c>
      <c r="AL29" s="165"/>
      <c r="AM29" s="147"/>
      <c r="AN29" s="165"/>
      <c r="AO29" s="147"/>
      <c r="AP29" s="201"/>
      <c r="AQ29" s="142"/>
      <c r="AR29" s="158">
        <v>9</v>
      </c>
      <c r="AS29" s="165"/>
      <c r="AT29" s="147"/>
      <c r="AU29" s="165"/>
      <c r="AV29" s="147"/>
      <c r="AW29" s="201"/>
      <c r="AX29" s="142"/>
      <c r="AY29" s="158">
        <v>9</v>
      </c>
      <c r="AZ29" s="165"/>
      <c r="BA29" s="147"/>
      <c r="BB29" s="165"/>
      <c r="BC29" s="147"/>
      <c r="BD29" s="201"/>
    </row>
    <row r="30" spans="1:75">
      <c r="B30" s="204">
        <v>10</v>
      </c>
      <c r="C30" s="628" t="s">
        <v>1525</v>
      </c>
      <c r="E30" s="165" t="s">
        <v>1184</v>
      </c>
      <c r="F30" s="196"/>
      <c r="G30" s="629" t="s">
        <v>1511</v>
      </c>
      <c r="H30" s="147"/>
      <c r="I30" s="158">
        <v>10</v>
      </c>
      <c r="J30" s="165"/>
      <c r="K30" s="147"/>
      <c r="L30" s="165"/>
      <c r="M30" s="147"/>
      <c r="N30" s="201"/>
      <c r="O30" s="146"/>
      <c r="P30" s="158">
        <v>10</v>
      </c>
      <c r="Q30" s="165"/>
      <c r="R30" s="147"/>
      <c r="S30" s="165" t="s">
        <v>1190</v>
      </c>
      <c r="T30" s="147"/>
      <c r="U30" s="201"/>
      <c r="V30" s="142"/>
      <c r="W30" s="158">
        <v>10</v>
      </c>
      <c r="X30" s="165"/>
      <c r="Y30" s="147"/>
      <c r="Z30" s="165"/>
      <c r="AA30" s="147"/>
      <c r="AB30" s="201"/>
      <c r="AC30" s="142"/>
      <c r="AD30" s="158">
        <v>10</v>
      </c>
      <c r="AE30" s="165"/>
      <c r="AF30" s="147"/>
      <c r="AG30" s="165"/>
      <c r="AH30" s="147"/>
      <c r="AI30" s="201"/>
      <c r="AJ30" s="142"/>
      <c r="AK30" s="158">
        <v>10</v>
      </c>
      <c r="AL30" s="165"/>
      <c r="AM30" s="147"/>
      <c r="AN30" s="165"/>
      <c r="AO30" s="147"/>
      <c r="AP30" s="201"/>
      <c r="AQ30" s="142"/>
      <c r="AR30" s="158">
        <v>10</v>
      </c>
      <c r="AS30" s="165"/>
      <c r="AT30" s="147"/>
      <c r="AU30" s="165"/>
      <c r="AV30" s="147"/>
      <c r="AW30" s="201"/>
      <c r="AX30" s="142"/>
      <c r="AY30" s="158">
        <v>10</v>
      </c>
      <c r="AZ30" s="165"/>
      <c r="BA30" s="147"/>
      <c r="BB30" s="165"/>
      <c r="BC30" s="147"/>
      <c r="BD30" s="201"/>
    </row>
    <row r="31" spans="1:75">
      <c r="B31" s="204">
        <v>11</v>
      </c>
      <c r="C31" s="628" t="s">
        <v>1526</v>
      </c>
      <c r="E31" s="165" t="s">
        <v>1184</v>
      </c>
      <c r="F31" s="196"/>
      <c r="G31" s="629" t="s">
        <v>1512</v>
      </c>
      <c r="H31" s="147"/>
      <c r="I31" s="158">
        <v>11</v>
      </c>
      <c r="J31" s="165"/>
      <c r="K31" s="147"/>
      <c r="L31" s="165"/>
      <c r="M31" s="147"/>
      <c r="N31" s="201"/>
      <c r="O31" s="146"/>
      <c r="P31" s="158">
        <v>11</v>
      </c>
      <c r="Q31" s="165"/>
      <c r="R31" s="147"/>
      <c r="S31" s="165"/>
      <c r="T31" s="147"/>
      <c r="U31" s="201"/>
      <c r="V31" s="142"/>
      <c r="W31" s="158">
        <v>11</v>
      </c>
      <c r="X31" s="165"/>
      <c r="Y31" s="147"/>
      <c r="Z31" s="165"/>
      <c r="AA31" s="147"/>
      <c r="AB31" s="201"/>
      <c r="AC31" s="142"/>
      <c r="AD31" s="158">
        <v>11</v>
      </c>
      <c r="AE31" s="165"/>
      <c r="AF31" s="147"/>
      <c r="AG31" s="165"/>
      <c r="AH31" s="147"/>
      <c r="AI31" s="201"/>
      <c r="AJ31" s="142"/>
      <c r="AK31" s="158">
        <v>11</v>
      </c>
      <c r="AL31" s="165"/>
      <c r="AM31" s="147"/>
      <c r="AN31" s="165"/>
      <c r="AO31" s="147"/>
      <c r="AP31" s="201"/>
      <c r="AQ31" s="142"/>
      <c r="AR31" s="158">
        <v>11</v>
      </c>
      <c r="AS31" s="165"/>
      <c r="AT31" s="147"/>
      <c r="AU31" s="165"/>
      <c r="AV31" s="147"/>
      <c r="AW31" s="201"/>
      <c r="AX31" s="142"/>
      <c r="AY31" s="158">
        <v>11</v>
      </c>
      <c r="AZ31" s="165"/>
      <c r="BA31" s="147"/>
      <c r="BB31" s="165"/>
      <c r="BC31" s="147"/>
      <c r="BD31" s="201"/>
    </row>
    <row r="32" spans="1:75">
      <c r="B32" s="204">
        <v>12</v>
      </c>
      <c r="C32" s="628" t="s">
        <v>1527</v>
      </c>
      <c r="E32" s="165" t="s">
        <v>1184</v>
      </c>
      <c r="F32" s="196"/>
      <c r="G32" s="629" t="s">
        <v>1513</v>
      </c>
      <c r="H32" s="147"/>
      <c r="I32" s="158">
        <v>12</v>
      </c>
      <c r="J32" s="165"/>
      <c r="K32" s="147"/>
      <c r="L32" s="165"/>
      <c r="M32" s="147"/>
      <c r="N32" s="201"/>
      <c r="O32" s="146"/>
      <c r="P32" s="158">
        <v>12</v>
      </c>
      <c r="Q32" s="165"/>
      <c r="R32" s="147"/>
      <c r="S32" s="165"/>
      <c r="T32" s="147"/>
      <c r="U32" s="201"/>
      <c r="V32" s="142"/>
      <c r="W32" s="158">
        <v>12</v>
      </c>
      <c r="X32" s="165"/>
      <c r="Y32" s="147"/>
      <c r="Z32" s="165"/>
      <c r="AA32" s="147"/>
      <c r="AB32" s="201"/>
      <c r="AC32" s="142"/>
      <c r="AD32" s="158">
        <v>12</v>
      </c>
      <c r="AE32" s="165"/>
      <c r="AF32" s="147"/>
      <c r="AG32" s="165"/>
      <c r="AH32" s="147"/>
      <c r="AI32" s="201"/>
      <c r="AJ32" s="142"/>
      <c r="AK32" s="158">
        <v>12</v>
      </c>
      <c r="AL32" s="165"/>
      <c r="AM32" s="147"/>
      <c r="AN32" s="165"/>
      <c r="AO32" s="147"/>
      <c r="AP32" s="201"/>
      <c r="AQ32" s="142"/>
      <c r="AR32" s="158">
        <v>12</v>
      </c>
      <c r="AS32" s="165"/>
      <c r="AT32" s="147"/>
      <c r="AU32" s="165"/>
      <c r="AV32" s="147"/>
      <c r="AW32" s="201"/>
      <c r="AX32" s="142"/>
      <c r="AY32" s="158">
        <v>12</v>
      </c>
      <c r="AZ32" s="165"/>
      <c r="BA32" s="147"/>
      <c r="BB32" s="165"/>
      <c r="BC32" s="147"/>
      <c r="BD32" s="201"/>
    </row>
    <row r="33" spans="2:56">
      <c r="B33" s="204">
        <v>13</v>
      </c>
      <c r="C33" s="628" t="s">
        <v>1528</v>
      </c>
      <c r="E33" s="165" t="s">
        <v>1184</v>
      </c>
      <c r="F33" s="196"/>
      <c r="G33" s="629" t="s">
        <v>1514</v>
      </c>
      <c r="H33" s="147"/>
      <c r="I33" s="158">
        <v>13</v>
      </c>
      <c r="J33" s="165"/>
      <c r="K33" s="147"/>
      <c r="L33" s="165"/>
      <c r="M33" s="147"/>
      <c r="N33" s="201"/>
      <c r="O33" s="146"/>
      <c r="P33" s="158">
        <v>13</v>
      </c>
      <c r="Q33" s="165"/>
      <c r="R33" s="147"/>
      <c r="S33" s="165"/>
      <c r="T33" s="147"/>
      <c r="U33" s="201"/>
      <c r="V33" s="142"/>
      <c r="W33" s="158">
        <v>13</v>
      </c>
      <c r="X33" s="165"/>
      <c r="Y33" s="147"/>
      <c r="Z33" s="165"/>
      <c r="AA33" s="147"/>
      <c r="AB33" s="201"/>
      <c r="AC33" s="142"/>
      <c r="AD33" s="158">
        <v>13</v>
      </c>
      <c r="AE33" s="165"/>
      <c r="AF33" s="147"/>
      <c r="AG33" s="165"/>
      <c r="AH33" s="147"/>
      <c r="AI33" s="201"/>
      <c r="AJ33" s="142"/>
      <c r="AK33" s="158">
        <v>13</v>
      </c>
      <c r="AL33" s="165"/>
      <c r="AM33" s="147"/>
      <c r="AN33" s="165"/>
      <c r="AO33" s="147"/>
      <c r="AP33" s="201"/>
      <c r="AQ33" s="142"/>
      <c r="AR33" s="158">
        <v>13</v>
      </c>
      <c r="AS33" s="165"/>
      <c r="AT33" s="147"/>
      <c r="AU33" s="165"/>
      <c r="AV33" s="147"/>
      <c r="AW33" s="201"/>
      <c r="AX33" s="142"/>
      <c r="AY33" s="158">
        <v>13</v>
      </c>
      <c r="AZ33" s="165"/>
      <c r="BA33" s="147"/>
      <c r="BB33" s="165"/>
      <c r="BC33" s="147"/>
      <c r="BD33" s="201"/>
    </row>
    <row r="34" spans="2:56">
      <c r="B34" s="204">
        <v>14</v>
      </c>
      <c r="C34" s="628" t="s">
        <v>1529</v>
      </c>
      <c r="E34" s="165" t="s">
        <v>1184</v>
      </c>
      <c r="F34" s="196"/>
      <c r="G34" s="629" t="s">
        <v>1515</v>
      </c>
      <c r="H34" s="147"/>
      <c r="I34" s="158">
        <v>14</v>
      </c>
      <c r="J34" s="165"/>
      <c r="K34" s="147"/>
      <c r="L34" s="165"/>
      <c r="M34" s="147"/>
      <c r="N34" s="201"/>
      <c r="O34" s="146"/>
      <c r="P34" s="158">
        <v>14</v>
      </c>
      <c r="Q34" s="165"/>
      <c r="R34" s="147"/>
      <c r="S34" s="165"/>
      <c r="T34" s="147"/>
      <c r="U34" s="201"/>
      <c r="V34" s="142"/>
      <c r="W34" s="158">
        <v>14</v>
      </c>
      <c r="X34" s="165"/>
      <c r="Y34" s="147"/>
      <c r="Z34" s="165"/>
      <c r="AA34" s="147"/>
      <c r="AB34" s="201"/>
      <c r="AC34" s="142"/>
      <c r="AD34" s="158">
        <v>14</v>
      </c>
      <c r="AE34" s="165"/>
      <c r="AF34" s="147"/>
      <c r="AG34" s="165"/>
      <c r="AH34" s="147"/>
      <c r="AI34" s="201"/>
      <c r="AJ34" s="142"/>
      <c r="AK34" s="158">
        <v>14</v>
      </c>
      <c r="AL34" s="165"/>
      <c r="AM34" s="147"/>
      <c r="AN34" s="165"/>
      <c r="AO34" s="147"/>
      <c r="AP34" s="201"/>
      <c r="AQ34" s="142"/>
      <c r="AR34" s="158">
        <v>14</v>
      </c>
      <c r="AS34" s="165"/>
      <c r="AT34" s="147"/>
      <c r="AU34" s="165"/>
      <c r="AV34" s="147"/>
      <c r="AW34" s="201"/>
      <c r="AX34" s="142"/>
      <c r="AY34" s="158">
        <v>14</v>
      </c>
      <c r="AZ34" s="165"/>
      <c r="BA34" s="147"/>
      <c r="BB34" s="165"/>
      <c r="BC34" s="147"/>
      <c r="BD34" s="201"/>
    </row>
    <row r="35" spans="2:56">
      <c r="B35" s="204">
        <v>15</v>
      </c>
      <c r="C35" s="628" t="s">
        <v>1530</v>
      </c>
      <c r="E35" s="165" t="s">
        <v>1184</v>
      </c>
      <c r="F35" s="196"/>
      <c r="G35" s="629" t="s">
        <v>1516</v>
      </c>
      <c r="H35" s="147"/>
      <c r="I35" s="158">
        <v>15</v>
      </c>
      <c r="J35" s="165"/>
      <c r="K35" s="147"/>
      <c r="L35" s="165"/>
      <c r="M35" s="147"/>
      <c r="N35" s="201"/>
      <c r="O35" s="146"/>
      <c r="P35" s="158">
        <v>15</v>
      </c>
      <c r="Q35" s="165"/>
      <c r="R35" s="147"/>
      <c r="S35" s="165"/>
      <c r="T35" s="147"/>
      <c r="U35" s="201"/>
      <c r="V35" s="142"/>
      <c r="W35" s="158">
        <v>15</v>
      </c>
      <c r="X35" s="165"/>
      <c r="Y35" s="147"/>
      <c r="Z35" s="165"/>
      <c r="AA35" s="147"/>
      <c r="AB35" s="201"/>
      <c r="AC35" s="142"/>
      <c r="AD35" s="158">
        <v>15</v>
      </c>
      <c r="AE35" s="165"/>
      <c r="AF35" s="147"/>
      <c r="AG35" s="165"/>
      <c r="AH35" s="147"/>
      <c r="AI35" s="201"/>
      <c r="AJ35" s="142"/>
      <c r="AK35" s="158">
        <v>15</v>
      </c>
      <c r="AL35" s="165"/>
      <c r="AM35" s="147"/>
      <c r="AN35" s="165"/>
      <c r="AO35" s="147"/>
      <c r="AP35" s="201"/>
      <c r="AQ35" s="142"/>
      <c r="AR35" s="158">
        <v>15</v>
      </c>
      <c r="AS35" s="165"/>
      <c r="AT35" s="147"/>
      <c r="AU35" s="165"/>
      <c r="AV35" s="147"/>
      <c r="AW35" s="201"/>
      <c r="AX35" s="142"/>
      <c r="AY35" s="158">
        <v>15</v>
      </c>
      <c r="AZ35" s="165"/>
      <c r="BA35" s="147"/>
      <c r="BB35" s="165"/>
      <c r="BC35" s="147"/>
      <c r="BD35" s="201"/>
    </row>
    <row r="36" spans="2:56">
      <c r="B36" s="204">
        <v>16</v>
      </c>
      <c r="C36" s="628" t="s">
        <v>1531</v>
      </c>
      <c r="E36" s="165" t="s">
        <v>1184</v>
      </c>
      <c r="F36" s="196"/>
      <c r="G36" s="629" t="s">
        <v>1517</v>
      </c>
      <c r="H36" s="147"/>
      <c r="I36" s="158">
        <v>16</v>
      </c>
      <c r="J36" s="165"/>
      <c r="K36" s="147"/>
      <c r="L36" s="165"/>
      <c r="M36" s="147"/>
      <c r="N36" s="201"/>
      <c r="O36" s="146"/>
      <c r="P36" s="158">
        <v>16</v>
      </c>
      <c r="Q36" s="165"/>
      <c r="R36" s="147"/>
      <c r="S36" s="165"/>
      <c r="T36" s="147"/>
      <c r="U36" s="201"/>
      <c r="V36" s="142"/>
      <c r="W36" s="158">
        <v>16</v>
      </c>
      <c r="X36" s="165"/>
      <c r="Y36" s="147"/>
      <c r="Z36" s="165"/>
      <c r="AA36" s="147"/>
      <c r="AB36" s="201"/>
      <c r="AC36" s="142"/>
      <c r="AD36" s="158">
        <v>16</v>
      </c>
      <c r="AE36" s="165"/>
      <c r="AF36" s="147"/>
      <c r="AG36" s="165"/>
      <c r="AH36" s="147"/>
      <c r="AI36" s="201"/>
      <c r="AJ36" s="142"/>
      <c r="AK36" s="158">
        <v>16</v>
      </c>
      <c r="AL36" s="165"/>
      <c r="AM36" s="147"/>
      <c r="AN36" s="165"/>
      <c r="AO36" s="147"/>
      <c r="AP36" s="201"/>
      <c r="AQ36" s="142"/>
      <c r="AR36" s="158">
        <v>16</v>
      </c>
      <c r="AS36" s="165"/>
      <c r="AT36" s="147"/>
      <c r="AU36" s="165"/>
      <c r="AV36" s="147"/>
      <c r="AW36" s="201"/>
      <c r="AX36" s="142"/>
      <c r="AY36" s="158">
        <v>16</v>
      </c>
      <c r="AZ36" s="165"/>
      <c r="BA36" s="147"/>
      <c r="BB36" s="165"/>
      <c r="BC36" s="147"/>
      <c r="BD36" s="201"/>
    </row>
    <row r="37" spans="2:56">
      <c r="B37" s="204">
        <v>17</v>
      </c>
      <c r="C37" s="628" t="s">
        <v>1792</v>
      </c>
      <c r="E37" s="165" t="s">
        <v>1184</v>
      </c>
      <c r="F37" s="196"/>
      <c r="G37" s="638" t="s">
        <v>1518</v>
      </c>
      <c r="H37" s="147"/>
      <c r="I37" s="158">
        <v>17</v>
      </c>
      <c r="J37" s="165"/>
      <c r="K37" s="147"/>
      <c r="L37" s="165"/>
      <c r="M37" s="147"/>
      <c r="N37" s="201"/>
      <c r="O37" s="146"/>
      <c r="P37" s="158">
        <v>17</v>
      </c>
      <c r="Q37" s="165"/>
      <c r="R37" s="147"/>
      <c r="S37" s="165"/>
      <c r="T37" s="147"/>
      <c r="U37" s="201"/>
      <c r="V37" s="142"/>
      <c r="W37" s="158">
        <v>17</v>
      </c>
      <c r="X37" s="165"/>
      <c r="Y37" s="147"/>
      <c r="Z37" s="165"/>
      <c r="AA37" s="147"/>
      <c r="AB37" s="201"/>
      <c r="AC37" s="142"/>
      <c r="AD37" s="158">
        <v>17</v>
      </c>
      <c r="AE37" s="165"/>
      <c r="AF37" s="147"/>
      <c r="AG37" s="165"/>
      <c r="AH37" s="147"/>
      <c r="AI37" s="201"/>
      <c r="AJ37" s="142"/>
      <c r="AK37" s="158">
        <v>17</v>
      </c>
      <c r="AL37" s="165"/>
      <c r="AM37" s="147"/>
      <c r="AN37" s="165"/>
      <c r="AO37" s="147"/>
      <c r="AP37" s="201"/>
      <c r="AQ37" s="142"/>
      <c r="AR37" s="158">
        <v>17</v>
      </c>
      <c r="AS37" s="165"/>
      <c r="AT37" s="147"/>
      <c r="AU37" s="165"/>
      <c r="AV37" s="147"/>
      <c r="AW37" s="201"/>
      <c r="AX37" s="142"/>
      <c r="AY37" s="158">
        <v>17</v>
      </c>
      <c r="AZ37" s="165"/>
      <c r="BA37" s="147"/>
      <c r="BB37" s="165"/>
      <c r="BC37" s="147"/>
      <c r="BD37" s="201"/>
    </row>
    <row r="38" spans="2:56">
      <c r="B38" s="204">
        <v>18</v>
      </c>
      <c r="C38" s="628"/>
      <c r="E38" s="165"/>
      <c r="F38" s="196"/>
      <c r="G38" s="629"/>
      <c r="H38" s="147"/>
      <c r="I38" s="158">
        <v>18</v>
      </c>
      <c r="J38" s="165"/>
      <c r="K38" s="147"/>
      <c r="L38" s="165"/>
      <c r="M38" s="147"/>
      <c r="N38" s="201"/>
      <c r="O38" s="146"/>
      <c r="P38" s="158">
        <v>18</v>
      </c>
      <c r="Q38" s="165"/>
      <c r="R38" s="147"/>
      <c r="S38" s="165"/>
      <c r="T38" s="147"/>
      <c r="U38" s="201"/>
      <c r="V38" s="142"/>
      <c r="W38" s="158">
        <v>18</v>
      </c>
      <c r="X38" s="165"/>
      <c r="Y38" s="147"/>
      <c r="Z38" s="165"/>
      <c r="AA38" s="147"/>
      <c r="AB38" s="201"/>
      <c r="AC38" s="142"/>
      <c r="AD38" s="158">
        <v>18</v>
      </c>
      <c r="AE38" s="165"/>
      <c r="AF38" s="147"/>
      <c r="AG38" s="165"/>
      <c r="AH38" s="147"/>
      <c r="AI38" s="201"/>
      <c r="AJ38" s="142"/>
      <c r="AK38" s="158">
        <v>18</v>
      </c>
      <c r="AL38" s="165"/>
      <c r="AM38" s="147"/>
      <c r="AN38" s="165"/>
      <c r="AO38" s="147"/>
      <c r="AP38" s="201"/>
      <c r="AQ38" s="142"/>
      <c r="AR38" s="158">
        <v>18</v>
      </c>
      <c r="AS38" s="165"/>
      <c r="AT38" s="147"/>
      <c r="AU38" s="165"/>
      <c r="AV38" s="147"/>
      <c r="AW38" s="201"/>
      <c r="AX38" s="142"/>
      <c r="AY38" s="158">
        <v>18</v>
      </c>
      <c r="AZ38" s="165"/>
      <c r="BA38" s="147"/>
      <c r="BB38" s="165"/>
      <c r="BC38" s="147"/>
      <c r="BD38" s="201"/>
    </row>
    <row r="39" spans="2:56">
      <c r="B39" s="204">
        <v>19</v>
      </c>
      <c r="C39" s="399"/>
      <c r="E39" s="165"/>
      <c r="F39" s="196"/>
      <c r="G39" s="629"/>
      <c r="H39" s="147"/>
      <c r="I39" s="158">
        <v>19</v>
      </c>
      <c r="J39" s="165"/>
      <c r="K39" s="147"/>
      <c r="L39" s="165"/>
      <c r="M39" s="147"/>
      <c r="N39" s="201"/>
      <c r="O39" s="146"/>
      <c r="P39" s="158">
        <v>19</v>
      </c>
      <c r="Q39" s="165"/>
      <c r="R39" s="147"/>
      <c r="S39" s="165"/>
      <c r="T39" s="147"/>
      <c r="U39" s="201"/>
      <c r="V39" s="142"/>
      <c r="W39" s="158">
        <v>19</v>
      </c>
      <c r="X39" s="165"/>
      <c r="Y39" s="147"/>
      <c r="Z39" s="165"/>
      <c r="AA39" s="147"/>
      <c r="AB39" s="201"/>
      <c r="AC39" s="142"/>
      <c r="AD39" s="158">
        <v>19</v>
      </c>
      <c r="AE39" s="165"/>
      <c r="AF39" s="147"/>
      <c r="AG39" s="165"/>
      <c r="AH39" s="147"/>
      <c r="AI39" s="201"/>
      <c r="AJ39" s="142"/>
      <c r="AK39" s="158">
        <v>19</v>
      </c>
      <c r="AL39" s="165"/>
      <c r="AM39" s="147"/>
      <c r="AN39" s="165"/>
      <c r="AO39" s="147"/>
      <c r="AP39" s="201"/>
      <c r="AQ39" s="142"/>
      <c r="AR39" s="158">
        <v>19</v>
      </c>
      <c r="AS39" s="165"/>
      <c r="AT39" s="147"/>
      <c r="AU39" s="165"/>
      <c r="AV39" s="147"/>
      <c r="AW39" s="201"/>
      <c r="AX39" s="142"/>
      <c r="AY39" s="158">
        <v>19</v>
      </c>
      <c r="AZ39" s="165"/>
      <c r="BA39" s="147"/>
      <c r="BB39" s="165"/>
      <c r="BC39" s="147"/>
      <c r="BD39" s="201"/>
    </row>
    <row r="40" spans="2:56">
      <c r="B40" s="204">
        <v>20</v>
      </c>
      <c r="C40" s="399"/>
      <c r="E40" s="165"/>
      <c r="F40" s="196"/>
      <c r="G40" s="198"/>
      <c r="H40" s="147"/>
      <c r="I40" s="158">
        <v>20</v>
      </c>
      <c r="J40" s="165"/>
      <c r="K40" s="147"/>
      <c r="L40" s="165"/>
      <c r="M40" s="147"/>
      <c r="N40" s="201"/>
      <c r="O40" s="146"/>
      <c r="P40" s="158">
        <v>20</v>
      </c>
      <c r="Q40" s="165"/>
      <c r="R40" s="147"/>
      <c r="S40" s="165"/>
      <c r="T40" s="147"/>
      <c r="U40" s="201"/>
      <c r="V40" s="142"/>
      <c r="W40" s="158">
        <v>20</v>
      </c>
      <c r="X40" s="165"/>
      <c r="Y40" s="147"/>
      <c r="Z40" s="165"/>
      <c r="AA40" s="147"/>
      <c r="AB40" s="201"/>
      <c r="AC40" s="142"/>
      <c r="AD40" s="158">
        <v>20</v>
      </c>
      <c r="AE40" s="165"/>
      <c r="AF40" s="147"/>
      <c r="AG40" s="165"/>
      <c r="AH40" s="147"/>
      <c r="AI40" s="201"/>
      <c r="AJ40" s="142"/>
      <c r="AK40" s="158">
        <v>20</v>
      </c>
      <c r="AL40" s="165"/>
      <c r="AM40" s="147"/>
      <c r="AN40" s="165"/>
      <c r="AO40" s="147"/>
      <c r="AP40" s="201"/>
      <c r="AQ40" s="142"/>
      <c r="AR40" s="158">
        <v>20</v>
      </c>
      <c r="AS40" s="165"/>
      <c r="AT40" s="147"/>
      <c r="AU40" s="165"/>
      <c r="AV40" s="147"/>
      <c r="AW40" s="201"/>
      <c r="AX40" s="142"/>
      <c r="AY40" s="158">
        <v>20</v>
      </c>
      <c r="AZ40" s="165"/>
      <c r="BA40" s="147"/>
      <c r="BB40" s="165"/>
      <c r="BC40" s="147"/>
      <c r="BD40" s="201"/>
    </row>
    <row r="41" spans="2:56">
      <c r="B41" s="204">
        <v>21</v>
      </c>
      <c r="C41" s="165"/>
      <c r="E41" s="165"/>
      <c r="F41" s="196"/>
      <c r="G41" s="198"/>
      <c r="H41" s="147"/>
      <c r="I41" s="158">
        <v>21</v>
      </c>
      <c r="J41" s="165"/>
      <c r="K41" s="147"/>
      <c r="L41" s="165"/>
      <c r="M41" s="147"/>
      <c r="N41" s="201"/>
      <c r="O41" s="146"/>
      <c r="P41" s="158">
        <v>21</v>
      </c>
      <c r="Q41" s="165"/>
      <c r="R41" s="147"/>
      <c r="S41" s="165"/>
      <c r="T41" s="147"/>
      <c r="U41" s="201"/>
      <c r="V41" s="142"/>
      <c r="W41" s="158">
        <v>21</v>
      </c>
      <c r="X41" s="165"/>
      <c r="Y41" s="147"/>
      <c r="Z41" s="165"/>
      <c r="AA41" s="147"/>
      <c r="AB41" s="201"/>
      <c r="AC41" s="142"/>
      <c r="AD41" s="158">
        <v>21</v>
      </c>
      <c r="AE41" s="165"/>
      <c r="AF41" s="147"/>
      <c r="AG41" s="165"/>
      <c r="AH41" s="147"/>
      <c r="AI41" s="201"/>
      <c r="AJ41" s="142"/>
      <c r="AK41" s="158">
        <v>21</v>
      </c>
      <c r="AL41" s="165"/>
      <c r="AM41" s="147"/>
      <c r="AN41" s="165"/>
      <c r="AO41" s="147"/>
      <c r="AP41" s="201"/>
      <c r="AQ41" s="142"/>
      <c r="AR41" s="158">
        <v>21</v>
      </c>
      <c r="AS41" s="165"/>
      <c r="AT41" s="147"/>
      <c r="AU41" s="165"/>
      <c r="AV41" s="147"/>
      <c r="AW41" s="201"/>
      <c r="AX41" s="142"/>
      <c r="AY41" s="158">
        <v>21</v>
      </c>
      <c r="AZ41" s="165"/>
      <c r="BA41" s="147"/>
      <c r="BB41" s="165"/>
      <c r="BC41" s="147"/>
      <c r="BD41" s="201"/>
    </row>
    <row r="42" spans="2:56">
      <c r="B42" s="204">
        <v>22</v>
      </c>
      <c r="C42" s="165"/>
      <c r="E42" s="165"/>
      <c r="F42" s="196"/>
      <c r="G42" s="198"/>
      <c r="H42" s="147"/>
      <c r="I42" s="158">
        <v>22</v>
      </c>
      <c r="J42" s="165"/>
      <c r="K42" s="147"/>
      <c r="L42" s="165"/>
      <c r="M42" s="147"/>
      <c r="N42" s="201"/>
      <c r="O42" s="146"/>
      <c r="P42" s="158">
        <v>22</v>
      </c>
      <c r="Q42" s="165"/>
      <c r="R42" s="147"/>
      <c r="S42" s="165"/>
      <c r="T42" s="147"/>
      <c r="U42" s="201"/>
      <c r="V42" s="142"/>
      <c r="W42" s="158">
        <v>22</v>
      </c>
      <c r="X42" s="165"/>
      <c r="Y42" s="147"/>
      <c r="Z42" s="165"/>
      <c r="AA42" s="147"/>
      <c r="AB42" s="201"/>
      <c r="AC42" s="142"/>
      <c r="AD42" s="158">
        <v>22</v>
      </c>
      <c r="AE42" s="165"/>
      <c r="AF42" s="147"/>
      <c r="AG42" s="165"/>
      <c r="AH42" s="147"/>
      <c r="AI42" s="201"/>
      <c r="AJ42" s="142"/>
      <c r="AK42" s="158">
        <v>22</v>
      </c>
      <c r="AL42" s="165"/>
      <c r="AM42" s="147"/>
      <c r="AN42" s="165"/>
      <c r="AO42" s="147"/>
      <c r="AP42" s="201"/>
      <c r="AQ42" s="142"/>
      <c r="AR42" s="158">
        <v>22</v>
      </c>
      <c r="AS42" s="165"/>
      <c r="AT42" s="147"/>
      <c r="AU42" s="165"/>
      <c r="AV42" s="147"/>
      <c r="AW42" s="201"/>
      <c r="AX42" s="142"/>
      <c r="AY42" s="158">
        <v>22</v>
      </c>
      <c r="AZ42" s="165"/>
      <c r="BA42" s="147"/>
      <c r="BB42" s="165"/>
      <c r="BC42" s="147"/>
      <c r="BD42" s="201"/>
    </row>
    <row r="43" spans="2:56">
      <c r="B43" s="204">
        <v>23</v>
      </c>
      <c r="C43" s="165"/>
      <c r="E43" s="165"/>
      <c r="F43" s="196"/>
      <c r="G43" s="198"/>
      <c r="H43" s="147"/>
      <c r="I43" s="158">
        <v>23</v>
      </c>
      <c r="J43" s="165"/>
      <c r="K43" s="147"/>
      <c r="L43" s="165"/>
      <c r="M43" s="147"/>
      <c r="N43" s="201"/>
      <c r="O43" s="146"/>
      <c r="P43" s="158">
        <v>23</v>
      </c>
      <c r="Q43" s="165"/>
      <c r="R43" s="147"/>
      <c r="S43" s="165"/>
      <c r="T43" s="147"/>
      <c r="U43" s="201"/>
      <c r="V43" s="142"/>
      <c r="W43" s="158">
        <v>23</v>
      </c>
      <c r="X43" s="165"/>
      <c r="Y43" s="147"/>
      <c r="Z43" s="165"/>
      <c r="AA43" s="147"/>
      <c r="AB43" s="201"/>
      <c r="AC43" s="142"/>
      <c r="AD43" s="158">
        <v>23</v>
      </c>
      <c r="AE43" s="165"/>
      <c r="AF43" s="147"/>
      <c r="AG43" s="165"/>
      <c r="AH43" s="147"/>
      <c r="AI43" s="201"/>
      <c r="AJ43" s="142"/>
      <c r="AK43" s="158">
        <v>23</v>
      </c>
      <c r="AL43" s="165"/>
      <c r="AM43" s="147"/>
      <c r="AN43" s="165"/>
      <c r="AO43" s="147"/>
      <c r="AP43" s="201"/>
      <c r="AQ43" s="142"/>
      <c r="AR43" s="158">
        <v>23</v>
      </c>
      <c r="AS43" s="165"/>
      <c r="AT43" s="147"/>
      <c r="AU43" s="165"/>
      <c r="AV43" s="147"/>
      <c r="AW43" s="201"/>
      <c r="AX43" s="142"/>
      <c r="AY43" s="158">
        <v>23</v>
      </c>
      <c r="AZ43" s="165"/>
      <c r="BA43" s="147"/>
      <c r="BB43" s="165"/>
      <c r="BC43" s="147"/>
      <c r="BD43" s="201"/>
    </row>
    <row r="44" spans="2:56">
      <c r="B44" s="204">
        <v>24</v>
      </c>
      <c r="C44" s="165"/>
      <c r="E44" s="165"/>
      <c r="F44" s="196"/>
      <c r="G44" s="198"/>
      <c r="H44" s="147"/>
      <c r="I44" s="158">
        <v>24</v>
      </c>
      <c r="J44" s="165"/>
      <c r="K44" s="147"/>
      <c r="L44" s="165"/>
      <c r="M44" s="147"/>
      <c r="N44" s="201"/>
      <c r="O44" s="146"/>
      <c r="P44" s="158">
        <v>24</v>
      </c>
      <c r="Q44" s="165"/>
      <c r="R44" s="147"/>
      <c r="S44" s="165"/>
      <c r="T44" s="147"/>
      <c r="U44" s="201"/>
      <c r="V44" s="142"/>
      <c r="W44" s="158">
        <v>24</v>
      </c>
      <c r="X44" s="165"/>
      <c r="Y44" s="147"/>
      <c r="Z44" s="165"/>
      <c r="AA44" s="147"/>
      <c r="AB44" s="201"/>
      <c r="AC44" s="142"/>
      <c r="AD44" s="158">
        <v>24</v>
      </c>
      <c r="AE44" s="165"/>
      <c r="AF44" s="147"/>
      <c r="AG44" s="165"/>
      <c r="AH44" s="147"/>
      <c r="AI44" s="201"/>
      <c r="AJ44" s="142"/>
      <c r="AK44" s="158">
        <v>24</v>
      </c>
      <c r="AL44" s="165"/>
      <c r="AM44" s="147"/>
      <c r="AN44" s="165"/>
      <c r="AO44" s="147"/>
      <c r="AP44" s="201"/>
      <c r="AQ44" s="142"/>
      <c r="AR44" s="158">
        <v>24</v>
      </c>
      <c r="AS44" s="165"/>
      <c r="AT44" s="147"/>
      <c r="AU44" s="165"/>
      <c r="AV44" s="147"/>
      <c r="AW44" s="201"/>
      <c r="AX44" s="142"/>
      <c r="AY44" s="158">
        <v>24</v>
      </c>
      <c r="AZ44" s="165"/>
      <c r="BA44" s="147"/>
      <c r="BB44" s="165"/>
      <c r="BC44" s="147"/>
      <c r="BD44" s="201"/>
    </row>
    <row r="45" spans="2:56">
      <c r="B45" s="204">
        <v>25</v>
      </c>
      <c r="C45" s="165"/>
      <c r="E45" s="165"/>
      <c r="F45" s="196"/>
      <c r="G45" s="198"/>
      <c r="H45" s="147"/>
      <c r="I45" s="158">
        <v>25</v>
      </c>
      <c r="J45" s="165"/>
      <c r="K45" s="147"/>
      <c r="L45" s="165"/>
      <c r="M45" s="147"/>
      <c r="N45" s="201"/>
      <c r="O45" s="146"/>
      <c r="P45" s="158">
        <v>25</v>
      </c>
      <c r="Q45" s="165"/>
      <c r="R45" s="147"/>
      <c r="S45" s="165"/>
      <c r="T45" s="147"/>
      <c r="U45" s="201"/>
      <c r="V45" s="142"/>
      <c r="W45" s="158">
        <v>25</v>
      </c>
      <c r="X45" s="165"/>
      <c r="Y45" s="147"/>
      <c r="Z45" s="165"/>
      <c r="AA45" s="147"/>
      <c r="AB45" s="201"/>
      <c r="AC45" s="142"/>
      <c r="AD45" s="158">
        <v>25</v>
      </c>
      <c r="AE45" s="165"/>
      <c r="AF45" s="147"/>
      <c r="AG45" s="165"/>
      <c r="AH45" s="147"/>
      <c r="AI45" s="201"/>
      <c r="AJ45" s="142"/>
      <c r="AK45" s="158">
        <v>25</v>
      </c>
      <c r="AL45" s="165"/>
      <c r="AM45" s="147"/>
      <c r="AN45" s="165"/>
      <c r="AO45" s="147"/>
      <c r="AP45" s="201"/>
      <c r="AQ45" s="142"/>
      <c r="AR45" s="158">
        <v>25</v>
      </c>
      <c r="AS45" s="165"/>
      <c r="AT45" s="147"/>
      <c r="AU45" s="165"/>
      <c r="AV45" s="147"/>
      <c r="AW45" s="201"/>
      <c r="AX45" s="142"/>
      <c r="AY45" s="158">
        <v>25</v>
      </c>
      <c r="AZ45" s="165"/>
      <c r="BA45" s="147"/>
      <c r="BB45" s="165"/>
      <c r="BC45" s="147"/>
      <c r="BD45" s="201"/>
    </row>
    <row r="46" spans="2:56">
      <c r="B46" s="204">
        <v>26</v>
      </c>
      <c r="C46" s="165"/>
      <c r="E46" s="165"/>
      <c r="F46" s="196"/>
      <c r="G46" s="198"/>
      <c r="H46" s="147"/>
      <c r="I46" s="158">
        <v>26</v>
      </c>
      <c r="J46" s="165"/>
      <c r="K46" s="147"/>
      <c r="L46" s="165"/>
      <c r="M46" s="147"/>
      <c r="N46" s="201"/>
      <c r="O46" s="146"/>
      <c r="P46" s="158">
        <v>26</v>
      </c>
      <c r="Q46" s="165"/>
      <c r="R46" s="147"/>
      <c r="S46" s="165"/>
      <c r="T46" s="147"/>
      <c r="U46" s="201"/>
      <c r="V46" s="142"/>
      <c r="W46" s="158">
        <v>26</v>
      </c>
      <c r="X46" s="165"/>
      <c r="Y46" s="147"/>
      <c r="Z46" s="165"/>
      <c r="AA46" s="147"/>
      <c r="AB46" s="201"/>
      <c r="AC46" s="142"/>
      <c r="AD46" s="158">
        <v>26</v>
      </c>
      <c r="AE46" s="165"/>
      <c r="AF46" s="147"/>
      <c r="AG46" s="165"/>
      <c r="AH46" s="147"/>
      <c r="AI46" s="201"/>
      <c r="AJ46" s="142"/>
      <c r="AK46" s="158">
        <v>26</v>
      </c>
      <c r="AL46" s="165"/>
      <c r="AM46" s="147"/>
      <c r="AN46" s="165"/>
      <c r="AO46" s="147"/>
      <c r="AP46" s="201"/>
      <c r="AQ46" s="142"/>
      <c r="AR46" s="158">
        <v>26</v>
      </c>
      <c r="AS46" s="165"/>
      <c r="AT46" s="147"/>
      <c r="AU46" s="165"/>
      <c r="AV46" s="147"/>
      <c r="AW46" s="201"/>
      <c r="AX46" s="142"/>
      <c r="AY46" s="158">
        <v>26</v>
      </c>
      <c r="AZ46" s="165"/>
      <c r="BA46" s="147"/>
      <c r="BB46" s="165"/>
      <c r="BC46" s="147"/>
      <c r="BD46" s="201"/>
    </row>
    <row r="47" spans="2:56">
      <c r="B47" s="204">
        <v>27</v>
      </c>
      <c r="C47" s="165"/>
      <c r="E47" s="165"/>
      <c r="F47" s="196"/>
      <c r="G47" s="198"/>
      <c r="H47" s="147"/>
      <c r="I47" s="158">
        <v>27</v>
      </c>
      <c r="J47" s="165"/>
      <c r="K47" s="147"/>
      <c r="L47" s="165"/>
      <c r="M47" s="147"/>
      <c r="N47" s="201"/>
      <c r="O47" s="146"/>
      <c r="P47" s="158">
        <v>27</v>
      </c>
      <c r="Q47" s="165"/>
      <c r="R47" s="147"/>
      <c r="S47" s="165"/>
      <c r="T47" s="147"/>
      <c r="U47" s="201"/>
      <c r="V47" s="142"/>
      <c r="W47" s="158">
        <v>27</v>
      </c>
      <c r="X47" s="165"/>
      <c r="Y47" s="147"/>
      <c r="Z47" s="165"/>
      <c r="AA47" s="147"/>
      <c r="AB47" s="201"/>
      <c r="AC47" s="142"/>
      <c r="AD47" s="158">
        <v>27</v>
      </c>
      <c r="AE47" s="165"/>
      <c r="AF47" s="147"/>
      <c r="AG47" s="165"/>
      <c r="AH47" s="147"/>
      <c r="AI47" s="201"/>
      <c r="AJ47" s="142"/>
      <c r="AK47" s="158">
        <v>27</v>
      </c>
      <c r="AL47" s="165"/>
      <c r="AM47" s="147"/>
      <c r="AN47" s="165"/>
      <c r="AO47" s="147"/>
      <c r="AP47" s="201"/>
      <c r="AQ47" s="142"/>
      <c r="AR47" s="158">
        <v>27</v>
      </c>
      <c r="AS47" s="165"/>
      <c r="AT47" s="147"/>
      <c r="AU47" s="165"/>
      <c r="AV47" s="147"/>
      <c r="AW47" s="201"/>
      <c r="AX47" s="142"/>
      <c r="AY47" s="158">
        <v>27</v>
      </c>
      <c r="AZ47" s="165"/>
      <c r="BA47" s="147"/>
      <c r="BB47" s="165"/>
      <c r="BC47" s="147"/>
      <c r="BD47" s="201"/>
    </row>
    <row r="48" spans="2:56">
      <c r="B48" s="204">
        <v>28</v>
      </c>
      <c r="C48" s="165"/>
      <c r="E48" s="165"/>
      <c r="F48" s="196"/>
      <c r="G48" s="198"/>
      <c r="H48" s="147"/>
      <c r="I48" s="158">
        <v>28</v>
      </c>
      <c r="J48" s="165"/>
      <c r="K48" s="147"/>
      <c r="L48" s="165"/>
      <c r="M48" s="147"/>
      <c r="N48" s="201"/>
      <c r="O48" s="146"/>
      <c r="P48" s="158">
        <v>28</v>
      </c>
      <c r="Q48" s="165"/>
      <c r="R48" s="147"/>
      <c r="S48" s="165"/>
      <c r="T48" s="147"/>
      <c r="U48" s="201"/>
      <c r="V48" s="142"/>
      <c r="W48" s="158">
        <v>28</v>
      </c>
      <c r="X48" s="165"/>
      <c r="Y48" s="147"/>
      <c r="Z48" s="165"/>
      <c r="AA48" s="147"/>
      <c r="AB48" s="201"/>
      <c r="AC48" s="142"/>
      <c r="AD48" s="158">
        <v>28</v>
      </c>
      <c r="AE48" s="165"/>
      <c r="AF48" s="147"/>
      <c r="AG48" s="165"/>
      <c r="AH48" s="147"/>
      <c r="AI48" s="201"/>
      <c r="AJ48" s="142"/>
      <c r="AK48" s="158">
        <v>28</v>
      </c>
      <c r="AL48" s="165"/>
      <c r="AM48" s="147"/>
      <c r="AN48" s="165"/>
      <c r="AO48" s="147"/>
      <c r="AP48" s="201"/>
      <c r="AQ48" s="142"/>
      <c r="AR48" s="158">
        <v>28</v>
      </c>
      <c r="AS48" s="165"/>
      <c r="AT48" s="147"/>
      <c r="AU48" s="165"/>
      <c r="AV48" s="147"/>
      <c r="AW48" s="201"/>
      <c r="AX48" s="142"/>
      <c r="AY48" s="158">
        <v>28</v>
      </c>
      <c r="AZ48" s="165"/>
      <c r="BA48" s="147"/>
      <c r="BB48" s="165"/>
      <c r="BC48" s="147"/>
      <c r="BD48" s="201"/>
    </row>
    <row r="49" spans="2:56">
      <c r="B49" s="204">
        <v>29</v>
      </c>
      <c r="C49" s="165"/>
      <c r="E49" s="165"/>
      <c r="F49" s="196"/>
      <c r="G49" s="198"/>
      <c r="H49" s="147"/>
      <c r="I49" s="158">
        <v>29</v>
      </c>
      <c r="J49" s="165"/>
      <c r="K49" s="147"/>
      <c r="L49" s="165"/>
      <c r="M49" s="147"/>
      <c r="N49" s="201"/>
      <c r="O49" s="146"/>
      <c r="P49" s="158">
        <v>29</v>
      </c>
      <c r="Q49" s="165"/>
      <c r="R49" s="147"/>
      <c r="S49" s="165"/>
      <c r="T49" s="147"/>
      <c r="U49" s="201"/>
      <c r="V49" s="142"/>
      <c r="W49" s="158">
        <v>29</v>
      </c>
      <c r="X49" s="165"/>
      <c r="Y49" s="147"/>
      <c r="Z49" s="165"/>
      <c r="AA49" s="147"/>
      <c r="AB49" s="201"/>
      <c r="AC49" s="142"/>
      <c r="AD49" s="158">
        <v>29</v>
      </c>
      <c r="AE49" s="165"/>
      <c r="AF49" s="147"/>
      <c r="AG49" s="165"/>
      <c r="AH49" s="147"/>
      <c r="AI49" s="201"/>
      <c r="AJ49" s="142"/>
      <c r="AK49" s="158">
        <v>29</v>
      </c>
      <c r="AL49" s="165"/>
      <c r="AM49" s="147"/>
      <c r="AN49" s="165"/>
      <c r="AO49" s="147"/>
      <c r="AP49" s="201"/>
      <c r="AQ49" s="142"/>
      <c r="AR49" s="158">
        <v>29</v>
      </c>
      <c r="AS49" s="165"/>
      <c r="AT49" s="147"/>
      <c r="AU49" s="165"/>
      <c r="AV49" s="147"/>
      <c r="AW49" s="201"/>
      <c r="AX49" s="142"/>
      <c r="AY49" s="158">
        <v>29</v>
      </c>
      <c r="AZ49" s="165"/>
      <c r="BA49" s="147"/>
      <c r="BB49" s="165"/>
      <c r="BC49" s="147"/>
      <c r="BD49" s="201"/>
    </row>
    <row r="50" spans="2:56">
      <c r="B50" s="204">
        <v>30</v>
      </c>
      <c r="C50" s="165"/>
      <c r="E50" s="165"/>
      <c r="F50" s="196"/>
      <c r="G50" s="198"/>
      <c r="H50" s="147"/>
      <c r="I50" s="158">
        <v>30</v>
      </c>
      <c r="J50" s="165"/>
      <c r="K50" s="147"/>
      <c r="L50" s="165"/>
      <c r="M50" s="147"/>
      <c r="N50" s="201"/>
      <c r="O50" s="146"/>
      <c r="P50" s="158">
        <v>30</v>
      </c>
      <c r="Q50" s="165"/>
      <c r="R50" s="147"/>
      <c r="S50" s="165"/>
      <c r="T50" s="147"/>
      <c r="U50" s="201"/>
      <c r="V50" s="142"/>
      <c r="W50" s="158">
        <v>30</v>
      </c>
      <c r="X50" s="165"/>
      <c r="Y50" s="147"/>
      <c r="Z50" s="165"/>
      <c r="AA50" s="147"/>
      <c r="AB50" s="201"/>
      <c r="AC50" s="142"/>
      <c r="AD50" s="158">
        <v>30</v>
      </c>
      <c r="AE50" s="165"/>
      <c r="AF50" s="147"/>
      <c r="AG50" s="165"/>
      <c r="AH50" s="147"/>
      <c r="AI50" s="201"/>
      <c r="AJ50" s="142"/>
      <c r="AK50" s="158">
        <v>30</v>
      </c>
      <c r="AL50" s="165"/>
      <c r="AM50" s="147"/>
      <c r="AN50" s="165"/>
      <c r="AO50" s="147"/>
      <c r="AP50" s="201"/>
      <c r="AQ50" s="142"/>
      <c r="AR50" s="158">
        <v>30</v>
      </c>
      <c r="AS50" s="165"/>
      <c r="AT50" s="147"/>
      <c r="AU50" s="165"/>
      <c r="AV50" s="147"/>
      <c r="AW50" s="201"/>
      <c r="AX50" s="142"/>
      <c r="AY50" s="158">
        <v>30</v>
      </c>
      <c r="AZ50" s="165"/>
      <c r="BA50" s="147"/>
      <c r="BB50" s="165"/>
      <c r="BC50" s="147"/>
      <c r="BD50" s="201"/>
    </row>
    <row r="51" spans="2:56">
      <c r="B51" s="204">
        <v>31</v>
      </c>
      <c r="C51" s="165"/>
      <c r="E51" s="165"/>
      <c r="F51" s="196"/>
      <c r="G51" s="198"/>
      <c r="H51" s="147"/>
      <c r="I51" s="158">
        <v>31</v>
      </c>
      <c r="J51" s="165"/>
      <c r="K51" s="147"/>
      <c r="L51" s="165"/>
      <c r="M51" s="147"/>
      <c r="N51" s="201"/>
      <c r="O51" s="146"/>
      <c r="P51" s="158">
        <v>31</v>
      </c>
      <c r="Q51" s="165"/>
      <c r="R51" s="147"/>
      <c r="S51" s="165"/>
      <c r="T51" s="147"/>
      <c r="U51" s="201"/>
      <c r="V51" s="142"/>
      <c r="W51" s="158">
        <v>31</v>
      </c>
      <c r="X51" s="165"/>
      <c r="Y51" s="147"/>
      <c r="Z51" s="165"/>
      <c r="AA51" s="147"/>
      <c r="AB51" s="201"/>
      <c r="AC51" s="142"/>
      <c r="AD51" s="158">
        <v>31</v>
      </c>
      <c r="AE51" s="165"/>
      <c r="AF51" s="147"/>
      <c r="AG51" s="165"/>
      <c r="AH51" s="147"/>
      <c r="AI51" s="201"/>
      <c r="AJ51" s="142"/>
      <c r="AK51" s="158">
        <v>31</v>
      </c>
      <c r="AL51" s="165"/>
      <c r="AM51" s="147"/>
      <c r="AN51" s="165"/>
      <c r="AO51" s="147"/>
      <c r="AP51" s="201"/>
      <c r="AQ51" s="142"/>
      <c r="AR51" s="158">
        <v>31</v>
      </c>
      <c r="AS51" s="165"/>
      <c r="AT51" s="147"/>
      <c r="AU51" s="165"/>
      <c r="AV51" s="147"/>
      <c r="AW51" s="201"/>
      <c r="AX51" s="142"/>
      <c r="AY51" s="158">
        <v>31</v>
      </c>
      <c r="AZ51" s="165"/>
      <c r="BA51" s="147"/>
      <c r="BB51" s="165"/>
      <c r="BC51" s="147"/>
      <c r="BD51" s="201"/>
    </row>
    <row r="52" spans="2:56">
      <c r="B52" s="204">
        <v>32</v>
      </c>
      <c r="C52" s="165"/>
      <c r="E52" s="165"/>
      <c r="F52" s="196"/>
      <c r="G52" s="198"/>
      <c r="H52" s="147"/>
      <c r="I52" s="158">
        <v>32</v>
      </c>
      <c r="J52" s="165"/>
      <c r="K52" s="147"/>
      <c r="L52" s="165"/>
      <c r="M52" s="147"/>
      <c r="N52" s="201"/>
      <c r="O52" s="146"/>
      <c r="P52" s="158">
        <v>32</v>
      </c>
      <c r="Q52" s="165"/>
      <c r="R52" s="147"/>
      <c r="S52" s="165"/>
      <c r="T52" s="147"/>
      <c r="U52" s="201"/>
      <c r="V52" s="142"/>
      <c r="W52" s="158">
        <v>32</v>
      </c>
      <c r="X52" s="165"/>
      <c r="Y52" s="147"/>
      <c r="Z52" s="165"/>
      <c r="AA52" s="147"/>
      <c r="AB52" s="201"/>
      <c r="AC52" s="142"/>
      <c r="AD52" s="158">
        <v>32</v>
      </c>
      <c r="AE52" s="165"/>
      <c r="AF52" s="147"/>
      <c r="AG52" s="165"/>
      <c r="AH52" s="147"/>
      <c r="AI52" s="201"/>
      <c r="AJ52" s="142"/>
      <c r="AK52" s="158">
        <v>32</v>
      </c>
      <c r="AL52" s="165"/>
      <c r="AM52" s="147"/>
      <c r="AN52" s="165"/>
      <c r="AO52" s="147"/>
      <c r="AP52" s="201"/>
      <c r="AQ52" s="142"/>
      <c r="AR52" s="158">
        <v>32</v>
      </c>
      <c r="AS52" s="165"/>
      <c r="AT52" s="147"/>
      <c r="AU52" s="165"/>
      <c r="AV52" s="147"/>
      <c r="AW52" s="201"/>
      <c r="AX52" s="142"/>
      <c r="AY52" s="158">
        <v>32</v>
      </c>
      <c r="AZ52" s="165"/>
      <c r="BA52" s="147"/>
      <c r="BB52" s="165"/>
      <c r="BC52" s="147"/>
      <c r="BD52" s="201"/>
    </row>
    <row r="53" spans="2:56">
      <c r="B53" s="204">
        <v>33</v>
      </c>
      <c r="C53" s="165"/>
      <c r="E53" s="165"/>
      <c r="F53" s="196"/>
      <c r="G53" s="198"/>
      <c r="H53" s="147"/>
      <c r="I53" s="158">
        <v>33</v>
      </c>
      <c r="J53" s="165"/>
      <c r="K53" s="147"/>
      <c r="L53" s="165"/>
      <c r="M53" s="147"/>
      <c r="N53" s="201"/>
      <c r="O53" s="146"/>
      <c r="P53" s="158">
        <v>33</v>
      </c>
      <c r="Q53" s="165"/>
      <c r="R53" s="147"/>
      <c r="S53" s="165"/>
      <c r="T53" s="147"/>
      <c r="U53" s="201"/>
      <c r="V53" s="142"/>
      <c r="W53" s="158">
        <v>33</v>
      </c>
      <c r="X53" s="165"/>
      <c r="Y53" s="147"/>
      <c r="Z53" s="165"/>
      <c r="AA53" s="147"/>
      <c r="AB53" s="201"/>
      <c r="AC53" s="142"/>
      <c r="AD53" s="158">
        <v>33</v>
      </c>
      <c r="AE53" s="165"/>
      <c r="AF53" s="147"/>
      <c r="AG53" s="165"/>
      <c r="AH53" s="147"/>
      <c r="AI53" s="201"/>
      <c r="AJ53" s="142"/>
      <c r="AK53" s="158">
        <v>33</v>
      </c>
      <c r="AL53" s="165"/>
      <c r="AM53" s="147"/>
      <c r="AN53" s="165"/>
      <c r="AO53" s="147"/>
      <c r="AP53" s="201"/>
      <c r="AQ53" s="142"/>
      <c r="AR53" s="158">
        <v>33</v>
      </c>
      <c r="AS53" s="165"/>
      <c r="AT53" s="147"/>
      <c r="AU53" s="165"/>
      <c r="AV53" s="147"/>
      <c r="AW53" s="201"/>
      <c r="AX53" s="142"/>
      <c r="AY53" s="158">
        <v>33</v>
      </c>
      <c r="AZ53" s="165"/>
      <c r="BA53" s="147"/>
      <c r="BB53" s="165"/>
      <c r="BC53" s="147"/>
      <c r="BD53" s="201"/>
    </row>
    <row r="54" spans="2:56">
      <c r="B54" s="204">
        <v>34</v>
      </c>
      <c r="C54" s="165"/>
      <c r="E54" s="165"/>
      <c r="F54" s="196"/>
      <c r="G54" s="198"/>
      <c r="H54" s="147"/>
      <c r="I54" s="158">
        <v>34</v>
      </c>
      <c r="J54" s="165"/>
      <c r="K54" s="147"/>
      <c r="L54" s="165"/>
      <c r="M54" s="147"/>
      <c r="N54" s="201"/>
      <c r="O54" s="146"/>
      <c r="P54" s="158">
        <v>34</v>
      </c>
      <c r="Q54" s="165"/>
      <c r="R54" s="147"/>
      <c r="S54" s="165"/>
      <c r="T54" s="147"/>
      <c r="U54" s="201"/>
      <c r="V54" s="142"/>
      <c r="W54" s="158">
        <v>34</v>
      </c>
      <c r="X54" s="165"/>
      <c r="Y54" s="147"/>
      <c r="Z54" s="165"/>
      <c r="AA54" s="147"/>
      <c r="AB54" s="201"/>
      <c r="AC54" s="142"/>
      <c r="AD54" s="158">
        <v>34</v>
      </c>
      <c r="AE54" s="165"/>
      <c r="AF54" s="147"/>
      <c r="AG54" s="165"/>
      <c r="AH54" s="147"/>
      <c r="AI54" s="201"/>
      <c r="AJ54" s="142"/>
      <c r="AK54" s="158">
        <v>34</v>
      </c>
      <c r="AL54" s="165"/>
      <c r="AM54" s="147"/>
      <c r="AN54" s="165"/>
      <c r="AO54" s="147"/>
      <c r="AP54" s="201"/>
      <c r="AQ54" s="142"/>
      <c r="AR54" s="158">
        <v>34</v>
      </c>
      <c r="AS54" s="165"/>
      <c r="AT54" s="147"/>
      <c r="AU54" s="165"/>
      <c r="AV54" s="147"/>
      <c r="AW54" s="201"/>
      <c r="AX54" s="142"/>
      <c r="AY54" s="158">
        <v>34</v>
      </c>
      <c r="AZ54" s="165"/>
      <c r="BA54" s="147"/>
      <c r="BB54" s="165"/>
      <c r="BC54" s="147"/>
      <c r="BD54" s="201"/>
    </row>
    <row r="55" spans="2:56">
      <c r="B55" s="204">
        <v>35</v>
      </c>
      <c r="C55" s="165"/>
      <c r="E55" s="165"/>
      <c r="F55" s="196"/>
      <c r="G55" s="198"/>
      <c r="H55" s="147"/>
      <c r="I55" s="158">
        <v>35</v>
      </c>
      <c r="J55" s="165"/>
      <c r="K55" s="147"/>
      <c r="L55" s="165"/>
      <c r="M55" s="147"/>
      <c r="N55" s="201"/>
      <c r="O55" s="146"/>
      <c r="P55" s="158">
        <v>35</v>
      </c>
      <c r="Q55" s="165"/>
      <c r="R55" s="147"/>
      <c r="S55" s="165"/>
      <c r="T55" s="147"/>
      <c r="U55" s="201"/>
      <c r="V55" s="142"/>
      <c r="W55" s="158">
        <v>35</v>
      </c>
      <c r="X55" s="165"/>
      <c r="Y55" s="147"/>
      <c r="Z55" s="165"/>
      <c r="AA55" s="147"/>
      <c r="AB55" s="201"/>
      <c r="AC55" s="142"/>
      <c r="AD55" s="158">
        <v>35</v>
      </c>
      <c r="AE55" s="165"/>
      <c r="AF55" s="147"/>
      <c r="AG55" s="165"/>
      <c r="AH55" s="147"/>
      <c r="AI55" s="201"/>
      <c r="AJ55" s="142"/>
      <c r="AK55" s="158">
        <v>35</v>
      </c>
      <c r="AL55" s="165"/>
      <c r="AM55" s="147"/>
      <c r="AN55" s="165"/>
      <c r="AO55" s="147"/>
      <c r="AP55" s="201"/>
      <c r="AQ55" s="142"/>
      <c r="AR55" s="158">
        <v>35</v>
      </c>
      <c r="AS55" s="165"/>
      <c r="AT55" s="147"/>
      <c r="AU55" s="165"/>
      <c r="AV55" s="147"/>
      <c r="AW55" s="201"/>
      <c r="AX55" s="142"/>
      <c r="AY55" s="158">
        <v>35</v>
      </c>
      <c r="AZ55" s="165"/>
      <c r="BA55" s="147"/>
      <c r="BB55" s="165"/>
      <c r="BC55" s="147"/>
      <c r="BD55" s="201"/>
    </row>
    <row r="56" spans="2:56">
      <c r="B56" s="204">
        <v>36</v>
      </c>
      <c r="C56" s="165"/>
      <c r="E56" s="165"/>
      <c r="F56" s="196"/>
      <c r="G56" s="198"/>
      <c r="H56" s="147"/>
      <c r="I56" s="158">
        <v>36</v>
      </c>
      <c r="J56" s="165"/>
      <c r="K56" s="147"/>
      <c r="L56" s="165"/>
      <c r="M56" s="147"/>
      <c r="N56" s="201"/>
      <c r="O56" s="146"/>
      <c r="P56" s="158">
        <v>36</v>
      </c>
      <c r="Q56" s="165"/>
      <c r="R56" s="147"/>
      <c r="S56" s="165"/>
      <c r="T56" s="147"/>
      <c r="U56" s="201"/>
      <c r="V56" s="142"/>
      <c r="W56" s="158">
        <v>36</v>
      </c>
      <c r="X56" s="165"/>
      <c r="Y56" s="147"/>
      <c r="Z56" s="165"/>
      <c r="AA56" s="147"/>
      <c r="AB56" s="201"/>
      <c r="AC56" s="142"/>
      <c r="AD56" s="158">
        <v>36</v>
      </c>
      <c r="AE56" s="165"/>
      <c r="AF56" s="147"/>
      <c r="AG56" s="165"/>
      <c r="AH56" s="147"/>
      <c r="AI56" s="201"/>
      <c r="AJ56" s="142"/>
      <c r="AK56" s="158">
        <v>36</v>
      </c>
      <c r="AL56" s="165"/>
      <c r="AM56" s="147"/>
      <c r="AN56" s="165"/>
      <c r="AO56" s="147"/>
      <c r="AP56" s="201"/>
      <c r="AQ56" s="142"/>
      <c r="AR56" s="158">
        <v>36</v>
      </c>
      <c r="AS56" s="165"/>
      <c r="AT56" s="147"/>
      <c r="AU56" s="165"/>
      <c r="AV56" s="147"/>
      <c r="AW56" s="201"/>
      <c r="AX56" s="142"/>
      <c r="AY56" s="158">
        <v>36</v>
      </c>
      <c r="AZ56" s="165"/>
      <c r="BA56" s="147"/>
      <c r="BB56" s="165"/>
      <c r="BC56" s="147"/>
      <c r="BD56" s="201"/>
    </row>
    <row r="57" spans="2:56">
      <c r="B57" s="204">
        <v>37</v>
      </c>
      <c r="C57" s="165"/>
      <c r="E57" s="165"/>
      <c r="F57" s="196"/>
      <c r="G57" s="198"/>
      <c r="H57" s="147"/>
      <c r="I57" s="158">
        <v>37</v>
      </c>
      <c r="J57" s="165"/>
      <c r="K57" s="147"/>
      <c r="L57" s="165"/>
      <c r="M57" s="147"/>
      <c r="N57" s="201"/>
      <c r="O57" s="146"/>
      <c r="P57" s="158">
        <v>37</v>
      </c>
      <c r="Q57" s="165"/>
      <c r="R57" s="147"/>
      <c r="S57" s="165"/>
      <c r="T57" s="147"/>
      <c r="U57" s="201"/>
      <c r="V57" s="142"/>
      <c r="W57" s="158">
        <v>37</v>
      </c>
      <c r="X57" s="165"/>
      <c r="Y57" s="147"/>
      <c r="Z57" s="165"/>
      <c r="AA57" s="147"/>
      <c r="AB57" s="201"/>
      <c r="AC57" s="142"/>
      <c r="AD57" s="158">
        <v>37</v>
      </c>
      <c r="AE57" s="165"/>
      <c r="AF57" s="147"/>
      <c r="AG57" s="165"/>
      <c r="AH57" s="147"/>
      <c r="AI57" s="201"/>
      <c r="AJ57" s="142"/>
      <c r="AK57" s="158">
        <v>37</v>
      </c>
      <c r="AL57" s="165"/>
      <c r="AM57" s="147"/>
      <c r="AN57" s="165"/>
      <c r="AO57" s="147"/>
      <c r="AP57" s="201"/>
      <c r="AQ57" s="142"/>
      <c r="AR57" s="158">
        <v>37</v>
      </c>
      <c r="AS57" s="165"/>
      <c r="AT57" s="147"/>
      <c r="AU57" s="165"/>
      <c r="AV57" s="147"/>
      <c r="AW57" s="201"/>
      <c r="AX57" s="142"/>
      <c r="AY57" s="158">
        <v>37</v>
      </c>
      <c r="AZ57" s="165"/>
      <c r="BA57" s="147"/>
      <c r="BB57" s="165"/>
      <c r="BC57" s="147"/>
      <c r="BD57" s="201"/>
    </row>
    <row r="58" spans="2:56">
      <c r="B58" s="204">
        <v>38</v>
      </c>
      <c r="C58" s="165"/>
      <c r="E58" s="165"/>
      <c r="F58" s="196"/>
      <c r="G58" s="198"/>
      <c r="H58" s="147"/>
      <c r="I58" s="158">
        <v>38</v>
      </c>
      <c r="J58" s="165"/>
      <c r="K58" s="147"/>
      <c r="L58" s="165"/>
      <c r="M58" s="147"/>
      <c r="N58" s="201"/>
      <c r="O58" s="146"/>
      <c r="P58" s="158">
        <v>38</v>
      </c>
      <c r="Q58" s="165"/>
      <c r="R58" s="147"/>
      <c r="S58" s="165"/>
      <c r="T58" s="147"/>
      <c r="U58" s="201"/>
      <c r="V58" s="142"/>
      <c r="W58" s="158">
        <v>38</v>
      </c>
      <c r="X58" s="165"/>
      <c r="Y58" s="147"/>
      <c r="Z58" s="165"/>
      <c r="AA58" s="147"/>
      <c r="AB58" s="201"/>
      <c r="AC58" s="142"/>
      <c r="AD58" s="158">
        <v>38</v>
      </c>
      <c r="AE58" s="165"/>
      <c r="AF58" s="147"/>
      <c r="AG58" s="165"/>
      <c r="AH58" s="147"/>
      <c r="AI58" s="201"/>
      <c r="AJ58" s="142"/>
      <c r="AK58" s="158">
        <v>38</v>
      </c>
      <c r="AL58" s="165"/>
      <c r="AM58" s="147"/>
      <c r="AN58" s="165"/>
      <c r="AO58" s="147"/>
      <c r="AP58" s="201"/>
      <c r="AQ58" s="142"/>
      <c r="AR58" s="158">
        <v>38</v>
      </c>
      <c r="AS58" s="165"/>
      <c r="AT58" s="147"/>
      <c r="AU58" s="165"/>
      <c r="AV58" s="147"/>
      <c r="AW58" s="201"/>
      <c r="AX58" s="142"/>
      <c r="AY58" s="158">
        <v>38</v>
      </c>
      <c r="AZ58" s="165"/>
      <c r="BA58" s="147"/>
      <c r="BB58" s="165"/>
      <c r="BC58" s="147"/>
      <c r="BD58" s="201"/>
    </row>
    <row r="59" spans="2:56">
      <c r="B59" s="204">
        <v>39</v>
      </c>
      <c r="C59" s="165"/>
      <c r="E59" s="165"/>
      <c r="F59" s="196"/>
      <c r="G59" s="198"/>
      <c r="H59" s="147"/>
      <c r="I59" s="158">
        <v>39</v>
      </c>
      <c r="J59" s="165"/>
      <c r="K59" s="147"/>
      <c r="L59" s="165"/>
      <c r="M59" s="147"/>
      <c r="N59" s="201"/>
      <c r="O59" s="146"/>
      <c r="P59" s="158">
        <v>39</v>
      </c>
      <c r="Q59" s="165"/>
      <c r="R59" s="147"/>
      <c r="S59" s="165"/>
      <c r="T59" s="147"/>
      <c r="U59" s="201"/>
      <c r="V59" s="142"/>
      <c r="W59" s="158">
        <v>39</v>
      </c>
      <c r="X59" s="165"/>
      <c r="Y59" s="147"/>
      <c r="Z59" s="165"/>
      <c r="AA59" s="147"/>
      <c r="AB59" s="201"/>
      <c r="AC59" s="142"/>
      <c r="AD59" s="158">
        <v>39</v>
      </c>
      <c r="AE59" s="165"/>
      <c r="AF59" s="147"/>
      <c r="AG59" s="165"/>
      <c r="AH59" s="147"/>
      <c r="AI59" s="201"/>
      <c r="AJ59" s="142"/>
      <c r="AK59" s="158">
        <v>39</v>
      </c>
      <c r="AL59" s="165"/>
      <c r="AM59" s="147"/>
      <c r="AN59" s="165"/>
      <c r="AO59" s="147"/>
      <c r="AP59" s="201"/>
      <c r="AQ59" s="142"/>
      <c r="AR59" s="158">
        <v>39</v>
      </c>
      <c r="AS59" s="165"/>
      <c r="AT59" s="147"/>
      <c r="AU59" s="165"/>
      <c r="AV59" s="147"/>
      <c r="AW59" s="201"/>
      <c r="AX59" s="142"/>
      <c r="AY59" s="158">
        <v>39</v>
      </c>
      <c r="AZ59" s="165"/>
      <c r="BA59" s="147"/>
      <c r="BB59" s="165"/>
      <c r="BC59" s="147"/>
      <c r="BD59" s="201"/>
    </row>
    <row r="60" spans="2:56">
      <c r="B60" s="204">
        <v>40</v>
      </c>
      <c r="C60" s="165"/>
      <c r="E60" s="165"/>
      <c r="F60" s="196"/>
      <c r="G60" s="198"/>
      <c r="H60" s="147"/>
      <c r="I60" s="158">
        <v>40</v>
      </c>
      <c r="J60" s="165"/>
      <c r="K60" s="147"/>
      <c r="L60" s="165"/>
      <c r="M60" s="147"/>
      <c r="N60" s="201"/>
      <c r="O60" s="146"/>
      <c r="P60" s="158">
        <v>40</v>
      </c>
      <c r="Q60" s="165"/>
      <c r="R60" s="147"/>
      <c r="S60" s="165"/>
      <c r="T60" s="147"/>
      <c r="U60" s="201"/>
      <c r="V60" s="142"/>
      <c r="W60" s="158">
        <v>40</v>
      </c>
      <c r="X60" s="165"/>
      <c r="Y60" s="147"/>
      <c r="Z60" s="165"/>
      <c r="AA60" s="147"/>
      <c r="AB60" s="201"/>
      <c r="AC60" s="142"/>
      <c r="AD60" s="158">
        <v>40</v>
      </c>
      <c r="AE60" s="165"/>
      <c r="AF60" s="147"/>
      <c r="AG60" s="165"/>
      <c r="AH60" s="147"/>
      <c r="AI60" s="201"/>
      <c r="AJ60" s="142"/>
      <c r="AK60" s="158">
        <v>40</v>
      </c>
      <c r="AL60" s="165"/>
      <c r="AM60" s="147"/>
      <c r="AN60" s="165"/>
      <c r="AO60" s="147"/>
      <c r="AP60" s="201"/>
      <c r="AQ60" s="142"/>
      <c r="AR60" s="158">
        <v>40</v>
      </c>
      <c r="AS60" s="165"/>
      <c r="AT60" s="147"/>
      <c r="AU60" s="165"/>
      <c r="AV60" s="147"/>
      <c r="AW60" s="201"/>
      <c r="AX60" s="142"/>
      <c r="AY60" s="158">
        <v>40</v>
      </c>
      <c r="AZ60" s="165"/>
      <c r="BA60" s="147"/>
      <c r="BB60" s="165"/>
      <c r="BC60" s="147"/>
      <c r="BD60" s="201"/>
    </row>
    <row r="61" spans="2:56">
      <c r="B61" s="204">
        <v>41</v>
      </c>
      <c r="C61" s="165"/>
      <c r="E61" s="165"/>
      <c r="F61" s="196"/>
      <c r="G61" s="198"/>
      <c r="H61" s="147"/>
      <c r="I61" s="199">
        <v>41</v>
      </c>
      <c r="J61" s="165"/>
      <c r="K61" s="147"/>
      <c r="L61" s="165"/>
      <c r="M61" s="147"/>
      <c r="N61" s="201"/>
      <c r="O61" s="146"/>
      <c r="P61" s="199">
        <v>41</v>
      </c>
      <c r="Q61" s="165"/>
      <c r="R61" s="147"/>
      <c r="S61" s="165"/>
      <c r="T61" s="147"/>
      <c r="U61" s="201"/>
      <c r="V61" s="142"/>
      <c r="W61" s="199">
        <v>41</v>
      </c>
      <c r="X61" s="165"/>
      <c r="Y61" s="147"/>
      <c r="Z61" s="165"/>
      <c r="AA61" s="147"/>
      <c r="AB61" s="201"/>
      <c r="AC61" s="142"/>
      <c r="AD61" s="199">
        <v>41</v>
      </c>
      <c r="AE61" s="165"/>
      <c r="AF61" s="147"/>
      <c r="AG61" s="165"/>
      <c r="AH61" s="147"/>
      <c r="AI61" s="201"/>
      <c r="AJ61" s="142"/>
      <c r="AK61" s="199">
        <v>41</v>
      </c>
      <c r="AL61" s="165"/>
      <c r="AM61" s="147"/>
      <c r="AN61" s="165"/>
      <c r="AO61" s="147"/>
      <c r="AP61" s="201"/>
      <c r="AQ61" s="142"/>
      <c r="AR61" s="199">
        <v>41</v>
      </c>
      <c r="AS61" s="165"/>
      <c r="AT61" s="147"/>
      <c r="AU61" s="165"/>
      <c r="AV61" s="147"/>
      <c r="AW61" s="201"/>
      <c r="AX61" s="142"/>
      <c r="AY61" s="199">
        <v>41</v>
      </c>
      <c r="AZ61" s="165"/>
      <c r="BA61" s="147"/>
      <c r="BB61" s="165"/>
      <c r="BC61" s="147"/>
      <c r="BD61" s="201"/>
    </row>
    <row r="62" spans="2:56">
      <c r="B62" s="204">
        <v>42</v>
      </c>
      <c r="C62" s="165"/>
      <c r="E62" s="165"/>
      <c r="F62" s="196"/>
      <c r="G62" s="198"/>
      <c r="H62" s="147"/>
      <c r="I62" s="199">
        <v>42</v>
      </c>
      <c r="J62" s="165"/>
      <c r="K62" s="147"/>
      <c r="L62" s="165"/>
      <c r="M62" s="147"/>
      <c r="N62" s="201"/>
      <c r="O62" s="146"/>
      <c r="P62" s="199">
        <v>42</v>
      </c>
      <c r="Q62" s="165"/>
      <c r="R62" s="147"/>
      <c r="S62" s="165"/>
      <c r="T62" s="147"/>
      <c r="U62" s="201"/>
      <c r="V62" s="142"/>
      <c r="W62" s="199">
        <v>42</v>
      </c>
      <c r="X62" s="165"/>
      <c r="Y62" s="147"/>
      <c r="Z62" s="165"/>
      <c r="AA62" s="147"/>
      <c r="AB62" s="201"/>
      <c r="AC62" s="142"/>
      <c r="AD62" s="199">
        <v>42</v>
      </c>
      <c r="AE62" s="165"/>
      <c r="AF62" s="147"/>
      <c r="AG62" s="165"/>
      <c r="AH62" s="147"/>
      <c r="AI62" s="201"/>
      <c r="AJ62" s="142"/>
      <c r="AK62" s="199">
        <v>42</v>
      </c>
      <c r="AL62" s="165"/>
      <c r="AM62" s="147"/>
      <c r="AN62" s="165"/>
      <c r="AO62" s="147"/>
      <c r="AP62" s="201"/>
      <c r="AQ62" s="142"/>
      <c r="AR62" s="199">
        <v>42</v>
      </c>
      <c r="AS62" s="165"/>
      <c r="AT62" s="147"/>
      <c r="AU62" s="165"/>
      <c r="AV62" s="147"/>
      <c r="AW62" s="201"/>
      <c r="AX62" s="142"/>
      <c r="AY62" s="199">
        <v>42</v>
      </c>
      <c r="AZ62" s="165"/>
      <c r="BA62" s="147"/>
      <c r="BB62" s="165"/>
      <c r="BC62" s="147"/>
      <c r="BD62" s="201"/>
    </row>
    <row r="63" spans="2:56">
      <c r="B63" s="204">
        <v>43</v>
      </c>
      <c r="C63" s="165"/>
      <c r="E63" s="165"/>
      <c r="F63" s="196"/>
      <c r="G63" s="198"/>
      <c r="H63" s="147"/>
      <c r="I63" s="199">
        <v>43</v>
      </c>
      <c r="J63" s="165"/>
      <c r="K63" s="147"/>
      <c r="L63" s="165"/>
      <c r="M63" s="147"/>
      <c r="N63" s="201"/>
      <c r="O63" s="146"/>
      <c r="P63" s="199">
        <v>43</v>
      </c>
      <c r="Q63" s="165"/>
      <c r="R63" s="147"/>
      <c r="S63" s="165"/>
      <c r="T63" s="147"/>
      <c r="U63" s="201"/>
      <c r="V63" s="142"/>
      <c r="W63" s="199">
        <v>43</v>
      </c>
      <c r="X63" s="165"/>
      <c r="Y63" s="147"/>
      <c r="Z63" s="165"/>
      <c r="AA63" s="147"/>
      <c r="AB63" s="201"/>
      <c r="AC63" s="142"/>
      <c r="AD63" s="199">
        <v>43</v>
      </c>
      <c r="AE63" s="165"/>
      <c r="AF63" s="147"/>
      <c r="AG63" s="165"/>
      <c r="AH63" s="147"/>
      <c r="AI63" s="201"/>
      <c r="AJ63" s="142"/>
      <c r="AK63" s="199">
        <v>43</v>
      </c>
      <c r="AL63" s="165"/>
      <c r="AM63" s="147"/>
      <c r="AN63" s="165"/>
      <c r="AO63" s="147"/>
      <c r="AP63" s="201"/>
      <c r="AQ63" s="142"/>
      <c r="AR63" s="199">
        <v>43</v>
      </c>
      <c r="AS63" s="165"/>
      <c r="AT63" s="147"/>
      <c r="AU63" s="165"/>
      <c r="AV63" s="147"/>
      <c r="AW63" s="201"/>
      <c r="AX63" s="142"/>
      <c r="AY63" s="199">
        <v>43</v>
      </c>
      <c r="AZ63" s="165"/>
      <c r="BA63" s="147"/>
      <c r="BB63" s="165"/>
      <c r="BC63" s="147"/>
      <c r="BD63" s="201"/>
    </row>
    <row r="64" spans="2:56">
      <c r="B64" s="204">
        <v>44</v>
      </c>
      <c r="C64" s="165"/>
      <c r="E64" s="165"/>
      <c r="F64" s="196"/>
      <c r="G64" s="198"/>
      <c r="H64" s="147"/>
      <c r="I64" s="199">
        <v>44</v>
      </c>
      <c r="J64" s="165"/>
      <c r="K64" s="147"/>
      <c r="L64" s="165"/>
      <c r="M64" s="147"/>
      <c r="N64" s="201"/>
      <c r="O64" s="146"/>
      <c r="P64" s="199">
        <v>44</v>
      </c>
      <c r="Q64" s="165"/>
      <c r="R64" s="147"/>
      <c r="S64" s="165"/>
      <c r="T64" s="147"/>
      <c r="U64" s="201"/>
      <c r="V64" s="142"/>
      <c r="W64" s="199">
        <v>44</v>
      </c>
      <c r="X64" s="165"/>
      <c r="Y64" s="147"/>
      <c r="Z64" s="165"/>
      <c r="AA64" s="147"/>
      <c r="AB64" s="201"/>
      <c r="AC64" s="142"/>
      <c r="AD64" s="199">
        <v>44</v>
      </c>
      <c r="AE64" s="165"/>
      <c r="AF64" s="147"/>
      <c r="AG64" s="165"/>
      <c r="AH64" s="147"/>
      <c r="AI64" s="201"/>
      <c r="AJ64" s="142"/>
      <c r="AK64" s="199">
        <v>44</v>
      </c>
      <c r="AL64" s="165"/>
      <c r="AM64" s="147"/>
      <c r="AN64" s="165"/>
      <c r="AO64" s="147"/>
      <c r="AP64" s="201"/>
      <c r="AQ64" s="142"/>
      <c r="AR64" s="199">
        <v>44</v>
      </c>
      <c r="AS64" s="165"/>
      <c r="AT64" s="147"/>
      <c r="AU64" s="165"/>
      <c r="AV64" s="147"/>
      <c r="AW64" s="201"/>
      <c r="AX64" s="142"/>
      <c r="AY64" s="199">
        <v>44</v>
      </c>
      <c r="AZ64" s="165"/>
      <c r="BA64" s="147"/>
      <c r="BB64" s="165"/>
      <c r="BC64" s="147"/>
      <c r="BD64" s="201"/>
    </row>
    <row r="65" spans="2:56">
      <c r="B65" s="204">
        <v>45</v>
      </c>
      <c r="C65" s="165"/>
      <c r="E65" s="165"/>
      <c r="F65" s="196"/>
      <c r="G65" s="198"/>
      <c r="H65" s="147"/>
      <c r="I65" s="199">
        <v>45</v>
      </c>
      <c r="J65" s="165"/>
      <c r="K65" s="147"/>
      <c r="L65" s="165"/>
      <c r="M65" s="147"/>
      <c r="N65" s="201"/>
      <c r="O65" s="146"/>
      <c r="P65" s="199">
        <v>45</v>
      </c>
      <c r="Q65" s="165"/>
      <c r="R65" s="147"/>
      <c r="S65" s="165"/>
      <c r="T65" s="147"/>
      <c r="U65" s="201"/>
      <c r="V65" s="142"/>
      <c r="W65" s="199">
        <v>45</v>
      </c>
      <c r="X65" s="165"/>
      <c r="Y65" s="147"/>
      <c r="Z65" s="165"/>
      <c r="AA65" s="147"/>
      <c r="AB65" s="201"/>
      <c r="AC65" s="142"/>
      <c r="AD65" s="199">
        <v>45</v>
      </c>
      <c r="AE65" s="165"/>
      <c r="AF65" s="147"/>
      <c r="AG65" s="165"/>
      <c r="AH65" s="147"/>
      <c r="AI65" s="201"/>
      <c r="AJ65" s="142"/>
      <c r="AK65" s="199">
        <v>45</v>
      </c>
      <c r="AL65" s="165"/>
      <c r="AM65" s="147"/>
      <c r="AN65" s="165"/>
      <c r="AO65" s="147"/>
      <c r="AP65" s="201"/>
      <c r="AQ65" s="142"/>
      <c r="AR65" s="199">
        <v>45</v>
      </c>
      <c r="AS65" s="165"/>
      <c r="AT65" s="147"/>
      <c r="AU65" s="165"/>
      <c r="AV65" s="147"/>
      <c r="AW65" s="201"/>
      <c r="AX65" s="142"/>
      <c r="AY65" s="199">
        <v>45</v>
      </c>
      <c r="AZ65" s="165"/>
      <c r="BA65" s="147"/>
      <c r="BB65" s="165"/>
      <c r="BC65" s="147"/>
      <c r="BD65" s="201"/>
    </row>
    <row r="66" spans="2:56">
      <c r="B66" s="204">
        <v>46</v>
      </c>
      <c r="C66" s="165"/>
      <c r="E66" s="165"/>
      <c r="F66" s="196"/>
      <c r="G66" s="198"/>
      <c r="I66" s="199">
        <v>46</v>
      </c>
      <c r="J66" s="165"/>
      <c r="L66" s="165"/>
      <c r="N66" s="201"/>
      <c r="P66" s="199">
        <v>46</v>
      </c>
      <c r="Q66" s="165"/>
      <c r="S66" s="165"/>
      <c r="U66" s="201"/>
      <c r="V66" s="142"/>
      <c r="W66" s="199">
        <v>46</v>
      </c>
      <c r="X66" s="165"/>
      <c r="Z66" s="165"/>
      <c r="AB66" s="201"/>
      <c r="AC66" s="142"/>
      <c r="AD66" s="199">
        <v>46</v>
      </c>
      <c r="AE66" s="165"/>
      <c r="AG66" s="165"/>
      <c r="AI66" s="201"/>
      <c r="AJ66" s="142"/>
      <c r="AK66" s="199">
        <v>46</v>
      </c>
      <c r="AL66" s="165"/>
      <c r="AN66" s="165"/>
      <c r="AP66" s="201"/>
      <c r="AQ66" s="142"/>
      <c r="AR66" s="199">
        <v>46</v>
      </c>
      <c r="AS66" s="165"/>
      <c r="AU66" s="165"/>
      <c r="AW66" s="201"/>
      <c r="AX66" s="142"/>
      <c r="AY66" s="199">
        <v>46</v>
      </c>
      <c r="AZ66" s="165"/>
      <c r="BB66" s="165"/>
      <c r="BD66" s="201"/>
    </row>
    <row r="67" spans="2:56">
      <c r="B67" s="204">
        <v>47</v>
      </c>
      <c r="C67" s="165"/>
      <c r="E67" s="165"/>
      <c r="F67" s="196"/>
      <c r="G67" s="198"/>
      <c r="I67" s="199">
        <v>47</v>
      </c>
      <c r="J67" s="165"/>
      <c r="L67" s="165"/>
      <c r="N67" s="201"/>
      <c r="P67" s="199">
        <v>47</v>
      </c>
      <c r="Q67" s="165"/>
      <c r="S67" s="165"/>
      <c r="U67" s="201"/>
      <c r="V67" s="142"/>
      <c r="W67" s="199">
        <v>47</v>
      </c>
      <c r="X67" s="165"/>
      <c r="Z67" s="165"/>
      <c r="AB67" s="201"/>
      <c r="AC67" s="142"/>
      <c r="AD67" s="199">
        <v>47</v>
      </c>
      <c r="AE67" s="165"/>
      <c r="AG67" s="165"/>
      <c r="AI67" s="201"/>
      <c r="AJ67" s="142"/>
      <c r="AK67" s="199">
        <v>47</v>
      </c>
      <c r="AL67" s="165"/>
      <c r="AN67" s="165"/>
      <c r="AP67" s="201"/>
      <c r="AQ67" s="142"/>
      <c r="AR67" s="199">
        <v>47</v>
      </c>
      <c r="AS67" s="165"/>
      <c r="AU67" s="165"/>
      <c r="AW67" s="201"/>
      <c r="AX67" s="142"/>
      <c r="AY67" s="199">
        <v>47</v>
      </c>
      <c r="AZ67" s="165"/>
      <c r="BB67" s="165"/>
      <c r="BD67" s="201"/>
    </row>
    <row r="68" spans="2:56">
      <c r="B68" s="204">
        <v>48</v>
      </c>
      <c r="C68" s="165"/>
      <c r="E68" s="165"/>
      <c r="F68" s="196"/>
      <c r="G68" s="198"/>
      <c r="I68" s="199">
        <v>48</v>
      </c>
      <c r="J68" s="165"/>
      <c r="L68" s="165"/>
      <c r="N68" s="201"/>
      <c r="P68" s="199">
        <v>48</v>
      </c>
      <c r="Q68" s="165"/>
      <c r="S68" s="165"/>
      <c r="U68" s="201"/>
      <c r="V68" s="142"/>
      <c r="W68" s="199">
        <v>48</v>
      </c>
      <c r="X68" s="165"/>
      <c r="Z68" s="165"/>
      <c r="AB68" s="201"/>
      <c r="AC68" s="142"/>
      <c r="AD68" s="199">
        <v>48</v>
      </c>
      <c r="AE68" s="165"/>
      <c r="AG68" s="165"/>
      <c r="AI68" s="201"/>
      <c r="AJ68" s="142"/>
      <c r="AK68" s="199">
        <v>48</v>
      </c>
      <c r="AL68" s="165"/>
      <c r="AN68" s="165"/>
      <c r="AP68" s="201"/>
      <c r="AQ68" s="142"/>
      <c r="AR68" s="199">
        <v>48</v>
      </c>
      <c r="AS68" s="165"/>
      <c r="AU68" s="165"/>
      <c r="AW68" s="201"/>
      <c r="AX68" s="142"/>
      <c r="AY68" s="199">
        <v>48</v>
      </c>
      <c r="AZ68" s="165"/>
      <c r="BB68" s="165"/>
      <c r="BD68" s="201"/>
    </row>
    <row r="69" spans="2:56">
      <c r="B69" s="204">
        <v>49</v>
      </c>
      <c r="C69" s="165"/>
      <c r="E69" s="165"/>
      <c r="F69" s="196"/>
      <c r="G69" s="198"/>
      <c r="I69" s="199">
        <v>49</v>
      </c>
      <c r="J69" s="165"/>
      <c r="L69" s="165"/>
      <c r="N69" s="201"/>
      <c r="P69" s="199">
        <v>49</v>
      </c>
      <c r="Q69" s="165"/>
      <c r="S69" s="165"/>
      <c r="U69" s="201"/>
      <c r="V69" s="142"/>
      <c r="W69" s="199">
        <v>49</v>
      </c>
      <c r="X69" s="165"/>
      <c r="Z69" s="165"/>
      <c r="AB69" s="201"/>
      <c r="AC69" s="142"/>
      <c r="AD69" s="199">
        <v>49</v>
      </c>
      <c r="AE69" s="165"/>
      <c r="AG69" s="165"/>
      <c r="AI69" s="201"/>
      <c r="AJ69" s="142"/>
      <c r="AK69" s="199">
        <v>49</v>
      </c>
      <c r="AL69" s="165"/>
      <c r="AN69" s="165"/>
      <c r="AP69" s="201"/>
      <c r="AQ69" s="142"/>
      <c r="AR69" s="199">
        <v>49</v>
      </c>
      <c r="AS69" s="165"/>
      <c r="AU69" s="165"/>
      <c r="AW69" s="201"/>
      <c r="AX69" s="142"/>
      <c r="AY69" s="199">
        <v>49</v>
      </c>
      <c r="AZ69" s="165"/>
      <c r="BB69" s="165"/>
      <c r="BD69" s="201"/>
    </row>
    <row r="70" spans="2:56">
      <c r="B70" s="204">
        <v>50</v>
      </c>
      <c r="C70" s="165"/>
      <c r="E70" s="165"/>
      <c r="F70" s="196"/>
      <c r="G70" s="198"/>
      <c r="I70" s="199">
        <v>50</v>
      </c>
      <c r="J70" s="165"/>
      <c r="L70" s="165"/>
      <c r="N70" s="201"/>
      <c r="P70" s="199">
        <v>50</v>
      </c>
      <c r="Q70" s="165"/>
      <c r="S70" s="165"/>
      <c r="U70" s="201"/>
      <c r="V70" s="142"/>
      <c r="W70" s="199">
        <v>50</v>
      </c>
      <c r="X70" s="165"/>
      <c r="Z70" s="165"/>
      <c r="AB70" s="201"/>
      <c r="AC70" s="142"/>
      <c r="AD70" s="199">
        <v>50</v>
      </c>
      <c r="AE70" s="165"/>
      <c r="AG70" s="165"/>
      <c r="AI70" s="201"/>
      <c r="AJ70" s="142"/>
      <c r="AK70" s="199">
        <v>50</v>
      </c>
      <c r="AL70" s="165"/>
      <c r="AN70" s="165"/>
      <c r="AP70" s="201"/>
      <c r="AQ70" s="142"/>
      <c r="AR70" s="199">
        <v>50</v>
      </c>
      <c r="AS70" s="165"/>
      <c r="AU70" s="165"/>
      <c r="AW70" s="201"/>
      <c r="AX70" s="142"/>
      <c r="AY70" s="199">
        <v>50</v>
      </c>
      <c r="AZ70" s="165"/>
      <c r="BB70" s="165"/>
      <c r="BD70" s="201"/>
    </row>
    <row r="71" spans="2:56">
      <c r="B71" s="204">
        <v>51</v>
      </c>
      <c r="C71" s="165"/>
      <c r="E71" s="165"/>
      <c r="F71" s="196"/>
      <c r="G71" s="198"/>
      <c r="I71" s="199">
        <v>51</v>
      </c>
      <c r="J71" s="165"/>
      <c r="L71" s="165"/>
      <c r="N71" s="201"/>
      <c r="P71" s="199">
        <v>51</v>
      </c>
      <c r="Q71" s="165"/>
      <c r="S71" s="165"/>
      <c r="U71" s="201"/>
      <c r="V71" s="142"/>
      <c r="W71" s="199">
        <v>51</v>
      </c>
      <c r="X71" s="165"/>
      <c r="Z71" s="165"/>
      <c r="AB71" s="201"/>
      <c r="AC71" s="142"/>
      <c r="AD71" s="199">
        <v>51</v>
      </c>
      <c r="AE71" s="165"/>
      <c r="AG71" s="165"/>
      <c r="AI71" s="201"/>
      <c r="AJ71" s="142"/>
      <c r="AK71" s="199">
        <v>51</v>
      </c>
      <c r="AL71" s="165"/>
      <c r="AN71" s="165"/>
      <c r="AP71" s="201"/>
      <c r="AQ71" s="142"/>
      <c r="AR71" s="199">
        <v>51</v>
      </c>
      <c r="AS71" s="165"/>
      <c r="AU71" s="165"/>
      <c r="AW71" s="201"/>
      <c r="AX71" s="142"/>
      <c r="AY71" s="199">
        <v>51</v>
      </c>
      <c r="AZ71" s="165"/>
      <c r="BB71" s="165"/>
      <c r="BD71" s="201"/>
    </row>
    <row r="72" spans="2:56">
      <c r="B72" s="204">
        <v>52</v>
      </c>
      <c r="C72" s="165"/>
      <c r="E72" s="165"/>
      <c r="F72" s="196"/>
      <c r="G72" s="198"/>
      <c r="I72" s="199">
        <v>52</v>
      </c>
      <c r="J72" s="165"/>
      <c r="L72" s="165"/>
      <c r="N72" s="201"/>
      <c r="P72" s="199">
        <v>52</v>
      </c>
      <c r="Q72" s="165"/>
      <c r="S72" s="165"/>
      <c r="U72" s="201"/>
      <c r="V72" s="142"/>
      <c r="W72" s="199">
        <v>52</v>
      </c>
      <c r="X72" s="165"/>
      <c r="Z72" s="165"/>
      <c r="AB72" s="201"/>
      <c r="AC72" s="142"/>
      <c r="AD72" s="199">
        <v>52</v>
      </c>
      <c r="AE72" s="165"/>
      <c r="AG72" s="165"/>
      <c r="AI72" s="201"/>
      <c r="AJ72" s="142"/>
      <c r="AK72" s="199">
        <v>52</v>
      </c>
      <c r="AL72" s="165"/>
      <c r="AN72" s="165"/>
      <c r="AP72" s="201"/>
      <c r="AQ72" s="142"/>
      <c r="AR72" s="199">
        <v>52</v>
      </c>
      <c r="AS72" s="165"/>
      <c r="AU72" s="165"/>
      <c r="AW72" s="201"/>
      <c r="AX72" s="142"/>
      <c r="AY72" s="199">
        <v>52</v>
      </c>
      <c r="AZ72" s="165"/>
      <c r="BB72" s="165"/>
      <c r="BD72" s="201"/>
    </row>
    <row r="73" spans="2:56">
      <c r="B73" s="204">
        <v>53</v>
      </c>
      <c r="C73" s="165"/>
      <c r="E73" s="165"/>
      <c r="F73" s="196"/>
      <c r="G73" s="198"/>
      <c r="I73" s="199">
        <v>53</v>
      </c>
      <c r="J73" s="165"/>
      <c r="L73" s="165"/>
      <c r="N73" s="201"/>
      <c r="P73" s="199">
        <v>53</v>
      </c>
      <c r="Q73" s="165"/>
      <c r="S73" s="165"/>
      <c r="U73" s="201"/>
      <c r="V73" s="142"/>
      <c r="W73" s="199">
        <v>53</v>
      </c>
      <c r="X73" s="165"/>
      <c r="Z73" s="165"/>
      <c r="AB73" s="201"/>
      <c r="AC73" s="142"/>
      <c r="AD73" s="199">
        <v>53</v>
      </c>
      <c r="AE73" s="165"/>
      <c r="AG73" s="165"/>
      <c r="AI73" s="201"/>
      <c r="AJ73" s="142"/>
      <c r="AK73" s="199">
        <v>53</v>
      </c>
      <c r="AL73" s="165"/>
      <c r="AN73" s="165"/>
      <c r="AP73" s="201"/>
      <c r="AQ73" s="142"/>
      <c r="AR73" s="199">
        <v>53</v>
      </c>
      <c r="AS73" s="165"/>
      <c r="AU73" s="165"/>
      <c r="AW73" s="201"/>
      <c r="AX73" s="142"/>
      <c r="AY73" s="199">
        <v>53</v>
      </c>
      <c r="AZ73" s="165"/>
      <c r="BB73" s="165"/>
      <c r="BD73" s="201"/>
    </row>
    <row r="74" spans="2:56">
      <c r="B74" s="204">
        <v>54</v>
      </c>
      <c r="C74" s="165"/>
      <c r="E74" s="165"/>
      <c r="F74" s="196"/>
      <c r="G74" s="198"/>
      <c r="I74" s="199">
        <v>54</v>
      </c>
      <c r="J74" s="165"/>
      <c r="L74" s="165"/>
      <c r="N74" s="201"/>
      <c r="P74" s="199">
        <v>54</v>
      </c>
      <c r="Q74" s="165"/>
      <c r="S74" s="165"/>
      <c r="U74" s="201"/>
      <c r="V74" s="142"/>
      <c r="W74" s="199">
        <v>54</v>
      </c>
      <c r="X74" s="165"/>
      <c r="Z74" s="165"/>
      <c r="AB74" s="201"/>
      <c r="AC74" s="142"/>
      <c r="AD74" s="199">
        <v>54</v>
      </c>
      <c r="AE74" s="165"/>
      <c r="AG74" s="165"/>
      <c r="AI74" s="201"/>
      <c r="AJ74" s="142"/>
      <c r="AK74" s="199">
        <v>54</v>
      </c>
      <c r="AL74" s="165"/>
      <c r="AN74" s="165"/>
      <c r="AP74" s="201"/>
      <c r="AQ74" s="142"/>
      <c r="AR74" s="199">
        <v>54</v>
      </c>
      <c r="AS74" s="165"/>
      <c r="AU74" s="165"/>
      <c r="AW74" s="201"/>
      <c r="AX74" s="142"/>
      <c r="AY74" s="199">
        <v>54</v>
      </c>
      <c r="AZ74" s="165"/>
      <c r="BB74" s="165"/>
      <c r="BD74" s="201"/>
    </row>
    <row r="75" spans="2:56">
      <c r="B75" s="204">
        <v>55</v>
      </c>
      <c r="C75" s="165"/>
      <c r="E75" s="165"/>
      <c r="F75" s="196"/>
      <c r="G75" s="198"/>
      <c r="I75" s="199">
        <v>55</v>
      </c>
      <c r="J75" s="165"/>
      <c r="L75" s="165"/>
      <c r="N75" s="201"/>
      <c r="P75" s="199">
        <v>55</v>
      </c>
      <c r="Q75" s="165"/>
      <c r="S75" s="165"/>
      <c r="U75" s="201"/>
      <c r="V75" s="142"/>
      <c r="W75" s="199">
        <v>55</v>
      </c>
      <c r="X75" s="165"/>
      <c r="Z75" s="165"/>
      <c r="AB75" s="201"/>
      <c r="AC75" s="142"/>
      <c r="AD75" s="199">
        <v>55</v>
      </c>
      <c r="AE75" s="165"/>
      <c r="AG75" s="165"/>
      <c r="AI75" s="201"/>
      <c r="AJ75" s="142"/>
      <c r="AK75" s="199">
        <v>55</v>
      </c>
      <c r="AL75" s="165"/>
      <c r="AN75" s="165"/>
      <c r="AP75" s="201"/>
      <c r="AQ75" s="142"/>
      <c r="AR75" s="199">
        <v>55</v>
      </c>
      <c r="AS75" s="165"/>
      <c r="AU75" s="165"/>
      <c r="AW75" s="201"/>
      <c r="AX75" s="142"/>
      <c r="AY75" s="199">
        <v>55</v>
      </c>
      <c r="AZ75" s="165"/>
      <c r="BB75" s="165"/>
      <c r="BD75" s="201"/>
    </row>
    <row r="76" spans="2:56">
      <c r="B76" s="204">
        <v>56</v>
      </c>
      <c r="C76" s="165"/>
      <c r="E76" s="165"/>
      <c r="F76" s="196"/>
      <c r="G76" s="198"/>
      <c r="I76" s="199">
        <v>56</v>
      </c>
      <c r="J76" s="165"/>
      <c r="L76" s="165"/>
      <c r="N76" s="201"/>
      <c r="P76" s="199">
        <v>56</v>
      </c>
      <c r="Q76" s="165"/>
      <c r="S76" s="165"/>
      <c r="U76" s="201"/>
      <c r="V76" s="142"/>
      <c r="W76" s="199">
        <v>56</v>
      </c>
      <c r="X76" s="165"/>
      <c r="Z76" s="165"/>
      <c r="AB76" s="201"/>
      <c r="AC76" s="142"/>
      <c r="AD76" s="199">
        <v>56</v>
      </c>
      <c r="AE76" s="165"/>
      <c r="AG76" s="165"/>
      <c r="AI76" s="201"/>
      <c r="AJ76" s="142"/>
      <c r="AK76" s="199">
        <v>56</v>
      </c>
      <c r="AL76" s="165"/>
      <c r="AN76" s="165"/>
      <c r="AP76" s="201"/>
      <c r="AQ76" s="142"/>
      <c r="AR76" s="199">
        <v>56</v>
      </c>
      <c r="AS76" s="165"/>
      <c r="AU76" s="165"/>
      <c r="AW76" s="201"/>
      <c r="AX76" s="142"/>
      <c r="AY76" s="199">
        <v>56</v>
      </c>
      <c r="AZ76" s="165"/>
      <c r="BB76" s="165"/>
      <c r="BD76" s="201"/>
    </row>
    <row r="77" spans="2:56">
      <c r="B77" s="204">
        <v>57</v>
      </c>
      <c r="C77" s="165"/>
      <c r="E77" s="165"/>
      <c r="F77" s="196"/>
      <c r="G77" s="198"/>
      <c r="I77" s="199">
        <v>57</v>
      </c>
      <c r="J77" s="165"/>
      <c r="L77" s="165"/>
      <c r="N77" s="201"/>
      <c r="P77" s="199">
        <v>57</v>
      </c>
      <c r="Q77" s="165"/>
      <c r="S77" s="165"/>
      <c r="U77" s="201"/>
      <c r="V77" s="142"/>
      <c r="W77" s="199">
        <v>57</v>
      </c>
      <c r="X77" s="165"/>
      <c r="Z77" s="165"/>
      <c r="AB77" s="201"/>
      <c r="AC77" s="142"/>
      <c r="AD77" s="199">
        <v>57</v>
      </c>
      <c r="AE77" s="165"/>
      <c r="AG77" s="165"/>
      <c r="AI77" s="201"/>
      <c r="AJ77" s="142"/>
      <c r="AK77" s="199">
        <v>57</v>
      </c>
      <c r="AL77" s="165"/>
      <c r="AN77" s="165"/>
      <c r="AP77" s="201"/>
      <c r="AQ77" s="142"/>
      <c r="AR77" s="199">
        <v>57</v>
      </c>
      <c r="AS77" s="165"/>
      <c r="AU77" s="165"/>
      <c r="AW77" s="201"/>
      <c r="AX77" s="142"/>
      <c r="AY77" s="199">
        <v>57</v>
      </c>
      <c r="AZ77" s="165"/>
      <c r="BB77" s="165"/>
      <c r="BD77" s="201"/>
    </row>
    <row r="78" spans="2:56">
      <c r="B78" s="204">
        <v>58</v>
      </c>
      <c r="C78" s="165"/>
      <c r="E78" s="165"/>
      <c r="F78" s="196"/>
      <c r="G78" s="198"/>
      <c r="I78" s="199">
        <v>58</v>
      </c>
      <c r="J78" s="165"/>
      <c r="L78" s="165"/>
      <c r="N78" s="201"/>
      <c r="P78" s="199">
        <v>58</v>
      </c>
      <c r="Q78" s="165"/>
      <c r="S78" s="165"/>
      <c r="U78" s="201"/>
      <c r="V78" s="142"/>
      <c r="W78" s="199">
        <v>58</v>
      </c>
      <c r="X78" s="165"/>
      <c r="Z78" s="165"/>
      <c r="AB78" s="201"/>
      <c r="AC78" s="142"/>
      <c r="AD78" s="199">
        <v>58</v>
      </c>
      <c r="AE78" s="165"/>
      <c r="AG78" s="165"/>
      <c r="AI78" s="201"/>
      <c r="AJ78" s="142"/>
      <c r="AK78" s="199">
        <v>58</v>
      </c>
      <c r="AL78" s="165"/>
      <c r="AN78" s="165"/>
      <c r="AP78" s="201"/>
      <c r="AQ78" s="142"/>
      <c r="AR78" s="199">
        <v>58</v>
      </c>
      <c r="AS78" s="165"/>
      <c r="AU78" s="165"/>
      <c r="AW78" s="201"/>
      <c r="AX78" s="142"/>
      <c r="AY78" s="199">
        <v>58</v>
      </c>
      <c r="AZ78" s="165"/>
      <c r="BB78" s="165"/>
      <c r="BD78" s="201"/>
    </row>
    <row r="79" spans="2:56">
      <c r="B79" s="204">
        <v>59</v>
      </c>
      <c r="C79" s="165"/>
      <c r="E79" s="165"/>
      <c r="F79" s="196"/>
      <c r="G79" s="198"/>
      <c r="I79" s="199">
        <v>59</v>
      </c>
      <c r="J79" s="165"/>
      <c r="L79" s="165"/>
      <c r="N79" s="201"/>
      <c r="P79" s="199">
        <v>59</v>
      </c>
      <c r="Q79" s="165"/>
      <c r="S79" s="165"/>
      <c r="U79" s="201"/>
      <c r="V79" s="142"/>
      <c r="W79" s="199">
        <v>59</v>
      </c>
      <c r="X79" s="165"/>
      <c r="Z79" s="165"/>
      <c r="AB79" s="201"/>
      <c r="AC79" s="142"/>
      <c r="AD79" s="199">
        <v>59</v>
      </c>
      <c r="AE79" s="165"/>
      <c r="AG79" s="165"/>
      <c r="AI79" s="201"/>
      <c r="AJ79" s="142"/>
      <c r="AK79" s="199">
        <v>59</v>
      </c>
      <c r="AL79" s="165"/>
      <c r="AN79" s="165"/>
      <c r="AP79" s="201"/>
      <c r="AQ79" s="142"/>
      <c r="AR79" s="199">
        <v>59</v>
      </c>
      <c r="AS79" s="165"/>
      <c r="AU79" s="165"/>
      <c r="AW79" s="201"/>
      <c r="AX79" s="142"/>
      <c r="AY79" s="199">
        <v>59</v>
      </c>
      <c r="AZ79" s="165"/>
      <c r="BB79" s="165"/>
      <c r="BD79" s="201"/>
    </row>
    <row r="80" spans="2:56">
      <c r="B80" s="204">
        <v>60</v>
      </c>
      <c r="C80" s="165"/>
      <c r="E80" s="165"/>
      <c r="F80" s="196"/>
      <c r="G80" s="198"/>
      <c r="I80" s="199">
        <v>60</v>
      </c>
      <c r="J80" s="165"/>
      <c r="L80" s="165"/>
      <c r="N80" s="201"/>
      <c r="P80" s="199">
        <v>60</v>
      </c>
      <c r="Q80" s="165"/>
      <c r="S80" s="165"/>
      <c r="U80" s="201"/>
      <c r="V80" s="142"/>
      <c r="W80" s="199">
        <v>60</v>
      </c>
      <c r="X80" s="165"/>
      <c r="Z80" s="165"/>
      <c r="AB80" s="201"/>
      <c r="AC80" s="142"/>
      <c r="AD80" s="199">
        <v>60</v>
      </c>
      <c r="AE80" s="165"/>
      <c r="AG80" s="165"/>
      <c r="AI80" s="201"/>
      <c r="AJ80" s="142"/>
      <c r="AK80" s="199">
        <v>60</v>
      </c>
      <c r="AL80" s="165"/>
      <c r="AN80" s="165"/>
      <c r="AP80" s="201"/>
      <c r="AQ80" s="142"/>
      <c r="AR80" s="199">
        <v>60</v>
      </c>
      <c r="AS80" s="165"/>
      <c r="AU80" s="165"/>
      <c r="AW80" s="201"/>
      <c r="AX80" s="142"/>
      <c r="AY80" s="199">
        <v>60</v>
      </c>
      <c r="AZ80" s="165"/>
      <c r="BB80" s="165"/>
      <c r="BD80" s="201"/>
    </row>
    <row r="81" spans="2:56">
      <c r="B81" s="204">
        <v>61</v>
      </c>
      <c r="C81" s="165"/>
      <c r="E81" s="165"/>
      <c r="F81" s="196"/>
      <c r="G81" s="198"/>
      <c r="I81" s="199">
        <v>61</v>
      </c>
      <c r="J81" s="165"/>
      <c r="L81" s="165"/>
      <c r="N81" s="201"/>
      <c r="P81" s="199">
        <v>61</v>
      </c>
      <c r="Q81" s="165"/>
      <c r="S81" s="165"/>
      <c r="U81" s="201"/>
      <c r="V81" s="142"/>
      <c r="W81" s="199">
        <v>61</v>
      </c>
      <c r="X81" s="165"/>
      <c r="Z81" s="165"/>
      <c r="AB81" s="201"/>
      <c r="AC81" s="142"/>
      <c r="AD81" s="199">
        <v>61</v>
      </c>
      <c r="AE81" s="165"/>
      <c r="AG81" s="165"/>
      <c r="AI81" s="201"/>
      <c r="AJ81" s="142"/>
      <c r="AK81" s="199">
        <v>61</v>
      </c>
      <c r="AL81" s="165"/>
      <c r="AN81" s="165"/>
      <c r="AP81" s="201"/>
      <c r="AQ81" s="142"/>
      <c r="AR81" s="199">
        <v>61</v>
      </c>
      <c r="AS81" s="165"/>
      <c r="AU81" s="165"/>
      <c r="AW81" s="201"/>
      <c r="AX81" s="142"/>
      <c r="AY81" s="199">
        <v>61</v>
      </c>
      <c r="AZ81" s="165"/>
      <c r="BB81" s="165"/>
      <c r="BD81" s="201"/>
    </row>
    <row r="82" spans="2:56">
      <c r="B82" s="204">
        <v>62</v>
      </c>
      <c r="C82" s="165"/>
      <c r="E82" s="165"/>
      <c r="F82" s="196"/>
      <c r="G82" s="198"/>
      <c r="I82" s="199">
        <v>62</v>
      </c>
      <c r="J82" s="165"/>
      <c r="L82" s="165"/>
      <c r="N82" s="201"/>
      <c r="P82" s="199">
        <v>62</v>
      </c>
      <c r="Q82" s="165"/>
      <c r="S82" s="165"/>
      <c r="U82" s="201"/>
      <c r="V82" s="142"/>
      <c r="W82" s="199">
        <v>62</v>
      </c>
      <c r="X82" s="165"/>
      <c r="Z82" s="165"/>
      <c r="AB82" s="201"/>
      <c r="AC82" s="142"/>
      <c r="AD82" s="199">
        <v>62</v>
      </c>
      <c r="AE82" s="165"/>
      <c r="AG82" s="165"/>
      <c r="AI82" s="201"/>
      <c r="AJ82" s="142"/>
      <c r="AK82" s="199">
        <v>62</v>
      </c>
      <c r="AL82" s="165"/>
      <c r="AN82" s="165"/>
      <c r="AP82" s="201"/>
      <c r="AQ82" s="142"/>
      <c r="AR82" s="199">
        <v>62</v>
      </c>
      <c r="AS82" s="165"/>
      <c r="AU82" s="165"/>
      <c r="AW82" s="201"/>
      <c r="AX82" s="142"/>
      <c r="AY82" s="199">
        <v>62</v>
      </c>
      <c r="AZ82" s="165"/>
      <c r="BB82" s="165"/>
      <c r="BD82" s="201"/>
    </row>
    <row r="83" spans="2:56">
      <c r="B83" s="204">
        <v>63</v>
      </c>
      <c r="C83" s="165"/>
      <c r="E83" s="165"/>
      <c r="F83" s="196"/>
      <c r="G83" s="198"/>
      <c r="I83" s="199">
        <v>63</v>
      </c>
      <c r="J83" s="165"/>
      <c r="L83" s="165"/>
      <c r="N83" s="201"/>
      <c r="P83" s="199">
        <v>63</v>
      </c>
      <c r="Q83" s="165"/>
      <c r="S83" s="165"/>
      <c r="U83" s="201"/>
      <c r="V83" s="142"/>
      <c r="W83" s="199">
        <v>63</v>
      </c>
      <c r="X83" s="165"/>
      <c r="Z83" s="165"/>
      <c r="AB83" s="201"/>
      <c r="AC83" s="142"/>
      <c r="AD83" s="199">
        <v>63</v>
      </c>
      <c r="AE83" s="165"/>
      <c r="AG83" s="165"/>
      <c r="AI83" s="201"/>
      <c r="AJ83" s="142"/>
      <c r="AK83" s="199">
        <v>63</v>
      </c>
      <c r="AL83" s="165"/>
      <c r="AN83" s="165"/>
      <c r="AP83" s="201"/>
      <c r="AQ83" s="142"/>
      <c r="AR83" s="199">
        <v>63</v>
      </c>
      <c r="AS83" s="165"/>
      <c r="AU83" s="165"/>
      <c r="AW83" s="201"/>
      <c r="AX83" s="142"/>
      <c r="AY83" s="199">
        <v>63</v>
      </c>
      <c r="AZ83" s="165"/>
      <c r="BB83" s="165"/>
      <c r="BD83" s="201"/>
    </row>
    <row r="84" spans="2:56">
      <c r="B84" s="204">
        <v>64</v>
      </c>
      <c r="C84" s="165"/>
      <c r="E84" s="165"/>
      <c r="F84" s="196"/>
      <c r="G84" s="198"/>
      <c r="I84" s="199">
        <v>64</v>
      </c>
      <c r="J84" s="165"/>
      <c r="L84" s="165"/>
      <c r="N84" s="201"/>
      <c r="P84" s="199">
        <v>64</v>
      </c>
      <c r="Q84" s="165"/>
      <c r="S84" s="165"/>
      <c r="U84" s="201"/>
      <c r="V84" s="142"/>
      <c r="W84" s="199">
        <v>64</v>
      </c>
      <c r="X84" s="165"/>
      <c r="Z84" s="165"/>
      <c r="AB84" s="201"/>
      <c r="AC84" s="142"/>
      <c r="AD84" s="199">
        <v>64</v>
      </c>
      <c r="AE84" s="165"/>
      <c r="AG84" s="165"/>
      <c r="AI84" s="201"/>
      <c r="AJ84" s="142"/>
      <c r="AK84" s="199">
        <v>64</v>
      </c>
      <c r="AL84" s="165"/>
      <c r="AN84" s="165"/>
      <c r="AP84" s="201"/>
      <c r="AQ84" s="142"/>
      <c r="AR84" s="199">
        <v>64</v>
      </c>
      <c r="AS84" s="165"/>
      <c r="AU84" s="165"/>
      <c r="AW84" s="201"/>
      <c r="AX84" s="142"/>
      <c r="AY84" s="199">
        <v>64</v>
      </c>
      <c r="AZ84" s="165"/>
      <c r="BB84" s="165"/>
      <c r="BD84" s="201"/>
    </row>
    <row r="85" spans="2:56">
      <c r="B85" s="204">
        <v>65</v>
      </c>
      <c r="C85" s="165"/>
      <c r="E85" s="165"/>
      <c r="F85" s="196"/>
      <c r="G85" s="198"/>
      <c r="I85" s="199">
        <v>65</v>
      </c>
      <c r="J85" s="165"/>
      <c r="L85" s="165"/>
      <c r="N85" s="201"/>
      <c r="P85" s="199">
        <v>65</v>
      </c>
      <c r="Q85" s="165"/>
      <c r="S85" s="165"/>
      <c r="U85" s="201"/>
      <c r="V85" s="142"/>
      <c r="W85" s="199">
        <v>65</v>
      </c>
      <c r="X85" s="165"/>
      <c r="Z85" s="165"/>
      <c r="AB85" s="201"/>
      <c r="AC85" s="142"/>
      <c r="AD85" s="199">
        <v>65</v>
      </c>
      <c r="AE85" s="165"/>
      <c r="AG85" s="165"/>
      <c r="AI85" s="201"/>
      <c r="AJ85" s="142"/>
      <c r="AK85" s="199">
        <v>65</v>
      </c>
      <c r="AL85" s="165"/>
      <c r="AN85" s="165"/>
      <c r="AP85" s="201"/>
      <c r="AQ85" s="142"/>
      <c r="AR85" s="199">
        <v>65</v>
      </c>
      <c r="AS85" s="165"/>
      <c r="AU85" s="165"/>
      <c r="AW85" s="201"/>
      <c r="AX85" s="142"/>
      <c r="AY85" s="199">
        <v>65</v>
      </c>
      <c r="AZ85" s="165"/>
      <c r="BB85" s="165"/>
      <c r="BD85" s="201"/>
    </row>
    <row r="86" spans="2:56">
      <c r="B86" s="204">
        <v>66</v>
      </c>
      <c r="C86" s="165"/>
      <c r="E86" s="165"/>
      <c r="F86" s="196"/>
      <c r="G86" s="198"/>
      <c r="I86" s="199">
        <v>66</v>
      </c>
      <c r="J86" s="165"/>
      <c r="L86" s="165"/>
      <c r="N86" s="201"/>
      <c r="P86" s="199">
        <v>66</v>
      </c>
      <c r="Q86" s="165"/>
      <c r="S86" s="165"/>
      <c r="U86" s="201"/>
      <c r="V86" s="142"/>
      <c r="W86" s="199">
        <v>66</v>
      </c>
      <c r="X86" s="165"/>
      <c r="Z86" s="165"/>
      <c r="AB86" s="201"/>
      <c r="AC86" s="142"/>
      <c r="AD86" s="199">
        <v>66</v>
      </c>
      <c r="AE86" s="165"/>
      <c r="AG86" s="165"/>
      <c r="AI86" s="201"/>
      <c r="AJ86" s="142"/>
      <c r="AK86" s="199">
        <v>66</v>
      </c>
      <c r="AL86" s="165"/>
      <c r="AN86" s="165"/>
      <c r="AP86" s="201"/>
      <c r="AQ86" s="142"/>
      <c r="AR86" s="199">
        <v>66</v>
      </c>
      <c r="AS86" s="165"/>
      <c r="AU86" s="165"/>
      <c r="AW86" s="201"/>
      <c r="AX86" s="142"/>
      <c r="AY86" s="199">
        <v>66</v>
      </c>
      <c r="AZ86" s="165"/>
      <c r="BB86" s="165"/>
      <c r="BD86" s="201"/>
    </row>
    <row r="87" spans="2:56">
      <c r="B87" s="204">
        <v>67</v>
      </c>
      <c r="C87" s="165"/>
      <c r="E87" s="165"/>
      <c r="F87" s="196"/>
      <c r="G87" s="198"/>
      <c r="I87" s="199">
        <v>67</v>
      </c>
      <c r="J87" s="165"/>
      <c r="L87" s="165"/>
      <c r="N87" s="201"/>
      <c r="P87" s="199">
        <v>67</v>
      </c>
      <c r="Q87" s="165"/>
      <c r="S87" s="165"/>
      <c r="U87" s="201"/>
      <c r="V87" s="142"/>
      <c r="W87" s="199">
        <v>67</v>
      </c>
      <c r="X87" s="165"/>
      <c r="Z87" s="165"/>
      <c r="AB87" s="201"/>
      <c r="AC87" s="142"/>
      <c r="AD87" s="199">
        <v>67</v>
      </c>
      <c r="AE87" s="165"/>
      <c r="AG87" s="165"/>
      <c r="AI87" s="201"/>
      <c r="AJ87" s="142"/>
      <c r="AK87" s="199">
        <v>67</v>
      </c>
      <c r="AL87" s="165"/>
      <c r="AN87" s="165"/>
      <c r="AP87" s="201"/>
      <c r="AQ87" s="142"/>
      <c r="AR87" s="199">
        <v>67</v>
      </c>
      <c r="AS87" s="165"/>
      <c r="AU87" s="165"/>
      <c r="AW87" s="201"/>
      <c r="AX87" s="142"/>
      <c r="AY87" s="199">
        <v>67</v>
      </c>
      <c r="AZ87" s="165"/>
      <c r="BB87" s="165"/>
      <c r="BD87" s="201"/>
    </row>
    <row r="88" spans="2:56">
      <c r="B88" s="204">
        <v>68</v>
      </c>
      <c r="C88" s="165"/>
      <c r="E88" s="165"/>
      <c r="F88" s="196"/>
      <c r="G88" s="198"/>
      <c r="I88" s="199">
        <v>68</v>
      </c>
      <c r="J88" s="165"/>
      <c r="L88" s="165"/>
      <c r="N88" s="201"/>
      <c r="P88" s="199">
        <v>68</v>
      </c>
      <c r="Q88" s="165"/>
      <c r="S88" s="165"/>
      <c r="U88" s="201"/>
      <c r="V88" s="142"/>
      <c r="W88" s="199">
        <v>68</v>
      </c>
      <c r="X88" s="165"/>
      <c r="Z88" s="165"/>
      <c r="AB88" s="201"/>
      <c r="AC88" s="142"/>
      <c r="AD88" s="199">
        <v>68</v>
      </c>
      <c r="AE88" s="165"/>
      <c r="AG88" s="165"/>
      <c r="AI88" s="201"/>
      <c r="AJ88" s="142"/>
      <c r="AK88" s="199">
        <v>68</v>
      </c>
      <c r="AL88" s="165"/>
      <c r="AN88" s="165"/>
      <c r="AP88" s="201"/>
      <c r="AQ88" s="142"/>
      <c r="AR88" s="199">
        <v>68</v>
      </c>
      <c r="AS88" s="165"/>
      <c r="AU88" s="165"/>
      <c r="AW88" s="201"/>
      <c r="AX88" s="142"/>
      <c r="AY88" s="199">
        <v>68</v>
      </c>
      <c r="AZ88" s="165"/>
      <c r="BB88" s="165"/>
      <c r="BD88" s="201"/>
    </row>
    <row r="89" spans="2:56">
      <c r="B89" s="204">
        <v>69</v>
      </c>
      <c r="C89" s="165"/>
      <c r="E89" s="165"/>
      <c r="F89" s="196"/>
      <c r="G89" s="198"/>
      <c r="I89" s="199">
        <v>69</v>
      </c>
      <c r="J89" s="165"/>
      <c r="L89" s="165"/>
      <c r="N89" s="201"/>
      <c r="P89" s="199">
        <v>69</v>
      </c>
      <c r="Q89" s="165"/>
      <c r="S89" s="165"/>
      <c r="U89" s="201"/>
      <c r="V89" s="142"/>
      <c r="W89" s="199">
        <v>69</v>
      </c>
      <c r="X89" s="165"/>
      <c r="Z89" s="165"/>
      <c r="AB89" s="201"/>
      <c r="AC89" s="142"/>
      <c r="AD89" s="199">
        <v>69</v>
      </c>
      <c r="AE89" s="165"/>
      <c r="AG89" s="165"/>
      <c r="AI89" s="201"/>
      <c r="AJ89" s="142"/>
      <c r="AK89" s="199">
        <v>69</v>
      </c>
      <c r="AL89" s="165"/>
      <c r="AN89" s="165"/>
      <c r="AP89" s="201"/>
      <c r="AQ89" s="142"/>
      <c r="AR89" s="199">
        <v>69</v>
      </c>
      <c r="AS89" s="165"/>
      <c r="AU89" s="165"/>
      <c r="AW89" s="201"/>
      <c r="AX89" s="142"/>
      <c r="AY89" s="199">
        <v>69</v>
      </c>
      <c r="AZ89" s="165"/>
      <c r="BB89" s="165"/>
      <c r="BD89" s="201"/>
    </row>
    <row r="90" spans="2:56">
      <c r="B90" s="204">
        <v>70</v>
      </c>
      <c r="C90" s="165"/>
      <c r="E90" s="165"/>
      <c r="F90" s="196"/>
      <c r="G90" s="198"/>
      <c r="I90" s="199">
        <v>70</v>
      </c>
      <c r="J90" s="165"/>
      <c r="L90" s="165"/>
      <c r="N90" s="201"/>
      <c r="P90" s="199">
        <v>70</v>
      </c>
      <c r="Q90" s="165"/>
      <c r="S90" s="165"/>
      <c r="U90" s="201"/>
      <c r="V90" s="142"/>
      <c r="W90" s="199">
        <v>70</v>
      </c>
      <c r="X90" s="165"/>
      <c r="Z90" s="165"/>
      <c r="AB90" s="201"/>
      <c r="AC90" s="142"/>
      <c r="AD90" s="199">
        <v>70</v>
      </c>
      <c r="AE90" s="165"/>
      <c r="AG90" s="165"/>
      <c r="AI90" s="201"/>
      <c r="AJ90" s="142"/>
      <c r="AK90" s="199">
        <v>70</v>
      </c>
      <c r="AL90" s="165"/>
      <c r="AN90" s="165"/>
      <c r="AP90" s="201"/>
      <c r="AQ90" s="142"/>
      <c r="AR90" s="199">
        <v>70</v>
      </c>
      <c r="AS90" s="165"/>
      <c r="AU90" s="165"/>
      <c r="AW90" s="201"/>
      <c r="AX90" s="142"/>
      <c r="AY90" s="199">
        <v>70</v>
      </c>
      <c r="AZ90" s="165"/>
      <c r="BB90" s="165"/>
      <c r="BD90" s="201"/>
    </row>
    <row r="91" spans="2:56">
      <c r="B91" s="204">
        <v>71</v>
      </c>
      <c r="C91" s="165"/>
      <c r="E91" s="165"/>
      <c r="F91" s="196"/>
      <c r="G91" s="198"/>
      <c r="I91" s="199">
        <v>71</v>
      </c>
      <c r="J91" s="165"/>
      <c r="L91" s="165"/>
      <c r="N91" s="201"/>
      <c r="P91" s="199">
        <v>71</v>
      </c>
      <c r="Q91" s="165"/>
      <c r="S91" s="165"/>
      <c r="U91" s="201"/>
      <c r="V91" s="142"/>
      <c r="W91" s="199">
        <v>71</v>
      </c>
      <c r="X91" s="165"/>
      <c r="Z91" s="165"/>
      <c r="AB91" s="201"/>
      <c r="AC91" s="142"/>
      <c r="AD91" s="199">
        <v>71</v>
      </c>
      <c r="AE91" s="165"/>
      <c r="AG91" s="165"/>
      <c r="AI91" s="201"/>
      <c r="AJ91" s="142"/>
      <c r="AK91" s="199">
        <v>71</v>
      </c>
      <c r="AL91" s="165"/>
      <c r="AN91" s="165"/>
      <c r="AP91" s="201"/>
      <c r="AQ91" s="142"/>
      <c r="AR91" s="199">
        <v>71</v>
      </c>
      <c r="AS91" s="165"/>
      <c r="AU91" s="165"/>
      <c r="AW91" s="201"/>
      <c r="AX91" s="142"/>
      <c r="AY91" s="199">
        <v>71</v>
      </c>
      <c r="AZ91" s="165"/>
      <c r="BB91" s="165"/>
      <c r="BD91" s="201"/>
    </row>
    <row r="92" spans="2:56">
      <c r="B92" s="204">
        <v>72</v>
      </c>
      <c r="C92" s="165"/>
      <c r="E92" s="165"/>
      <c r="F92" s="196"/>
      <c r="G92" s="198"/>
      <c r="I92" s="199">
        <v>72</v>
      </c>
      <c r="J92" s="165"/>
      <c r="L92" s="165"/>
      <c r="N92" s="201"/>
      <c r="P92" s="199">
        <v>72</v>
      </c>
      <c r="Q92" s="165"/>
      <c r="S92" s="165"/>
      <c r="U92" s="201"/>
      <c r="V92" s="142"/>
      <c r="W92" s="199">
        <v>72</v>
      </c>
      <c r="X92" s="165"/>
      <c r="Z92" s="165"/>
      <c r="AB92" s="201"/>
      <c r="AC92" s="142"/>
      <c r="AD92" s="199">
        <v>72</v>
      </c>
      <c r="AE92" s="165"/>
      <c r="AG92" s="165"/>
      <c r="AI92" s="201"/>
      <c r="AJ92" s="142"/>
      <c r="AK92" s="199">
        <v>72</v>
      </c>
      <c r="AL92" s="165"/>
      <c r="AN92" s="165"/>
      <c r="AP92" s="201"/>
      <c r="AQ92" s="142"/>
      <c r="AR92" s="199">
        <v>72</v>
      </c>
      <c r="AS92" s="165"/>
      <c r="AU92" s="165"/>
      <c r="AW92" s="201"/>
      <c r="AX92" s="142"/>
      <c r="AY92" s="199">
        <v>72</v>
      </c>
      <c r="AZ92" s="165"/>
      <c r="BB92" s="165"/>
      <c r="BD92" s="201"/>
    </row>
    <row r="93" spans="2:56">
      <c r="B93" s="204">
        <v>73</v>
      </c>
      <c r="C93" s="165"/>
      <c r="E93" s="165"/>
      <c r="F93" s="196"/>
      <c r="G93" s="198"/>
      <c r="I93" s="199">
        <v>73</v>
      </c>
      <c r="J93" s="165"/>
      <c r="L93" s="165"/>
      <c r="N93" s="201"/>
      <c r="P93" s="199">
        <v>73</v>
      </c>
      <c r="Q93" s="165"/>
      <c r="S93" s="165"/>
      <c r="U93" s="201"/>
      <c r="V93" s="142"/>
      <c r="W93" s="199">
        <v>73</v>
      </c>
      <c r="X93" s="165"/>
      <c r="Z93" s="165"/>
      <c r="AB93" s="201"/>
      <c r="AC93" s="142"/>
      <c r="AD93" s="199">
        <v>73</v>
      </c>
      <c r="AE93" s="165"/>
      <c r="AG93" s="165"/>
      <c r="AI93" s="201"/>
      <c r="AJ93" s="142"/>
      <c r="AK93" s="199">
        <v>73</v>
      </c>
      <c r="AL93" s="165"/>
      <c r="AN93" s="165"/>
      <c r="AP93" s="201"/>
      <c r="AQ93" s="142"/>
      <c r="AR93" s="199">
        <v>73</v>
      </c>
      <c r="AS93" s="165"/>
      <c r="AU93" s="165"/>
      <c r="AW93" s="201"/>
      <c r="AX93" s="142"/>
      <c r="AY93" s="199">
        <v>73</v>
      </c>
      <c r="AZ93" s="165"/>
      <c r="BB93" s="165"/>
      <c r="BD93" s="201"/>
    </row>
    <row r="94" spans="2:56">
      <c r="B94" s="204">
        <v>74</v>
      </c>
      <c r="C94" s="165"/>
      <c r="E94" s="165"/>
      <c r="F94" s="196"/>
      <c r="G94" s="198"/>
      <c r="I94" s="199">
        <v>74</v>
      </c>
      <c r="J94" s="165"/>
      <c r="L94" s="165"/>
      <c r="N94" s="201"/>
      <c r="P94" s="199">
        <v>74</v>
      </c>
      <c r="Q94" s="165"/>
      <c r="S94" s="165"/>
      <c r="U94" s="201"/>
      <c r="V94" s="142"/>
      <c r="W94" s="199">
        <v>74</v>
      </c>
      <c r="X94" s="165"/>
      <c r="Z94" s="165"/>
      <c r="AB94" s="201"/>
      <c r="AC94" s="142"/>
      <c r="AD94" s="199">
        <v>74</v>
      </c>
      <c r="AE94" s="165"/>
      <c r="AG94" s="165"/>
      <c r="AI94" s="201"/>
      <c r="AJ94" s="142"/>
      <c r="AK94" s="199">
        <v>74</v>
      </c>
      <c r="AL94" s="165"/>
      <c r="AN94" s="165"/>
      <c r="AP94" s="201"/>
      <c r="AQ94" s="142"/>
      <c r="AR94" s="199">
        <v>74</v>
      </c>
      <c r="AS94" s="165"/>
      <c r="AU94" s="165"/>
      <c r="AW94" s="201"/>
      <c r="AX94" s="142"/>
      <c r="AY94" s="199">
        <v>74</v>
      </c>
      <c r="AZ94" s="165"/>
      <c r="BB94" s="165"/>
      <c r="BD94" s="201"/>
    </row>
    <row r="95" spans="2:56">
      <c r="B95" s="204">
        <v>75</v>
      </c>
      <c r="C95" s="165"/>
      <c r="E95" s="165"/>
      <c r="F95" s="196"/>
      <c r="G95" s="198"/>
      <c r="I95" s="199">
        <v>75</v>
      </c>
      <c r="J95" s="165"/>
      <c r="L95" s="165"/>
      <c r="N95" s="201"/>
      <c r="P95" s="199">
        <v>75</v>
      </c>
      <c r="Q95" s="165"/>
      <c r="S95" s="165"/>
      <c r="U95" s="201"/>
      <c r="V95" s="142"/>
      <c r="W95" s="199">
        <v>75</v>
      </c>
      <c r="X95" s="165"/>
      <c r="Z95" s="165"/>
      <c r="AB95" s="201"/>
      <c r="AC95" s="142"/>
      <c r="AD95" s="199">
        <v>75</v>
      </c>
      <c r="AE95" s="165"/>
      <c r="AG95" s="165"/>
      <c r="AI95" s="201"/>
      <c r="AJ95" s="142"/>
      <c r="AK95" s="199">
        <v>75</v>
      </c>
      <c r="AL95" s="165"/>
      <c r="AN95" s="165"/>
      <c r="AP95" s="201"/>
      <c r="AQ95" s="142"/>
      <c r="AR95" s="199">
        <v>75</v>
      </c>
      <c r="AS95" s="165"/>
      <c r="AU95" s="165"/>
      <c r="AW95" s="201"/>
      <c r="AX95" s="142"/>
      <c r="AY95" s="199">
        <v>75</v>
      </c>
      <c r="AZ95" s="165"/>
      <c r="BB95" s="165"/>
      <c r="BD95" s="201"/>
    </row>
    <row r="96" spans="2:56">
      <c r="B96" s="204">
        <v>76</v>
      </c>
      <c r="C96" s="165"/>
      <c r="E96" s="165"/>
      <c r="F96" s="196"/>
      <c r="G96" s="198"/>
      <c r="I96" s="199">
        <v>76</v>
      </c>
      <c r="J96" s="165"/>
      <c r="L96" s="165"/>
      <c r="N96" s="201"/>
      <c r="P96" s="199">
        <v>76</v>
      </c>
      <c r="Q96" s="165"/>
      <c r="S96" s="165"/>
      <c r="U96" s="201"/>
      <c r="V96" s="142"/>
      <c r="W96" s="199">
        <v>76</v>
      </c>
      <c r="X96" s="165"/>
      <c r="Z96" s="165"/>
      <c r="AB96" s="201"/>
      <c r="AC96" s="142"/>
      <c r="AD96" s="199">
        <v>76</v>
      </c>
      <c r="AE96" s="165"/>
      <c r="AG96" s="165"/>
      <c r="AI96" s="201"/>
      <c r="AJ96" s="142"/>
      <c r="AK96" s="199">
        <v>76</v>
      </c>
      <c r="AL96" s="165"/>
      <c r="AN96" s="165"/>
      <c r="AP96" s="201"/>
      <c r="AQ96" s="142"/>
      <c r="AR96" s="199">
        <v>76</v>
      </c>
      <c r="AS96" s="165"/>
      <c r="AU96" s="165"/>
      <c r="AW96" s="201"/>
      <c r="AX96" s="142"/>
      <c r="AY96" s="199">
        <v>76</v>
      </c>
      <c r="AZ96" s="165"/>
      <c r="BB96" s="165"/>
      <c r="BD96" s="201"/>
    </row>
    <row r="97" spans="2:56">
      <c r="B97" s="204">
        <v>77</v>
      </c>
      <c r="C97" s="165"/>
      <c r="E97" s="165"/>
      <c r="F97" s="196"/>
      <c r="G97" s="198"/>
      <c r="I97" s="199">
        <v>77</v>
      </c>
      <c r="J97" s="165"/>
      <c r="L97" s="165"/>
      <c r="N97" s="201"/>
      <c r="P97" s="199">
        <v>77</v>
      </c>
      <c r="Q97" s="165"/>
      <c r="S97" s="165"/>
      <c r="U97" s="201"/>
      <c r="V97" s="142"/>
      <c r="W97" s="199">
        <v>77</v>
      </c>
      <c r="X97" s="165"/>
      <c r="Z97" s="165"/>
      <c r="AB97" s="201"/>
      <c r="AC97" s="142"/>
      <c r="AD97" s="199">
        <v>77</v>
      </c>
      <c r="AE97" s="165"/>
      <c r="AG97" s="165"/>
      <c r="AI97" s="201"/>
      <c r="AJ97" s="142"/>
      <c r="AK97" s="199">
        <v>77</v>
      </c>
      <c r="AL97" s="165"/>
      <c r="AN97" s="165"/>
      <c r="AP97" s="201"/>
      <c r="AQ97" s="142"/>
      <c r="AR97" s="199">
        <v>77</v>
      </c>
      <c r="AS97" s="165"/>
      <c r="AU97" s="165"/>
      <c r="AW97" s="201"/>
      <c r="AX97" s="142"/>
      <c r="AY97" s="199">
        <v>77</v>
      </c>
      <c r="AZ97" s="165"/>
      <c r="BB97" s="165"/>
      <c r="BD97" s="201"/>
    </row>
    <row r="98" spans="2:56">
      <c r="B98" s="204">
        <v>78</v>
      </c>
      <c r="C98" s="165"/>
      <c r="E98" s="165"/>
      <c r="F98" s="196"/>
      <c r="G98" s="198"/>
      <c r="I98" s="199">
        <v>78</v>
      </c>
      <c r="J98" s="165"/>
      <c r="L98" s="165"/>
      <c r="N98" s="201"/>
      <c r="P98" s="199">
        <v>78</v>
      </c>
      <c r="Q98" s="165"/>
      <c r="S98" s="165"/>
      <c r="U98" s="201"/>
      <c r="V98" s="142"/>
      <c r="W98" s="199">
        <v>78</v>
      </c>
      <c r="X98" s="165"/>
      <c r="Z98" s="165"/>
      <c r="AB98" s="201"/>
      <c r="AC98" s="142"/>
      <c r="AD98" s="199">
        <v>78</v>
      </c>
      <c r="AE98" s="165"/>
      <c r="AG98" s="165"/>
      <c r="AI98" s="201"/>
      <c r="AJ98" s="142"/>
      <c r="AK98" s="199">
        <v>78</v>
      </c>
      <c r="AL98" s="165"/>
      <c r="AN98" s="165"/>
      <c r="AP98" s="201"/>
      <c r="AQ98" s="142"/>
      <c r="AR98" s="199">
        <v>78</v>
      </c>
      <c r="AS98" s="165"/>
      <c r="AU98" s="165"/>
      <c r="AW98" s="201"/>
      <c r="AX98" s="142"/>
      <c r="AY98" s="199">
        <v>78</v>
      </c>
      <c r="AZ98" s="165"/>
      <c r="BB98" s="165"/>
      <c r="BD98" s="201"/>
    </row>
    <row r="99" spans="2:56">
      <c r="B99" s="204">
        <v>79</v>
      </c>
      <c r="C99" s="165"/>
      <c r="E99" s="165"/>
      <c r="F99" s="196"/>
      <c r="G99" s="198"/>
      <c r="I99" s="199">
        <v>79</v>
      </c>
      <c r="J99" s="165"/>
      <c r="L99" s="165"/>
      <c r="N99" s="201"/>
      <c r="P99" s="199">
        <v>79</v>
      </c>
      <c r="Q99" s="165"/>
      <c r="S99" s="165"/>
      <c r="U99" s="201"/>
      <c r="V99" s="142"/>
      <c r="W99" s="199">
        <v>79</v>
      </c>
      <c r="X99" s="165"/>
      <c r="Z99" s="165"/>
      <c r="AB99" s="201"/>
      <c r="AC99" s="142"/>
      <c r="AD99" s="199">
        <v>79</v>
      </c>
      <c r="AE99" s="165"/>
      <c r="AG99" s="165"/>
      <c r="AI99" s="201"/>
      <c r="AJ99" s="142"/>
      <c r="AK99" s="199">
        <v>79</v>
      </c>
      <c r="AL99" s="165"/>
      <c r="AN99" s="165"/>
      <c r="AP99" s="201"/>
      <c r="AQ99" s="142"/>
      <c r="AR99" s="199">
        <v>79</v>
      </c>
      <c r="AS99" s="165"/>
      <c r="AU99" s="165"/>
      <c r="AW99" s="201"/>
      <c r="AX99" s="142"/>
      <c r="AY99" s="199">
        <v>79</v>
      </c>
      <c r="AZ99" s="165"/>
      <c r="BB99" s="165"/>
      <c r="BD99" s="201"/>
    </row>
    <row r="100" spans="2:56">
      <c r="B100" s="204">
        <v>80</v>
      </c>
      <c r="C100" s="165"/>
      <c r="E100" s="165"/>
      <c r="F100" s="196"/>
      <c r="G100" s="198"/>
      <c r="I100" s="199">
        <v>80</v>
      </c>
      <c r="J100" s="165"/>
      <c r="L100" s="165"/>
      <c r="N100" s="201"/>
      <c r="P100" s="199">
        <v>80</v>
      </c>
      <c r="Q100" s="165"/>
      <c r="S100" s="165"/>
      <c r="U100" s="201"/>
      <c r="V100" s="142"/>
      <c r="W100" s="199">
        <v>80</v>
      </c>
      <c r="X100" s="165"/>
      <c r="Z100" s="165"/>
      <c r="AB100" s="201"/>
      <c r="AC100" s="142"/>
      <c r="AD100" s="199">
        <v>80</v>
      </c>
      <c r="AE100" s="165"/>
      <c r="AG100" s="165"/>
      <c r="AI100" s="201"/>
      <c r="AJ100" s="142"/>
      <c r="AK100" s="199">
        <v>80</v>
      </c>
      <c r="AL100" s="165"/>
      <c r="AN100" s="165"/>
      <c r="AP100" s="201"/>
      <c r="AQ100" s="142"/>
      <c r="AR100" s="199">
        <v>80</v>
      </c>
      <c r="AS100" s="165"/>
      <c r="AU100" s="165"/>
      <c r="AW100" s="201"/>
      <c r="AX100" s="142"/>
      <c r="AY100" s="199">
        <v>80</v>
      </c>
      <c r="AZ100" s="165"/>
      <c r="BB100" s="165"/>
      <c r="BD100" s="201"/>
    </row>
    <row r="101" spans="2:56">
      <c r="B101" s="204">
        <v>81</v>
      </c>
      <c r="C101" s="165"/>
      <c r="E101" s="165"/>
      <c r="F101" s="196"/>
      <c r="G101" s="198"/>
      <c r="I101" s="199">
        <v>81</v>
      </c>
      <c r="J101" s="165"/>
      <c r="L101" s="165"/>
      <c r="N101" s="201"/>
      <c r="P101" s="199">
        <v>81</v>
      </c>
      <c r="Q101" s="165"/>
      <c r="S101" s="165"/>
      <c r="U101" s="201"/>
      <c r="V101" s="142"/>
      <c r="W101" s="199">
        <v>81</v>
      </c>
      <c r="X101" s="165"/>
      <c r="Z101" s="165"/>
      <c r="AB101" s="201"/>
      <c r="AC101" s="142"/>
      <c r="AD101" s="199">
        <v>81</v>
      </c>
      <c r="AE101" s="165"/>
      <c r="AG101" s="165"/>
      <c r="AI101" s="201"/>
      <c r="AJ101" s="142"/>
      <c r="AK101" s="199">
        <v>81</v>
      </c>
      <c r="AL101" s="165"/>
      <c r="AN101" s="165"/>
      <c r="AP101" s="201"/>
      <c r="AQ101" s="142"/>
      <c r="AR101" s="199">
        <v>81</v>
      </c>
      <c r="AS101" s="165"/>
      <c r="AU101" s="165"/>
      <c r="AW101" s="201"/>
      <c r="AX101" s="142"/>
      <c r="AY101" s="199">
        <v>81</v>
      </c>
      <c r="AZ101" s="165"/>
      <c r="BB101" s="165"/>
      <c r="BD101" s="201"/>
    </row>
    <row r="102" spans="2:56">
      <c r="B102" s="204">
        <v>82</v>
      </c>
      <c r="C102" s="165"/>
      <c r="E102" s="165"/>
      <c r="F102" s="196"/>
      <c r="G102" s="198"/>
      <c r="I102" s="199">
        <v>82</v>
      </c>
      <c r="J102" s="165"/>
      <c r="L102" s="165"/>
      <c r="N102" s="201"/>
      <c r="P102" s="199">
        <v>82</v>
      </c>
      <c r="Q102" s="165"/>
      <c r="S102" s="165"/>
      <c r="U102" s="201"/>
      <c r="V102" s="142"/>
      <c r="W102" s="199">
        <v>82</v>
      </c>
      <c r="X102" s="165"/>
      <c r="Z102" s="165"/>
      <c r="AB102" s="201"/>
      <c r="AC102" s="142"/>
      <c r="AD102" s="199">
        <v>82</v>
      </c>
      <c r="AE102" s="165"/>
      <c r="AG102" s="165"/>
      <c r="AI102" s="201"/>
      <c r="AJ102" s="142"/>
      <c r="AK102" s="199">
        <v>82</v>
      </c>
      <c r="AL102" s="165"/>
      <c r="AN102" s="165"/>
      <c r="AP102" s="201"/>
      <c r="AQ102" s="142"/>
      <c r="AR102" s="199">
        <v>82</v>
      </c>
      <c r="AS102" s="165"/>
      <c r="AU102" s="165"/>
      <c r="AW102" s="201"/>
      <c r="AX102" s="142"/>
      <c r="AY102" s="199">
        <v>82</v>
      </c>
      <c r="AZ102" s="165"/>
      <c r="BB102" s="165"/>
      <c r="BD102" s="201"/>
    </row>
    <row r="103" spans="2:56">
      <c r="B103" s="204">
        <v>83</v>
      </c>
      <c r="C103" s="165"/>
      <c r="E103" s="165"/>
      <c r="F103" s="196"/>
      <c r="G103" s="198"/>
      <c r="I103" s="199">
        <v>83</v>
      </c>
      <c r="J103" s="165"/>
      <c r="L103" s="165"/>
      <c r="N103" s="201"/>
      <c r="P103" s="199">
        <v>83</v>
      </c>
      <c r="Q103" s="165"/>
      <c r="S103" s="165"/>
      <c r="U103" s="201"/>
      <c r="V103" s="142"/>
      <c r="W103" s="199">
        <v>83</v>
      </c>
      <c r="X103" s="165"/>
      <c r="Z103" s="165"/>
      <c r="AB103" s="201"/>
      <c r="AC103" s="142"/>
      <c r="AD103" s="199">
        <v>83</v>
      </c>
      <c r="AE103" s="165"/>
      <c r="AG103" s="165"/>
      <c r="AI103" s="201"/>
      <c r="AJ103" s="142"/>
      <c r="AK103" s="199">
        <v>83</v>
      </c>
      <c r="AL103" s="165"/>
      <c r="AN103" s="165"/>
      <c r="AP103" s="201"/>
      <c r="AQ103" s="142"/>
      <c r="AR103" s="199">
        <v>83</v>
      </c>
      <c r="AS103" s="165"/>
      <c r="AU103" s="165"/>
      <c r="AW103" s="201"/>
      <c r="AX103" s="142"/>
      <c r="AY103" s="199">
        <v>83</v>
      </c>
      <c r="AZ103" s="165"/>
      <c r="BB103" s="165"/>
      <c r="BD103" s="201"/>
    </row>
    <row r="104" spans="2:56">
      <c r="B104" s="204">
        <v>84</v>
      </c>
      <c r="C104" s="165"/>
      <c r="E104" s="165"/>
      <c r="F104" s="196"/>
      <c r="G104" s="198"/>
      <c r="I104" s="199">
        <v>84</v>
      </c>
      <c r="J104" s="165"/>
      <c r="L104" s="165"/>
      <c r="N104" s="201"/>
      <c r="P104" s="199">
        <v>84</v>
      </c>
      <c r="Q104" s="165"/>
      <c r="S104" s="165"/>
      <c r="U104" s="201"/>
      <c r="V104" s="142"/>
      <c r="W104" s="199">
        <v>84</v>
      </c>
      <c r="X104" s="165"/>
      <c r="Z104" s="165"/>
      <c r="AB104" s="201"/>
      <c r="AC104" s="142"/>
      <c r="AD104" s="199">
        <v>84</v>
      </c>
      <c r="AE104" s="165"/>
      <c r="AG104" s="165"/>
      <c r="AI104" s="201"/>
      <c r="AJ104" s="142"/>
      <c r="AK104" s="199">
        <v>84</v>
      </c>
      <c r="AL104" s="165"/>
      <c r="AN104" s="165"/>
      <c r="AP104" s="201"/>
      <c r="AQ104" s="142"/>
      <c r="AR104" s="199">
        <v>84</v>
      </c>
      <c r="AS104" s="165"/>
      <c r="AU104" s="165"/>
      <c r="AW104" s="201"/>
      <c r="AX104" s="142"/>
      <c r="AY104" s="199">
        <v>84</v>
      </c>
      <c r="AZ104" s="165"/>
      <c r="BB104" s="165"/>
      <c r="BD104" s="201"/>
    </row>
    <row r="105" spans="2:56">
      <c r="B105" s="204">
        <v>85</v>
      </c>
      <c r="C105" s="165"/>
      <c r="E105" s="165"/>
      <c r="F105" s="196"/>
      <c r="G105" s="198"/>
      <c r="I105" s="199">
        <v>85</v>
      </c>
      <c r="J105" s="165"/>
      <c r="L105" s="165"/>
      <c r="N105" s="201"/>
      <c r="P105" s="199">
        <v>85</v>
      </c>
      <c r="Q105" s="165"/>
      <c r="S105" s="165"/>
      <c r="U105" s="201"/>
      <c r="V105" s="142"/>
      <c r="W105" s="199">
        <v>85</v>
      </c>
      <c r="X105" s="165"/>
      <c r="Z105" s="165"/>
      <c r="AB105" s="201"/>
      <c r="AC105" s="142"/>
      <c r="AD105" s="199">
        <v>85</v>
      </c>
      <c r="AE105" s="165"/>
      <c r="AG105" s="165"/>
      <c r="AI105" s="201"/>
      <c r="AJ105" s="142"/>
      <c r="AK105" s="199">
        <v>85</v>
      </c>
      <c r="AL105" s="165"/>
      <c r="AN105" s="165"/>
      <c r="AP105" s="201"/>
      <c r="AQ105" s="142"/>
      <c r="AR105" s="199">
        <v>85</v>
      </c>
      <c r="AS105" s="165"/>
      <c r="AU105" s="165"/>
      <c r="AW105" s="201"/>
      <c r="AX105" s="142"/>
      <c r="AY105" s="199">
        <v>85</v>
      </c>
      <c r="AZ105" s="165"/>
      <c r="BB105" s="165"/>
      <c r="BD105" s="201"/>
    </row>
    <row r="106" spans="2:56">
      <c r="B106" s="204">
        <v>86</v>
      </c>
      <c r="C106" s="165"/>
      <c r="E106" s="165"/>
      <c r="F106" s="196"/>
      <c r="G106" s="198"/>
      <c r="I106" s="199">
        <v>86</v>
      </c>
      <c r="J106" s="165"/>
      <c r="L106" s="165"/>
      <c r="N106" s="201"/>
      <c r="P106" s="199">
        <v>86</v>
      </c>
      <c r="Q106" s="165"/>
      <c r="S106" s="165"/>
      <c r="U106" s="201"/>
      <c r="V106" s="142"/>
      <c r="W106" s="199">
        <v>86</v>
      </c>
      <c r="X106" s="165"/>
      <c r="Z106" s="165"/>
      <c r="AB106" s="201"/>
      <c r="AC106" s="142"/>
      <c r="AD106" s="199">
        <v>86</v>
      </c>
      <c r="AE106" s="165"/>
      <c r="AG106" s="165"/>
      <c r="AI106" s="201"/>
      <c r="AJ106" s="142"/>
      <c r="AK106" s="199">
        <v>86</v>
      </c>
      <c r="AL106" s="165"/>
      <c r="AN106" s="165"/>
      <c r="AP106" s="201"/>
      <c r="AQ106" s="142"/>
      <c r="AR106" s="199">
        <v>86</v>
      </c>
      <c r="AS106" s="165"/>
      <c r="AU106" s="165"/>
      <c r="AW106" s="201"/>
      <c r="AX106" s="142"/>
      <c r="AY106" s="199">
        <v>86</v>
      </c>
      <c r="AZ106" s="165"/>
      <c r="BB106" s="165"/>
      <c r="BD106" s="201"/>
    </row>
    <row r="107" spans="2:56">
      <c r="B107" s="204">
        <v>87</v>
      </c>
      <c r="C107" s="165"/>
      <c r="E107" s="165"/>
      <c r="F107" s="196"/>
      <c r="G107" s="198"/>
      <c r="I107" s="199">
        <v>87</v>
      </c>
      <c r="J107" s="165"/>
      <c r="L107" s="165"/>
      <c r="N107" s="201"/>
      <c r="P107" s="199">
        <v>87</v>
      </c>
      <c r="Q107" s="165"/>
      <c r="S107" s="165"/>
      <c r="U107" s="201"/>
      <c r="V107" s="142"/>
      <c r="W107" s="199">
        <v>87</v>
      </c>
      <c r="X107" s="165"/>
      <c r="Z107" s="165"/>
      <c r="AB107" s="201"/>
      <c r="AC107" s="142"/>
      <c r="AD107" s="199">
        <v>87</v>
      </c>
      <c r="AE107" s="165"/>
      <c r="AG107" s="165"/>
      <c r="AI107" s="201"/>
      <c r="AJ107" s="142"/>
      <c r="AK107" s="199">
        <v>87</v>
      </c>
      <c r="AL107" s="165"/>
      <c r="AN107" s="165"/>
      <c r="AP107" s="201"/>
      <c r="AQ107" s="142"/>
      <c r="AR107" s="199">
        <v>87</v>
      </c>
      <c r="AS107" s="165"/>
      <c r="AU107" s="165"/>
      <c r="AW107" s="201"/>
      <c r="AX107" s="142"/>
      <c r="AY107" s="199">
        <v>87</v>
      </c>
      <c r="AZ107" s="165"/>
      <c r="BB107" s="165"/>
      <c r="BD107" s="201"/>
    </row>
    <row r="108" spans="2:56">
      <c r="B108" s="204">
        <v>88</v>
      </c>
      <c r="C108" s="165"/>
      <c r="E108" s="165"/>
      <c r="F108" s="196"/>
      <c r="G108" s="198"/>
      <c r="I108" s="199">
        <v>88</v>
      </c>
      <c r="J108" s="165"/>
      <c r="L108" s="165"/>
      <c r="N108" s="201"/>
      <c r="P108" s="199">
        <v>88</v>
      </c>
      <c r="Q108" s="165"/>
      <c r="S108" s="165"/>
      <c r="U108" s="201"/>
      <c r="V108" s="142"/>
      <c r="W108" s="199">
        <v>88</v>
      </c>
      <c r="X108" s="165"/>
      <c r="Z108" s="165"/>
      <c r="AB108" s="201"/>
      <c r="AC108" s="142"/>
      <c r="AD108" s="199">
        <v>88</v>
      </c>
      <c r="AE108" s="165"/>
      <c r="AG108" s="165"/>
      <c r="AI108" s="201"/>
      <c r="AJ108" s="142"/>
      <c r="AK108" s="199">
        <v>88</v>
      </c>
      <c r="AL108" s="165"/>
      <c r="AN108" s="165"/>
      <c r="AP108" s="201"/>
      <c r="AQ108" s="142"/>
      <c r="AR108" s="199">
        <v>88</v>
      </c>
      <c r="AS108" s="165"/>
      <c r="AU108" s="165"/>
      <c r="AW108" s="201"/>
      <c r="AX108" s="142"/>
      <c r="AY108" s="199">
        <v>88</v>
      </c>
      <c r="AZ108" s="165"/>
      <c r="BB108" s="165"/>
      <c r="BD108" s="201"/>
    </row>
    <row r="109" spans="2:56">
      <c r="B109" s="204">
        <v>89</v>
      </c>
      <c r="C109" s="165"/>
      <c r="E109" s="165"/>
      <c r="F109" s="196"/>
      <c r="G109" s="198"/>
      <c r="I109" s="199">
        <v>89</v>
      </c>
      <c r="J109" s="165"/>
      <c r="L109" s="165"/>
      <c r="N109" s="201"/>
      <c r="P109" s="199">
        <v>89</v>
      </c>
      <c r="Q109" s="165"/>
      <c r="S109" s="165"/>
      <c r="U109" s="201"/>
      <c r="V109" s="142"/>
      <c r="W109" s="199">
        <v>89</v>
      </c>
      <c r="X109" s="165"/>
      <c r="Z109" s="165"/>
      <c r="AB109" s="201"/>
      <c r="AC109" s="142"/>
      <c r="AD109" s="199">
        <v>89</v>
      </c>
      <c r="AE109" s="165"/>
      <c r="AG109" s="165"/>
      <c r="AI109" s="201"/>
      <c r="AJ109" s="142"/>
      <c r="AK109" s="199">
        <v>89</v>
      </c>
      <c r="AL109" s="165"/>
      <c r="AN109" s="165"/>
      <c r="AP109" s="201"/>
      <c r="AQ109" s="142"/>
      <c r="AR109" s="199">
        <v>89</v>
      </c>
      <c r="AS109" s="165"/>
      <c r="AU109" s="165"/>
      <c r="AW109" s="201"/>
      <c r="AX109" s="142"/>
      <c r="AY109" s="199">
        <v>89</v>
      </c>
      <c r="AZ109" s="165"/>
      <c r="BB109" s="165"/>
      <c r="BD109" s="201"/>
    </row>
    <row r="110" spans="2:56">
      <c r="B110" s="204">
        <v>90</v>
      </c>
      <c r="C110" s="165"/>
      <c r="E110" s="165"/>
      <c r="F110" s="196"/>
      <c r="G110" s="198"/>
      <c r="I110" s="199">
        <v>90</v>
      </c>
      <c r="J110" s="165"/>
      <c r="L110" s="165"/>
      <c r="N110" s="201"/>
      <c r="P110" s="199">
        <v>90</v>
      </c>
      <c r="Q110" s="165"/>
      <c r="S110" s="165"/>
      <c r="U110" s="201"/>
      <c r="V110" s="142"/>
      <c r="W110" s="199">
        <v>90</v>
      </c>
      <c r="X110" s="165"/>
      <c r="Z110" s="165"/>
      <c r="AB110" s="201"/>
      <c r="AC110" s="142"/>
      <c r="AD110" s="199">
        <v>90</v>
      </c>
      <c r="AE110" s="165"/>
      <c r="AG110" s="165"/>
      <c r="AI110" s="201"/>
      <c r="AJ110" s="142"/>
      <c r="AK110" s="199">
        <v>90</v>
      </c>
      <c r="AL110" s="165"/>
      <c r="AN110" s="165"/>
      <c r="AP110" s="201"/>
      <c r="AQ110" s="142"/>
      <c r="AR110" s="199">
        <v>90</v>
      </c>
      <c r="AS110" s="165"/>
      <c r="AU110" s="165"/>
      <c r="AW110" s="201"/>
      <c r="AX110" s="142"/>
      <c r="AY110" s="199">
        <v>90</v>
      </c>
      <c r="AZ110" s="165"/>
      <c r="BB110" s="165"/>
      <c r="BD110" s="201"/>
    </row>
    <row r="111" spans="2:56">
      <c r="B111" s="204">
        <v>91</v>
      </c>
      <c r="C111" s="165"/>
      <c r="E111" s="165"/>
      <c r="F111" s="196"/>
      <c r="G111" s="198"/>
      <c r="I111" s="199">
        <v>91</v>
      </c>
      <c r="J111" s="165"/>
      <c r="L111" s="165"/>
      <c r="N111" s="201"/>
      <c r="P111" s="199">
        <v>91</v>
      </c>
      <c r="Q111" s="165"/>
      <c r="S111" s="165"/>
      <c r="U111" s="201"/>
      <c r="V111" s="142"/>
      <c r="W111" s="199">
        <v>91</v>
      </c>
      <c r="X111" s="165"/>
      <c r="Z111" s="165"/>
      <c r="AB111" s="201"/>
      <c r="AC111" s="142"/>
      <c r="AD111" s="199">
        <v>91</v>
      </c>
      <c r="AE111" s="165"/>
      <c r="AG111" s="165"/>
      <c r="AI111" s="201"/>
      <c r="AJ111" s="142"/>
      <c r="AK111" s="199">
        <v>91</v>
      </c>
      <c r="AL111" s="165"/>
      <c r="AN111" s="165"/>
      <c r="AP111" s="201"/>
      <c r="AQ111" s="142"/>
      <c r="AR111" s="199">
        <v>91</v>
      </c>
      <c r="AS111" s="165"/>
      <c r="AU111" s="165"/>
      <c r="AW111" s="201"/>
      <c r="AX111" s="142"/>
      <c r="AY111" s="199">
        <v>91</v>
      </c>
      <c r="AZ111" s="165"/>
      <c r="BB111" s="165"/>
      <c r="BD111" s="201"/>
    </row>
    <row r="112" spans="2:56">
      <c r="B112" s="204">
        <v>92</v>
      </c>
      <c r="C112" s="165"/>
      <c r="E112" s="165"/>
      <c r="F112" s="196"/>
      <c r="G112" s="198"/>
      <c r="I112" s="199">
        <v>92</v>
      </c>
      <c r="J112" s="165"/>
      <c r="L112" s="165"/>
      <c r="N112" s="201"/>
      <c r="P112" s="199">
        <v>92</v>
      </c>
      <c r="Q112" s="165"/>
      <c r="S112" s="165"/>
      <c r="U112" s="201"/>
      <c r="V112" s="142"/>
      <c r="W112" s="199">
        <v>92</v>
      </c>
      <c r="X112" s="165"/>
      <c r="Z112" s="165"/>
      <c r="AB112" s="201"/>
      <c r="AC112" s="142"/>
      <c r="AD112" s="199">
        <v>92</v>
      </c>
      <c r="AE112" s="165"/>
      <c r="AG112" s="165"/>
      <c r="AI112" s="201"/>
      <c r="AJ112" s="142"/>
      <c r="AK112" s="199">
        <v>92</v>
      </c>
      <c r="AL112" s="165"/>
      <c r="AN112" s="165"/>
      <c r="AP112" s="201"/>
      <c r="AQ112" s="142"/>
      <c r="AR112" s="199">
        <v>92</v>
      </c>
      <c r="AS112" s="165"/>
      <c r="AU112" s="165"/>
      <c r="AW112" s="201"/>
      <c r="AX112" s="142"/>
      <c r="AY112" s="199">
        <v>92</v>
      </c>
      <c r="AZ112" s="165"/>
      <c r="BB112" s="165"/>
      <c r="BD112" s="201"/>
    </row>
    <row r="113" spans="2:56">
      <c r="B113" s="204">
        <v>93</v>
      </c>
      <c r="C113" s="165"/>
      <c r="E113" s="165"/>
      <c r="F113" s="196"/>
      <c r="G113" s="198"/>
      <c r="I113" s="199">
        <v>93</v>
      </c>
      <c r="J113" s="165"/>
      <c r="L113" s="165"/>
      <c r="N113" s="201"/>
      <c r="P113" s="199">
        <v>93</v>
      </c>
      <c r="Q113" s="165"/>
      <c r="S113" s="165"/>
      <c r="U113" s="201"/>
      <c r="V113" s="142"/>
      <c r="W113" s="199">
        <v>93</v>
      </c>
      <c r="X113" s="165"/>
      <c r="Z113" s="165"/>
      <c r="AB113" s="201"/>
      <c r="AC113" s="142"/>
      <c r="AD113" s="199">
        <v>93</v>
      </c>
      <c r="AE113" s="165"/>
      <c r="AG113" s="165"/>
      <c r="AI113" s="201"/>
      <c r="AJ113" s="142"/>
      <c r="AK113" s="199">
        <v>93</v>
      </c>
      <c r="AL113" s="165"/>
      <c r="AN113" s="165"/>
      <c r="AP113" s="201"/>
      <c r="AQ113" s="142"/>
      <c r="AR113" s="199">
        <v>93</v>
      </c>
      <c r="AS113" s="165"/>
      <c r="AU113" s="165"/>
      <c r="AW113" s="201"/>
      <c r="AX113" s="142"/>
      <c r="AY113" s="199">
        <v>93</v>
      </c>
      <c r="AZ113" s="165"/>
      <c r="BB113" s="165"/>
      <c r="BD113" s="201"/>
    </row>
    <row r="114" spans="2:56">
      <c r="B114" s="204">
        <v>94</v>
      </c>
      <c r="C114" s="165"/>
      <c r="E114" s="165"/>
      <c r="F114" s="196"/>
      <c r="G114" s="198"/>
      <c r="I114" s="199">
        <v>94</v>
      </c>
      <c r="J114" s="165"/>
      <c r="L114" s="165"/>
      <c r="N114" s="201"/>
      <c r="P114" s="199">
        <v>94</v>
      </c>
      <c r="Q114" s="165"/>
      <c r="S114" s="165"/>
      <c r="U114" s="201"/>
      <c r="V114" s="142"/>
      <c r="W114" s="199">
        <v>94</v>
      </c>
      <c r="X114" s="165"/>
      <c r="Z114" s="165"/>
      <c r="AB114" s="201"/>
      <c r="AC114" s="142"/>
      <c r="AD114" s="199">
        <v>94</v>
      </c>
      <c r="AE114" s="165"/>
      <c r="AG114" s="165"/>
      <c r="AI114" s="201"/>
      <c r="AJ114" s="142"/>
      <c r="AK114" s="199">
        <v>94</v>
      </c>
      <c r="AL114" s="165"/>
      <c r="AN114" s="165"/>
      <c r="AP114" s="201"/>
      <c r="AQ114" s="142"/>
      <c r="AR114" s="199">
        <v>94</v>
      </c>
      <c r="AS114" s="165"/>
      <c r="AU114" s="165"/>
      <c r="AW114" s="201"/>
      <c r="AX114" s="142"/>
      <c r="AY114" s="199">
        <v>94</v>
      </c>
      <c r="AZ114" s="165"/>
      <c r="BB114" s="165"/>
      <c r="BD114" s="201"/>
    </row>
    <row r="115" spans="2:56">
      <c r="B115" s="204">
        <v>95</v>
      </c>
      <c r="C115" s="165"/>
      <c r="E115" s="165"/>
      <c r="F115" s="196"/>
      <c r="G115" s="198"/>
      <c r="I115" s="199">
        <v>95</v>
      </c>
      <c r="J115" s="165"/>
      <c r="L115" s="165"/>
      <c r="N115" s="201"/>
      <c r="P115" s="199">
        <v>95</v>
      </c>
      <c r="Q115" s="165"/>
      <c r="S115" s="165"/>
      <c r="U115" s="201"/>
      <c r="V115" s="142"/>
      <c r="W115" s="199">
        <v>95</v>
      </c>
      <c r="X115" s="165"/>
      <c r="Z115" s="165"/>
      <c r="AB115" s="201"/>
      <c r="AC115" s="142"/>
      <c r="AD115" s="199">
        <v>95</v>
      </c>
      <c r="AE115" s="165"/>
      <c r="AG115" s="165"/>
      <c r="AI115" s="201"/>
      <c r="AJ115" s="142"/>
      <c r="AK115" s="199">
        <v>95</v>
      </c>
      <c r="AL115" s="165"/>
      <c r="AN115" s="165"/>
      <c r="AP115" s="201"/>
      <c r="AQ115" s="142"/>
      <c r="AR115" s="199">
        <v>95</v>
      </c>
      <c r="AS115" s="165"/>
      <c r="AU115" s="165"/>
      <c r="AW115" s="201"/>
      <c r="AX115" s="142"/>
      <c r="AY115" s="199">
        <v>95</v>
      </c>
      <c r="AZ115" s="165"/>
      <c r="BB115" s="165"/>
      <c r="BD115" s="201"/>
    </row>
    <row r="116" spans="2:56">
      <c r="B116" s="204">
        <v>96</v>
      </c>
      <c r="C116" s="165"/>
      <c r="E116" s="165"/>
      <c r="F116" s="196"/>
      <c r="G116" s="198"/>
      <c r="I116" s="199">
        <v>96</v>
      </c>
      <c r="J116" s="165"/>
      <c r="L116" s="165"/>
      <c r="N116" s="201"/>
      <c r="P116" s="199">
        <v>96</v>
      </c>
      <c r="Q116" s="165"/>
      <c r="S116" s="165"/>
      <c r="U116" s="201"/>
      <c r="V116" s="142"/>
      <c r="W116" s="199">
        <v>96</v>
      </c>
      <c r="X116" s="165"/>
      <c r="Z116" s="165"/>
      <c r="AB116" s="201"/>
      <c r="AC116" s="142"/>
      <c r="AD116" s="199">
        <v>96</v>
      </c>
      <c r="AE116" s="165"/>
      <c r="AG116" s="165"/>
      <c r="AI116" s="201"/>
      <c r="AJ116" s="142"/>
      <c r="AK116" s="199">
        <v>96</v>
      </c>
      <c r="AL116" s="165"/>
      <c r="AN116" s="165"/>
      <c r="AP116" s="201"/>
      <c r="AQ116" s="142"/>
      <c r="AR116" s="199">
        <v>96</v>
      </c>
      <c r="AS116" s="165"/>
      <c r="AU116" s="165"/>
      <c r="AW116" s="201"/>
      <c r="AX116" s="142"/>
      <c r="AY116" s="199">
        <v>96</v>
      </c>
      <c r="AZ116" s="165"/>
      <c r="BB116" s="165"/>
      <c r="BD116" s="201"/>
    </row>
    <row r="117" spans="2:56">
      <c r="B117" s="204">
        <v>97</v>
      </c>
      <c r="C117" s="165"/>
      <c r="E117" s="165"/>
      <c r="F117" s="196"/>
      <c r="G117" s="198"/>
      <c r="I117" s="199">
        <v>97</v>
      </c>
      <c r="J117" s="165"/>
      <c r="L117" s="165"/>
      <c r="N117" s="201"/>
      <c r="P117" s="199">
        <v>97</v>
      </c>
      <c r="Q117" s="165"/>
      <c r="S117" s="165"/>
      <c r="U117" s="201"/>
      <c r="V117" s="142"/>
      <c r="W117" s="199">
        <v>97</v>
      </c>
      <c r="X117" s="165"/>
      <c r="Z117" s="165"/>
      <c r="AB117" s="201"/>
      <c r="AC117" s="142"/>
      <c r="AD117" s="199">
        <v>97</v>
      </c>
      <c r="AE117" s="165"/>
      <c r="AG117" s="165"/>
      <c r="AI117" s="201"/>
      <c r="AJ117" s="142"/>
      <c r="AK117" s="199">
        <v>97</v>
      </c>
      <c r="AL117" s="165"/>
      <c r="AN117" s="165"/>
      <c r="AP117" s="201"/>
      <c r="AQ117" s="142"/>
      <c r="AR117" s="199">
        <v>97</v>
      </c>
      <c r="AS117" s="165"/>
      <c r="AU117" s="165"/>
      <c r="AW117" s="201"/>
      <c r="AX117" s="142"/>
      <c r="AY117" s="199">
        <v>97</v>
      </c>
      <c r="AZ117" s="165"/>
      <c r="BB117" s="165"/>
      <c r="BD117" s="201"/>
    </row>
    <row r="118" spans="2:56">
      <c r="B118" s="204">
        <v>98</v>
      </c>
      <c r="C118" s="165"/>
      <c r="E118" s="165"/>
      <c r="F118" s="196"/>
      <c r="G118" s="198"/>
      <c r="I118" s="199">
        <v>98</v>
      </c>
      <c r="J118" s="165"/>
      <c r="L118" s="165"/>
      <c r="N118" s="201"/>
      <c r="P118" s="199">
        <v>98</v>
      </c>
      <c r="Q118" s="165"/>
      <c r="S118" s="165"/>
      <c r="U118" s="201"/>
      <c r="V118" s="142"/>
      <c r="W118" s="199">
        <v>98</v>
      </c>
      <c r="X118" s="165"/>
      <c r="Z118" s="165"/>
      <c r="AB118" s="201"/>
      <c r="AC118" s="142"/>
      <c r="AD118" s="199">
        <v>98</v>
      </c>
      <c r="AE118" s="165"/>
      <c r="AG118" s="165"/>
      <c r="AI118" s="201"/>
      <c r="AJ118" s="142"/>
      <c r="AK118" s="199">
        <v>98</v>
      </c>
      <c r="AL118" s="165"/>
      <c r="AN118" s="165"/>
      <c r="AP118" s="201"/>
      <c r="AQ118" s="142"/>
      <c r="AR118" s="199">
        <v>98</v>
      </c>
      <c r="AS118" s="165"/>
      <c r="AU118" s="165"/>
      <c r="AW118" s="201"/>
      <c r="AX118" s="142"/>
      <c r="AY118" s="199">
        <v>98</v>
      </c>
      <c r="AZ118" s="165"/>
      <c r="BB118" s="165"/>
      <c r="BD118" s="201"/>
    </row>
    <row r="119" spans="2:56">
      <c r="B119" s="204">
        <v>99</v>
      </c>
      <c r="C119" s="165"/>
      <c r="E119" s="165"/>
      <c r="F119" s="196"/>
      <c r="G119" s="198"/>
      <c r="I119" s="199">
        <v>99</v>
      </c>
      <c r="J119" s="165"/>
      <c r="L119" s="165"/>
      <c r="N119" s="201"/>
      <c r="P119" s="199">
        <v>99</v>
      </c>
      <c r="Q119" s="165"/>
      <c r="S119" s="165"/>
      <c r="U119" s="201"/>
      <c r="V119" s="142"/>
      <c r="W119" s="199">
        <v>99</v>
      </c>
      <c r="X119" s="165"/>
      <c r="Z119" s="165"/>
      <c r="AB119" s="201"/>
      <c r="AC119" s="142"/>
      <c r="AD119" s="199">
        <v>99</v>
      </c>
      <c r="AE119" s="165"/>
      <c r="AG119" s="165"/>
      <c r="AI119" s="201"/>
      <c r="AJ119" s="142"/>
      <c r="AK119" s="199">
        <v>99</v>
      </c>
      <c r="AL119" s="165"/>
      <c r="AN119" s="165"/>
      <c r="AP119" s="201"/>
      <c r="AQ119" s="142"/>
      <c r="AR119" s="199">
        <v>99</v>
      </c>
      <c r="AS119" s="165"/>
      <c r="AU119" s="165"/>
      <c r="AW119" s="201"/>
      <c r="AX119" s="142"/>
      <c r="AY119" s="199">
        <v>99</v>
      </c>
      <c r="AZ119" s="165"/>
      <c r="BB119" s="165"/>
      <c r="BD119" s="201"/>
    </row>
    <row r="120" spans="2:56">
      <c r="E120" t="s">
        <v>1198</v>
      </c>
    </row>
    <row r="127" spans="2:56">
      <c r="B127" s="11" t="s">
        <v>1189</v>
      </c>
      <c r="C127" s="165">
        <v>3</v>
      </c>
      <c r="D127" s="11"/>
      <c r="E127" s="165" t="s">
        <v>1185</v>
      </c>
      <c r="F127" s="196"/>
      <c r="H127" s="146"/>
      <c r="I127" s="156" t="s">
        <v>1189</v>
      </c>
      <c r="J127" s="165">
        <v>10</v>
      </c>
      <c r="K127" s="156"/>
      <c r="L127" s="165"/>
      <c r="M127" s="147"/>
      <c r="N127" s="148"/>
      <c r="O127" s="146"/>
      <c r="P127" s="156" t="s">
        <v>1189</v>
      </c>
      <c r="Q127" s="165">
        <v>17</v>
      </c>
      <c r="R127" s="156"/>
      <c r="S127" s="165"/>
      <c r="T127" s="147"/>
      <c r="U127" s="148"/>
      <c r="V127" s="142"/>
      <c r="W127" s="156" t="s">
        <v>1189</v>
      </c>
      <c r="X127" s="165">
        <v>24</v>
      </c>
      <c r="Y127" s="156"/>
      <c r="Z127" s="165"/>
      <c r="AA127" s="147"/>
      <c r="AB127" s="148"/>
      <c r="AC127" s="142"/>
      <c r="AD127" s="156" t="s">
        <v>1189</v>
      </c>
      <c r="AE127" s="165">
        <v>31</v>
      </c>
      <c r="AF127" s="156"/>
      <c r="AG127" s="165"/>
      <c r="AH127" s="147"/>
      <c r="AI127" s="148"/>
      <c r="AJ127" s="142"/>
      <c r="AK127" s="156" t="s">
        <v>1189</v>
      </c>
      <c r="AL127" s="165">
        <v>38</v>
      </c>
      <c r="AM127" s="156"/>
      <c r="AN127" s="165"/>
      <c r="AO127" s="147"/>
      <c r="AP127" s="148"/>
      <c r="AQ127" s="142"/>
      <c r="AR127" s="156" t="s">
        <v>1189</v>
      </c>
      <c r="AS127" s="165">
        <v>45</v>
      </c>
      <c r="AT127" s="156"/>
      <c r="AU127" s="165"/>
      <c r="AV127" s="147"/>
      <c r="AW127" s="148"/>
      <c r="AX127" s="142"/>
      <c r="AY127" s="156" t="s">
        <v>1189</v>
      </c>
      <c r="AZ127" s="165">
        <v>52</v>
      </c>
      <c r="BA127" s="156"/>
      <c r="BB127" s="165"/>
      <c r="BC127" s="147"/>
      <c r="BD127" s="148"/>
    </row>
  </sheetData>
  <sheetProtection password="E79A" sheet="1" objects="1" scenarios="1" selectLockedCells="1"/>
  <phoneticPr fontId="12" type="noConversion"/>
  <dataValidations count="2">
    <dataValidation type="list" allowBlank="1" showInputMessage="1" showErrorMessage="1" sqref="BB127 E16:F17 BB16 Z16 S16 AG16 L16 AN16 AU16 E127:F127 AU127 AN127 L127 AG127 S127 Z127" xr:uid="{00000000-0002-0000-0500-000000000000}">
      <formula1>$E$1:$E$6</formula1>
    </dataValidation>
    <dataValidation type="list" allowBlank="1" showInputMessage="1" showErrorMessage="1" sqref="E21:F119 BB21:BB119 AN21:AN119 L21:L119 AU21:AU119 S21:S119 Z21:Z119 AG21:AG119" xr:uid="{00000000-0002-0000-0500-000001000000}">
      <formula1>$G$1:$G$6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indexed="42"/>
    <pageSetUpPr fitToPage="1"/>
  </sheetPr>
  <dimension ref="A1:BB218"/>
  <sheetViews>
    <sheetView zoomScaleNormal="100" workbookViewId="0">
      <selection activeCell="H8" sqref="H8"/>
    </sheetView>
  </sheetViews>
  <sheetFormatPr defaultColWidth="8.140625" defaultRowHeight="12.75" outlineLevelCol="1"/>
  <cols>
    <col min="1" max="1" width="24.42578125" style="41" customWidth="1"/>
    <col min="2" max="2" width="8.7109375" style="55" customWidth="1" outlineLevel="1"/>
    <col min="3" max="6" width="10.7109375" style="41" customWidth="1" outlineLevel="1"/>
    <col min="7" max="7" width="10.7109375" style="56" customWidth="1" outlineLevel="1"/>
    <col min="8" max="8" width="10.7109375" style="41" customWidth="1" outlineLevel="1"/>
    <col min="9" max="9" width="7.7109375" style="41" customWidth="1" outlineLevel="1"/>
    <col min="10" max="14" width="10.7109375" style="41" customWidth="1" outlineLevel="1"/>
    <col min="15" max="15" width="17.7109375" style="41" customWidth="1"/>
    <col min="16" max="16" width="11.7109375" style="41" customWidth="1"/>
    <col min="17" max="17" width="10.7109375" style="41" customWidth="1"/>
    <col min="18" max="19" width="10.7109375" style="56" customWidth="1"/>
    <col min="20" max="20" width="17" style="41" bestFit="1" customWidth="1"/>
    <col min="21" max="21" width="5.42578125" style="41" bestFit="1" customWidth="1"/>
    <col min="22" max="23" width="6.5703125" style="41" customWidth="1"/>
    <col min="24" max="24" width="13.42578125" style="41" hidden="1" customWidth="1"/>
    <col min="25" max="25" width="10.85546875" style="41" hidden="1" customWidth="1"/>
    <col min="26" max="26" width="10.7109375" style="41" hidden="1" customWidth="1"/>
    <col min="27" max="27" width="14.140625" style="41" hidden="1" customWidth="1"/>
    <col min="28" max="28" width="14.28515625" style="41" hidden="1" customWidth="1"/>
    <col min="29" max="29" width="9.28515625" style="41" customWidth="1"/>
    <col min="30" max="30" width="11" style="41" customWidth="1"/>
    <col min="31" max="32" width="9.28515625" style="41" customWidth="1"/>
    <col min="33" max="33" width="15.140625" style="41" customWidth="1"/>
    <col min="34" max="39" width="22.140625" style="41" customWidth="1"/>
    <col min="40" max="40" width="33" style="41" customWidth="1"/>
    <col min="41" max="41" width="20.42578125" style="41" bestFit="1" customWidth="1"/>
    <col min="42" max="42" width="23.42578125" style="41" customWidth="1"/>
    <col min="43" max="43" width="9.7109375" style="41" customWidth="1"/>
    <col min="44" max="44" width="8.140625" style="41" customWidth="1"/>
    <col min="45" max="45" width="16.7109375" style="57" bestFit="1" customWidth="1"/>
    <col min="46" max="16384" width="8.140625" style="41"/>
  </cols>
  <sheetData>
    <row r="1" spans="1:54" s="36" customFormat="1" ht="16.5" thickBot="1">
      <c r="A1" s="683" t="str">
        <f>CONCATENATE('Box Schedule'!C4," - VAV Valve Schedule")</f>
        <v>TFC JH Winters AHU Reno. - VAV Valve Schedule</v>
      </c>
      <c r="B1" s="683"/>
      <c r="C1" s="683"/>
      <c r="D1" s="683"/>
      <c r="E1" s="683"/>
      <c r="F1" s="683"/>
      <c r="G1" s="683"/>
      <c r="H1" s="683"/>
      <c r="I1" s="683"/>
      <c r="J1" s="683"/>
      <c r="K1" s="683"/>
      <c r="L1" s="683"/>
      <c r="M1" s="683"/>
      <c r="N1" s="683"/>
      <c r="O1" s="683"/>
      <c r="P1" s="683"/>
      <c r="Q1" s="683"/>
      <c r="R1" s="683"/>
      <c r="S1" s="683"/>
      <c r="T1" s="683"/>
      <c r="U1" s="33"/>
      <c r="V1" s="33"/>
      <c r="W1" s="33"/>
      <c r="X1" s="33"/>
      <c r="Y1" s="33"/>
      <c r="Z1" s="33"/>
      <c r="AA1" s="33"/>
      <c r="AB1" s="35"/>
      <c r="AC1" s="35"/>
      <c r="AD1" s="35"/>
      <c r="AE1" s="35"/>
      <c r="AF1" s="35"/>
      <c r="AG1" s="35"/>
      <c r="AQ1" s="35"/>
      <c r="AR1" s="35"/>
      <c r="AS1" s="37"/>
      <c r="AT1" s="35"/>
      <c r="AU1" s="35"/>
      <c r="AV1" s="35"/>
      <c r="AW1" s="35"/>
      <c r="AX1" s="35"/>
      <c r="AY1" s="35"/>
      <c r="AZ1" s="35"/>
      <c r="BA1" s="35"/>
      <c r="BB1" s="35"/>
    </row>
    <row r="2" spans="1:54" ht="15" customHeight="1" thickTop="1">
      <c r="A2" s="689" t="s">
        <v>554</v>
      </c>
      <c r="B2" s="695" t="s">
        <v>555</v>
      </c>
      <c r="C2" s="696"/>
      <c r="D2" s="696"/>
      <c r="E2" s="696"/>
      <c r="F2" s="696"/>
      <c r="G2" s="696"/>
      <c r="H2" s="697"/>
      <c r="I2" s="691" t="s">
        <v>556</v>
      </c>
      <c r="J2" s="692"/>
      <c r="K2" s="693" t="s">
        <v>557</v>
      </c>
      <c r="L2" s="693"/>
      <c r="M2" s="693"/>
      <c r="N2" s="693"/>
      <c r="O2" s="694"/>
      <c r="P2" s="684" t="s">
        <v>558</v>
      </c>
      <c r="Q2" s="685"/>
      <c r="R2" s="685"/>
      <c r="S2" s="685"/>
      <c r="T2" s="686"/>
      <c r="U2" s="38"/>
      <c r="V2" s="38"/>
      <c r="W2" s="38"/>
      <c r="X2" s="38"/>
      <c r="Y2" s="38"/>
      <c r="Z2" s="38"/>
      <c r="AA2" s="38"/>
      <c r="AB2" s="38"/>
      <c r="AC2" s="687"/>
      <c r="AD2" s="688"/>
      <c r="AE2" s="688"/>
      <c r="AF2" s="688"/>
      <c r="AG2" s="68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40"/>
      <c r="AW2" s="38"/>
      <c r="AX2" s="38"/>
      <c r="AY2" s="38"/>
      <c r="AZ2" s="38"/>
      <c r="BA2" s="38"/>
      <c r="BB2" s="38"/>
    </row>
    <row r="3" spans="1:54" ht="15" customHeight="1" thickBot="1">
      <c r="A3" s="690"/>
      <c r="B3" s="464" t="s">
        <v>559</v>
      </c>
      <c r="C3" s="465" t="s">
        <v>560</v>
      </c>
      <c r="D3" s="465" t="s">
        <v>561</v>
      </c>
      <c r="E3" s="465" t="s">
        <v>562</v>
      </c>
      <c r="F3" s="465" t="s">
        <v>563</v>
      </c>
      <c r="G3" s="466" t="s">
        <v>564</v>
      </c>
      <c r="H3" s="467" t="s">
        <v>565</v>
      </c>
      <c r="I3" s="468" t="s">
        <v>566</v>
      </c>
      <c r="J3" s="467" t="s">
        <v>567</v>
      </c>
      <c r="K3" s="47" t="s">
        <v>568</v>
      </c>
      <c r="L3" s="47" t="s">
        <v>569</v>
      </c>
      <c r="M3" s="47" t="s">
        <v>570</v>
      </c>
      <c r="N3" s="47" t="s">
        <v>571</v>
      </c>
      <c r="O3" s="187" t="s">
        <v>567</v>
      </c>
      <c r="P3" s="280" t="s">
        <v>572</v>
      </c>
      <c r="Q3" s="280" t="s">
        <v>573</v>
      </c>
      <c r="R3" s="48" t="s">
        <v>574</v>
      </c>
      <c r="S3" s="48" t="s">
        <v>575</v>
      </c>
      <c r="T3" s="281" t="s">
        <v>576</v>
      </c>
      <c r="U3" s="39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5" t="s">
        <v>1100</v>
      </c>
      <c r="AG3" s="35" t="s">
        <v>1099</v>
      </c>
      <c r="AH3" s="38" t="s">
        <v>1098</v>
      </c>
      <c r="AI3" s="38" t="s">
        <v>231</v>
      </c>
      <c r="AJ3" s="38"/>
      <c r="AK3" s="595" t="s">
        <v>1340</v>
      </c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40"/>
      <c r="AW3" s="38"/>
      <c r="AX3" s="38"/>
      <c r="AY3" s="38"/>
      <c r="AZ3" s="38"/>
      <c r="BA3" s="38"/>
      <c r="BB3" s="38"/>
    </row>
    <row r="4" spans="1:54" ht="15" customHeight="1" thickTop="1">
      <c r="A4" s="469" t="str">
        <f>'Box Schedule'!A9</f>
        <v>VAV-T-2-014</v>
      </c>
      <c r="B4" s="633">
        <v>1.44</v>
      </c>
      <c r="C4" s="470" t="str">
        <f>IF((B4&gt;0),(VLOOKUP(J4,'Valve Reference'!$A$2:$K$389,3)),"-")</f>
        <v>0.5</v>
      </c>
      <c r="D4" s="471" t="s">
        <v>577</v>
      </c>
      <c r="E4" s="472">
        <f>IF((B4&gt;0),('Vlookup Tables'!$B$37),"-")</f>
        <v>5</v>
      </c>
      <c r="F4" s="473">
        <f>IF((B4&gt;0),(B4/SQRT(E4)),"-")</f>
        <v>0.6439875775199394</v>
      </c>
      <c r="G4" s="474">
        <f>IF((B4&gt;0),(VLOOKUP($B4,'Vlookup Tables'!$B$23:$F$33,2,TRUE)),"-")</f>
        <v>1</v>
      </c>
      <c r="H4" s="475">
        <f>IF((B4&gt;0),(1/((G4/B4)^2)),"-")</f>
        <v>2.0735999999999999</v>
      </c>
      <c r="I4" s="476">
        <f>IF((B4&gt;0),('Vlookup Tables'!$B$35),"-")</f>
        <v>259</v>
      </c>
      <c r="J4" s="477" t="str">
        <f>IF(B4&gt;0,(IF(D4="2-Way",VLOOKUP($G4,'Vlookup Tables'!$C$23:$F$33,2,FALSE),VLOOKUP($G4,'Vlookup Tables'!$C$23:$F$33,3,FALSE))),"-")</f>
        <v>02034</v>
      </c>
      <c r="K4" s="478" t="str">
        <f>IF(B4&gt;0,(VLOOKUP(J4,'Valve Reference'!$A$2:$K$389,4)),"-")</f>
        <v>Standard</v>
      </c>
      <c r="L4" s="478" t="str">
        <f>IF(B4&gt;0,(VLOOKUP(J4,'Valve Reference'!$A$2:$K$389,5)),"-")</f>
        <v>BR</v>
      </c>
      <c r="M4" s="478" t="str">
        <f>IF(B4&gt;0,(VLOOKUP(J4,'Valve Reference'!$A$2:$K$389,8)),"-")</f>
        <v>Linear</v>
      </c>
      <c r="N4" s="478" t="str">
        <f>IF(B4&gt;0,(VLOOKUP(J4,'Valve Reference'!$A$2:$K$389,10)),"-")</f>
        <v>FxF</v>
      </c>
      <c r="O4" s="479" t="str">
        <f>IF(B4&gt;0,(VLOOKUP(J4,'Valve Reference'!$A$2:$K$389,11)),"-")</f>
        <v>Globe-Powermite</v>
      </c>
      <c r="P4" s="480" t="str">
        <f>IF(B4&gt;0,(VLOOKUP(I4,'Actuator Reference'!$A$2:$H$54,2)),"-")</f>
        <v>SSC81U</v>
      </c>
      <c r="Q4" s="480" t="str">
        <f>IF(B4&gt;0,(VLOOKUP(I4,'Actuator Reference'!$A$2:$H$54,5)),"-")</f>
        <v>Float</v>
      </c>
      <c r="R4" s="480" t="str">
        <f>IF(B4&gt;0,(VLOOKUP(I4,'Actuator Reference'!$A$2:$H$54,6)),"-")</f>
        <v>NSR</v>
      </c>
      <c r="S4" s="480" t="str">
        <f>IF(B4&gt;0,(VLOOKUP(I4,'Actuator Reference'!$A$2:$H$54,7)),"-")</f>
        <v>24V</v>
      </c>
      <c r="T4" s="481" t="str">
        <f>IF(B4&gt;0,(VLOOKUP(I4,'Actuator Reference'!$A$2:$H$54,8)),"-")</f>
        <v>MT-Series</v>
      </c>
      <c r="U4" s="39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5">
        <v>1</v>
      </c>
      <c r="AG4" s="35" t="s">
        <v>1097</v>
      </c>
      <c r="AH4" s="38" t="str">
        <f t="shared" ref="AH4:AH33" si="0">CONCATENATE(I4,"-",J4)</f>
        <v>259-02034</v>
      </c>
      <c r="AI4" s="594" t="str">
        <f>CONCATENATE("=",A4)</f>
        <v>=VAV-T-2-014</v>
      </c>
      <c r="AJ4" s="595" t="s">
        <v>1339</v>
      </c>
      <c r="AK4" s="592">
        <v>4</v>
      </c>
      <c r="AL4" s="592" t="s">
        <v>1338</v>
      </c>
      <c r="AM4" s="38"/>
      <c r="AN4" s="38"/>
      <c r="AO4" s="38"/>
      <c r="AP4" s="38"/>
      <c r="AQ4" s="38"/>
      <c r="AR4" s="38"/>
      <c r="AS4" s="38"/>
      <c r="AT4" s="38"/>
      <c r="AU4" s="38"/>
      <c r="AV4" s="40"/>
      <c r="AW4" s="38"/>
      <c r="AX4" s="38"/>
      <c r="AY4" s="38"/>
      <c r="AZ4" s="38"/>
      <c r="BA4" s="38"/>
      <c r="BB4" s="38"/>
    </row>
    <row r="5" spans="1:54" ht="15" customHeight="1">
      <c r="A5" s="469">
        <f>'Box Schedule'!A10</f>
        <v>0</v>
      </c>
      <c r="B5" s="634">
        <v>2.62</v>
      </c>
      <c r="C5" s="483" t="str">
        <f>IF((B5&gt;0),(VLOOKUP(J5,'Valve Reference'!$A$2:$K$389,3)),"-")</f>
        <v>0.5</v>
      </c>
      <c r="D5" s="471" t="s">
        <v>577</v>
      </c>
      <c r="E5" s="484">
        <f>IF((B5&gt;0),('Vlookup Tables'!$B$37),"-")</f>
        <v>5</v>
      </c>
      <c r="F5" s="585">
        <f>IF((B5&gt;0),(B5/SQRT(E5)),"-")</f>
        <v>1.1716996202098897</v>
      </c>
      <c r="G5" s="485">
        <f>IF((B5&gt;0),(VLOOKUP($B5,'Vlookup Tables'!$B$23:$F$33,2,TRUE)),"-")</f>
        <v>1.6</v>
      </c>
      <c r="H5" s="586">
        <f>IF((B5&gt;0),(1/((G5/B5)^2)),"-")</f>
        <v>2.6814062499999998</v>
      </c>
      <c r="I5" s="476">
        <f>IF((B5&gt;0),('Vlookup Tables'!$B$35),"-")</f>
        <v>259</v>
      </c>
      <c r="J5" s="477" t="str">
        <f>IF(B5&gt;0,(IF(D5="2-Way",VLOOKUP($G5,'Vlookup Tables'!$C$23:$F$33,2,FALSE),VLOOKUP($G5,'Vlookup Tables'!$C$23:$F$33,3,FALSE))),"-")</f>
        <v>02036</v>
      </c>
      <c r="K5" s="478" t="str">
        <f>IF(B5&gt;0,(VLOOKUP(J5,'Valve Reference'!$A$2:$K$389,4)),"-")</f>
        <v>Standard</v>
      </c>
      <c r="L5" s="478" t="str">
        <f>IF(B5&gt;0,(VLOOKUP(J5,'Valve Reference'!$A$2:$K$389,5)),"-")</f>
        <v>BR</v>
      </c>
      <c r="M5" s="478" t="str">
        <f>IF(B5&gt;0,(VLOOKUP(J5,'Valve Reference'!$A$2:$K$389,8)),"-")</f>
        <v>Linear</v>
      </c>
      <c r="N5" s="478" t="str">
        <f>IF(B5&gt;0,(VLOOKUP(J5,'Valve Reference'!$A$2:$K$389,10)),"-")</f>
        <v>FxF</v>
      </c>
      <c r="O5" s="479" t="str">
        <f>IF(B5&gt;0,(VLOOKUP(J5,'Valve Reference'!$A$2:$K$389,11)),"-")</f>
        <v>Globe-Powermite</v>
      </c>
      <c r="P5" s="480" t="str">
        <f>IF(B5&gt;0,(VLOOKUP(I5,'Actuator Reference'!$A$2:$H$54,2)),"-")</f>
        <v>SSC81U</v>
      </c>
      <c r="Q5" s="480" t="str">
        <f>IF(B5&gt;0,(VLOOKUP(I5,'Actuator Reference'!$A$2:$H$54,5)),"-")</f>
        <v>Float</v>
      </c>
      <c r="R5" s="480" t="str">
        <f>IF(B5&gt;0,(VLOOKUP(I5,'Actuator Reference'!$A$2:$H$54,6)),"-")</f>
        <v>NSR</v>
      </c>
      <c r="S5" s="480" t="str">
        <f>IF(B5&gt;0,(VLOOKUP(I5,'Actuator Reference'!$A$2:$H$54,7)),"-")</f>
        <v>24V</v>
      </c>
      <c r="T5" s="481" t="str">
        <f>IF(B5&gt;0,(VLOOKUP(I5,'Actuator Reference'!$A$2:$H$54,8)),"-")</f>
        <v>MT-Series</v>
      </c>
      <c r="U5" s="39"/>
      <c r="V5" s="38"/>
      <c r="W5" s="38"/>
      <c r="X5" s="38"/>
      <c r="Y5" s="38"/>
      <c r="Z5" s="38"/>
      <c r="AA5" s="38"/>
      <c r="AB5" s="38"/>
      <c r="AC5" s="38"/>
      <c r="AD5" s="53" t="s">
        <v>578</v>
      </c>
      <c r="AE5" s="38"/>
      <c r="AF5" s="35">
        <v>1</v>
      </c>
      <c r="AG5" s="35" t="s">
        <v>1097</v>
      </c>
      <c r="AH5" s="38" t="str">
        <f t="shared" si="0"/>
        <v>259-02036</v>
      </c>
      <c r="AI5" s="594" t="str">
        <f t="shared" ref="AI5:AI68" si="1">CONCATENATE("=",A5)</f>
        <v>=0</v>
      </c>
      <c r="AJ5" s="595" t="s">
        <v>1339</v>
      </c>
      <c r="AK5" s="592">
        <v>4</v>
      </c>
      <c r="AL5" s="592" t="s">
        <v>1338</v>
      </c>
      <c r="AM5" s="38"/>
      <c r="AN5" s="38"/>
      <c r="AO5" s="38"/>
      <c r="AP5" s="38"/>
      <c r="AQ5" s="38"/>
      <c r="AR5" s="38"/>
      <c r="AS5" s="38"/>
      <c r="AT5" s="38"/>
      <c r="AU5" s="38"/>
      <c r="AV5" s="40"/>
      <c r="AW5" s="38"/>
      <c r="AX5" s="38"/>
      <c r="AY5" s="38"/>
      <c r="AZ5" s="38"/>
      <c r="BA5" s="38"/>
      <c r="BB5" s="38"/>
    </row>
    <row r="6" spans="1:54" ht="15" customHeight="1">
      <c r="A6" s="469">
        <f>'Box Schedule'!A11</f>
        <v>0</v>
      </c>
      <c r="B6" s="634">
        <v>2.62</v>
      </c>
      <c r="C6" s="483" t="str">
        <f>IF((B6&gt;0),(VLOOKUP(J6,'Valve Reference'!$A$2:$K$389,3)),"-")</f>
        <v>0.5</v>
      </c>
      <c r="D6" s="471" t="s">
        <v>577</v>
      </c>
      <c r="E6" s="484">
        <f>IF((B6&gt;0),('Vlookup Tables'!$B$37),"-")</f>
        <v>5</v>
      </c>
      <c r="F6" s="585">
        <f t="shared" ref="F6:F69" si="2">IF((B6&gt;0),(B6/SQRT(E6)),"-")</f>
        <v>1.1716996202098897</v>
      </c>
      <c r="G6" s="485">
        <f>IF((B6&gt;0),(VLOOKUP($B6,'Vlookup Tables'!$B$23:$F$33,2,TRUE)),"-")</f>
        <v>1.6</v>
      </c>
      <c r="H6" s="586">
        <f t="shared" ref="H6:H69" si="3">IF((B6&gt;0),(1/((G6/B6)^2)),"-")</f>
        <v>2.6814062499999998</v>
      </c>
      <c r="I6" s="476">
        <f>IF((B6&gt;0),('Vlookup Tables'!$B$35),"-")</f>
        <v>259</v>
      </c>
      <c r="J6" s="477" t="str">
        <f>IF(B6&gt;0,(IF(D6="2-Way",VLOOKUP($G6,'Vlookup Tables'!$C$23:$F$33,2,FALSE),VLOOKUP($G6,'Vlookup Tables'!$C$23:$F$33,3,FALSE))),"-")</f>
        <v>02036</v>
      </c>
      <c r="K6" s="478" t="str">
        <f>IF(B6&gt;0,(VLOOKUP(J6,'Valve Reference'!$A$2:$K$389,4)),"-")</f>
        <v>Standard</v>
      </c>
      <c r="L6" s="478" t="str">
        <f>IF(B6&gt;0,(VLOOKUP(J6,'Valve Reference'!$A$2:$K$389,5)),"-")</f>
        <v>BR</v>
      </c>
      <c r="M6" s="478" t="str">
        <f>IF(B6&gt;0,(VLOOKUP(J6,'Valve Reference'!$A$2:$K$389,8)),"-")</f>
        <v>Linear</v>
      </c>
      <c r="N6" s="478" t="str">
        <f>IF(B6&gt;0,(VLOOKUP(J6,'Valve Reference'!$A$2:$K$389,10)),"-")</f>
        <v>FxF</v>
      </c>
      <c r="O6" s="479" t="str">
        <f>IF(B6&gt;0,(VLOOKUP(J6,'Valve Reference'!$A$2:$K$389,11)),"-")</f>
        <v>Globe-Powermite</v>
      </c>
      <c r="P6" s="480" t="str">
        <f>IF(B6&gt;0,(VLOOKUP(I6,'Actuator Reference'!$A$2:$H$54,2)),"-")</f>
        <v>SSC81U</v>
      </c>
      <c r="Q6" s="480" t="str">
        <f>IF(B6&gt;0,(VLOOKUP(I6,'Actuator Reference'!$A$2:$H$54,5)),"-")</f>
        <v>Float</v>
      </c>
      <c r="R6" s="480" t="str">
        <f>IF(B6&gt;0,(VLOOKUP(I6,'Actuator Reference'!$A$2:$H$54,6)),"-")</f>
        <v>NSR</v>
      </c>
      <c r="S6" s="480" t="str">
        <f>IF(B6&gt;0,(VLOOKUP(I6,'Actuator Reference'!$A$2:$H$54,7)),"-")</f>
        <v>24V</v>
      </c>
      <c r="T6" s="481" t="str">
        <f>IF(B6&gt;0,(VLOOKUP(I6,'Actuator Reference'!$A$2:$H$54,8)),"-")</f>
        <v>MT-Series</v>
      </c>
      <c r="U6" s="39"/>
      <c r="V6" s="38"/>
      <c r="W6" s="38"/>
      <c r="X6" s="38"/>
      <c r="Y6" s="38"/>
      <c r="Z6" s="38"/>
      <c r="AA6" s="38"/>
      <c r="AB6" s="38"/>
      <c r="AC6" s="38"/>
      <c r="AD6" s="38" t="s">
        <v>577</v>
      </c>
      <c r="AE6" s="38"/>
      <c r="AF6" s="35">
        <v>1</v>
      </c>
      <c r="AG6" s="35" t="s">
        <v>1097</v>
      </c>
      <c r="AH6" s="38" t="str">
        <f t="shared" si="0"/>
        <v>259-02036</v>
      </c>
      <c r="AI6" s="594" t="str">
        <f t="shared" si="1"/>
        <v>=0</v>
      </c>
      <c r="AJ6" s="595" t="s">
        <v>1339</v>
      </c>
      <c r="AK6" s="592">
        <v>4</v>
      </c>
      <c r="AL6" s="592" t="s">
        <v>1338</v>
      </c>
      <c r="AM6" s="38"/>
      <c r="AN6" s="38"/>
      <c r="AO6" s="38"/>
      <c r="AP6" s="38"/>
      <c r="AQ6" s="38"/>
      <c r="AR6" s="38"/>
      <c r="AS6" s="38"/>
      <c r="AT6" s="38"/>
      <c r="AU6" s="38"/>
      <c r="AV6" s="40"/>
      <c r="AW6" s="38"/>
      <c r="AX6" s="38"/>
      <c r="AY6" s="38"/>
      <c r="AZ6" s="38"/>
      <c r="BA6" s="38"/>
      <c r="BB6" s="38"/>
    </row>
    <row r="7" spans="1:54" ht="15" customHeight="1">
      <c r="A7" s="469">
        <f>'Box Schedule'!A12</f>
        <v>0</v>
      </c>
      <c r="B7" s="634">
        <v>1.7</v>
      </c>
      <c r="C7" s="483" t="str">
        <f>IF((B7&gt;0),(VLOOKUP(J7,'Valve Reference'!$A$2:$K$389,3)),"-")</f>
        <v>0.5</v>
      </c>
      <c r="D7" s="471" t="s">
        <v>577</v>
      </c>
      <c r="E7" s="484">
        <f>IF((B7&gt;0),('Vlookup Tables'!$B$37),"-")</f>
        <v>5</v>
      </c>
      <c r="F7" s="585">
        <f t="shared" si="2"/>
        <v>0.76026311234992849</v>
      </c>
      <c r="G7" s="485">
        <f>IF((B7&gt;0),(VLOOKUP($B7,'Vlookup Tables'!$B$23:$F$33,2,TRUE)),"-")</f>
        <v>1</v>
      </c>
      <c r="H7" s="586">
        <f t="shared" si="3"/>
        <v>2.8899999999999997</v>
      </c>
      <c r="I7" s="476">
        <f>IF((B7&gt;0),('Vlookup Tables'!$B$35),"-")</f>
        <v>259</v>
      </c>
      <c r="J7" s="477" t="str">
        <f>IF(B7&gt;0,(IF(D7="2-Way",VLOOKUP($G7,'Vlookup Tables'!$C$23:$F$33,2,FALSE),VLOOKUP($G7,'Vlookup Tables'!$C$23:$F$33,3,FALSE))),"-")</f>
        <v>02034</v>
      </c>
      <c r="K7" s="478" t="str">
        <f>IF(B7&gt;0,(VLOOKUP(J7,'Valve Reference'!$A$2:$K$389,4)),"-")</f>
        <v>Standard</v>
      </c>
      <c r="L7" s="478" t="str">
        <f>IF(B7&gt;0,(VLOOKUP(J7,'Valve Reference'!$A$2:$K$389,5)),"-")</f>
        <v>BR</v>
      </c>
      <c r="M7" s="478" t="str">
        <f>IF(B7&gt;0,(VLOOKUP(J7,'Valve Reference'!$A$2:$K$389,8)),"-")</f>
        <v>Linear</v>
      </c>
      <c r="N7" s="478" t="str">
        <f>IF(B7&gt;0,(VLOOKUP(J7,'Valve Reference'!$A$2:$K$389,10)),"-")</f>
        <v>FxF</v>
      </c>
      <c r="O7" s="479" t="str">
        <f>IF(B7&gt;0,(VLOOKUP(J7,'Valve Reference'!$A$2:$K$389,11)),"-")</f>
        <v>Globe-Powermite</v>
      </c>
      <c r="P7" s="480" t="str">
        <f>IF(B7&gt;0,(VLOOKUP(I7,'Actuator Reference'!$A$2:$H$54,2)),"-")</f>
        <v>SSC81U</v>
      </c>
      <c r="Q7" s="480" t="str">
        <f>IF(B7&gt;0,(VLOOKUP(I7,'Actuator Reference'!$A$2:$H$54,5)),"-")</f>
        <v>Float</v>
      </c>
      <c r="R7" s="480" t="str">
        <f>IF(B7&gt;0,(VLOOKUP(I7,'Actuator Reference'!$A$2:$H$54,6)),"-")</f>
        <v>NSR</v>
      </c>
      <c r="S7" s="480" t="str">
        <f>IF(B7&gt;0,(VLOOKUP(I7,'Actuator Reference'!$A$2:$H$54,7)),"-")</f>
        <v>24V</v>
      </c>
      <c r="T7" s="481" t="str">
        <f>IF(B7&gt;0,(VLOOKUP(I7,'Actuator Reference'!$A$2:$H$54,8)),"-")</f>
        <v>MT-Series</v>
      </c>
      <c r="U7" s="39"/>
      <c r="V7" s="38"/>
      <c r="W7" s="38"/>
      <c r="X7" s="38"/>
      <c r="Y7" s="38"/>
      <c r="Z7" s="38"/>
      <c r="AA7" s="38"/>
      <c r="AB7" s="38"/>
      <c r="AC7" s="38"/>
      <c r="AD7" s="38" t="s">
        <v>579</v>
      </c>
      <c r="AE7" s="38"/>
      <c r="AF7" s="35">
        <v>1</v>
      </c>
      <c r="AG7" s="35" t="s">
        <v>1097</v>
      </c>
      <c r="AH7" s="38" t="str">
        <f t="shared" si="0"/>
        <v>259-02034</v>
      </c>
      <c r="AI7" s="594" t="str">
        <f t="shared" si="1"/>
        <v>=0</v>
      </c>
      <c r="AJ7" s="595" t="s">
        <v>1339</v>
      </c>
      <c r="AK7" s="592">
        <v>4</v>
      </c>
      <c r="AL7" s="592" t="s">
        <v>1338</v>
      </c>
      <c r="AM7" s="38"/>
      <c r="AN7" s="38"/>
      <c r="AO7" s="38"/>
      <c r="AP7" s="38"/>
      <c r="AQ7" s="38"/>
      <c r="AR7" s="38"/>
      <c r="AS7" s="38"/>
      <c r="AT7" s="38"/>
      <c r="AU7" s="38"/>
      <c r="AV7" s="40"/>
      <c r="AW7" s="38"/>
      <c r="AX7" s="38"/>
      <c r="AY7" s="38"/>
      <c r="AZ7" s="38"/>
      <c r="BA7" s="38"/>
      <c r="BB7" s="38"/>
    </row>
    <row r="8" spans="1:54" ht="15" customHeight="1">
      <c r="A8" s="469">
        <f>'Box Schedule'!A13</f>
        <v>0</v>
      </c>
      <c r="B8" s="634">
        <v>1.76</v>
      </c>
      <c r="C8" s="483" t="str">
        <f>IF((B8&gt;0),(VLOOKUP(J8,'Valve Reference'!$A$2:$K$389,3)),"-")</f>
        <v>0.5</v>
      </c>
      <c r="D8" s="471" t="s">
        <v>577</v>
      </c>
      <c r="E8" s="484">
        <f>IF((B8&gt;0),('Vlookup Tables'!$B$37),"-")</f>
        <v>5</v>
      </c>
      <c r="F8" s="585">
        <f t="shared" si="2"/>
        <v>0.7870959280799259</v>
      </c>
      <c r="G8" s="485">
        <f>IF((B8&gt;0),(VLOOKUP($B8,'Vlookup Tables'!$B$23:$F$33,2,TRUE)),"-")</f>
        <v>1</v>
      </c>
      <c r="H8" s="586">
        <f t="shared" si="3"/>
        <v>3.0975999999999995</v>
      </c>
      <c r="I8" s="476">
        <f>IF((B8&gt;0),('Vlookup Tables'!$B$35),"-")</f>
        <v>259</v>
      </c>
      <c r="J8" s="477" t="str">
        <f>IF(B8&gt;0,(IF(D8="2-Way",VLOOKUP($G8,'Vlookup Tables'!$C$23:$F$33,2,FALSE),VLOOKUP($G8,'Vlookup Tables'!$C$23:$F$33,3,FALSE))),"-")</f>
        <v>02034</v>
      </c>
      <c r="K8" s="478" t="str">
        <f>IF(B8&gt;0,(VLOOKUP(J8,'Valve Reference'!$A$2:$K$389,4)),"-")</f>
        <v>Standard</v>
      </c>
      <c r="L8" s="478" t="str">
        <f>IF(B8&gt;0,(VLOOKUP(J8,'Valve Reference'!$A$2:$K$389,5)),"-")</f>
        <v>BR</v>
      </c>
      <c r="M8" s="478" t="str">
        <f>IF(B8&gt;0,(VLOOKUP(J8,'Valve Reference'!$A$2:$K$389,8)),"-")</f>
        <v>Linear</v>
      </c>
      <c r="N8" s="478" t="str">
        <f>IF(B8&gt;0,(VLOOKUP(J8,'Valve Reference'!$A$2:$K$389,10)),"-")</f>
        <v>FxF</v>
      </c>
      <c r="O8" s="479" t="str">
        <f>IF(B8&gt;0,(VLOOKUP(J8,'Valve Reference'!$A$2:$K$389,11)),"-")</f>
        <v>Globe-Powermite</v>
      </c>
      <c r="P8" s="480" t="str">
        <f>IF(B8&gt;0,(VLOOKUP(I8,'Actuator Reference'!$A$2:$H$54,2)),"-")</f>
        <v>SSC81U</v>
      </c>
      <c r="Q8" s="480" t="str">
        <f>IF(B8&gt;0,(VLOOKUP(I8,'Actuator Reference'!$A$2:$H$54,5)),"-")</f>
        <v>Float</v>
      </c>
      <c r="R8" s="480" t="str">
        <f>IF(B8&gt;0,(VLOOKUP(I8,'Actuator Reference'!$A$2:$H$54,6)),"-")</f>
        <v>NSR</v>
      </c>
      <c r="S8" s="480" t="str">
        <f>IF(B8&gt;0,(VLOOKUP(I8,'Actuator Reference'!$A$2:$H$54,7)),"-")</f>
        <v>24V</v>
      </c>
      <c r="T8" s="481" t="str">
        <f>IF(B8&gt;0,(VLOOKUP(I8,'Actuator Reference'!$A$2:$H$54,8)),"-")</f>
        <v>MT-Series</v>
      </c>
      <c r="U8" s="39"/>
      <c r="V8" s="38"/>
      <c r="W8" s="38"/>
      <c r="X8" s="38"/>
      <c r="Y8" s="38"/>
      <c r="Z8" s="38"/>
      <c r="AA8" s="38"/>
      <c r="AB8" s="38"/>
      <c r="AC8" s="38"/>
      <c r="AD8" s="35" t="s">
        <v>580</v>
      </c>
      <c r="AE8" s="38"/>
      <c r="AF8" s="35">
        <v>1</v>
      </c>
      <c r="AG8" s="35" t="s">
        <v>1097</v>
      </c>
      <c r="AH8" s="38" t="str">
        <f t="shared" si="0"/>
        <v>259-02034</v>
      </c>
      <c r="AI8" s="594" t="str">
        <f t="shared" si="1"/>
        <v>=0</v>
      </c>
      <c r="AJ8" s="595" t="s">
        <v>1339</v>
      </c>
      <c r="AK8" s="592">
        <v>4</v>
      </c>
      <c r="AL8" s="592" t="s">
        <v>1338</v>
      </c>
      <c r="AM8" s="38"/>
      <c r="AN8" s="38"/>
      <c r="AO8" s="38"/>
      <c r="AP8" s="38"/>
      <c r="AQ8" s="38"/>
      <c r="AR8" s="38"/>
      <c r="AS8" s="38"/>
      <c r="AT8" s="38"/>
      <c r="AU8" s="38"/>
      <c r="AV8" s="40"/>
      <c r="AW8" s="38"/>
      <c r="AX8" s="38"/>
      <c r="AY8" s="38"/>
      <c r="AZ8" s="38"/>
      <c r="BA8" s="38"/>
      <c r="BB8" s="38"/>
    </row>
    <row r="9" spans="1:54" ht="15" customHeight="1">
      <c r="A9" s="469">
        <f>'Box Schedule'!A14</f>
        <v>0</v>
      </c>
      <c r="B9" s="634">
        <v>2.62</v>
      </c>
      <c r="C9" s="483" t="str">
        <f>IF((B9&gt;0),(VLOOKUP(J9,'Valve Reference'!$A$2:$K$389,3)),"-")</f>
        <v>0.5</v>
      </c>
      <c r="D9" s="471" t="s">
        <v>577</v>
      </c>
      <c r="E9" s="484">
        <f>IF((B9&gt;0),('Vlookup Tables'!$B$37),"-")</f>
        <v>5</v>
      </c>
      <c r="F9" s="585">
        <f t="shared" si="2"/>
        <v>1.1716996202098897</v>
      </c>
      <c r="G9" s="485">
        <f>IF((B9&gt;0),(VLOOKUP($B9,'Vlookup Tables'!$B$23:$F$33,2,TRUE)),"-")</f>
        <v>1.6</v>
      </c>
      <c r="H9" s="586">
        <f t="shared" si="3"/>
        <v>2.6814062499999998</v>
      </c>
      <c r="I9" s="476">
        <f>IF((B9&gt;0),('Vlookup Tables'!$B$35),"-")</f>
        <v>259</v>
      </c>
      <c r="J9" s="477" t="str">
        <f>IF(B9&gt;0,(IF(D9="2-Way",VLOOKUP($G9,'Vlookup Tables'!$C$23:$F$33,2,FALSE),VLOOKUP($G9,'Vlookup Tables'!$C$23:$F$33,3,FALSE))),"-")</f>
        <v>02036</v>
      </c>
      <c r="K9" s="478" t="str">
        <f>IF(B9&gt;0,(VLOOKUP(J9,'Valve Reference'!$A$2:$K$389,4)),"-")</f>
        <v>Standard</v>
      </c>
      <c r="L9" s="478" t="str">
        <f>IF(B9&gt;0,(VLOOKUP(J9,'Valve Reference'!$A$2:$K$389,5)),"-")</f>
        <v>BR</v>
      </c>
      <c r="M9" s="478" t="str">
        <f>IF(B9&gt;0,(VLOOKUP(J9,'Valve Reference'!$A$2:$K$389,8)),"-")</f>
        <v>Linear</v>
      </c>
      <c r="N9" s="478" t="str">
        <f>IF(B9&gt;0,(VLOOKUP(J9,'Valve Reference'!$A$2:$K$389,10)),"-")</f>
        <v>FxF</v>
      </c>
      <c r="O9" s="479" t="str">
        <f>IF(B9&gt;0,(VLOOKUP(J9,'Valve Reference'!$A$2:$K$389,11)),"-")</f>
        <v>Globe-Powermite</v>
      </c>
      <c r="P9" s="480" t="str">
        <f>IF(B9&gt;0,(VLOOKUP(I9,'Actuator Reference'!$A$2:$H$54,2)),"-")</f>
        <v>SSC81U</v>
      </c>
      <c r="Q9" s="480" t="str">
        <f>IF(B9&gt;0,(VLOOKUP(I9,'Actuator Reference'!$A$2:$H$54,5)),"-")</f>
        <v>Float</v>
      </c>
      <c r="R9" s="480" t="str">
        <f>IF(B9&gt;0,(VLOOKUP(I9,'Actuator Reference'!$A$2:$H$54,6)),"-")</f>
        <v>NSR</v>
      </c>
      <c r="S9" s="480" t="str">
        <f>IF(B9&gt;0,(VLOOKUP(I9,'Actuator Reference'!$A$2:$H$54,7)),"-")</f>
        <v>24V</v>
      </c>
      <c r="T9" s="481" t="str">
        <f>IF(B9&gt;0,(VLOOKUP(I9,'Actuator Reference'!$A$2:$H$54,8)),"-")</f>
        <v>MT-Series</v>
      </c>
      <c r="U9" s="39"/>
      <c r="V9" s="38"/>
      <c r="W9" s="38"/>
      <c r="X9" s="38"/>
      <c r="Y9" s="38"/>
      <c r="Z9" s="38"/>
      <c r="AA9" s="38"/>
      <c r="AB9" s="38"/>
      <c r="AC9" s="38"/>
      <c r="AD9" s="54"/>
      <c r="AE9" s="38"/>
      <c r="AF9" s="35">
        <v>1</v>
      </c>
      <c r="AG9" s="35" t="s">
        <v>1097</v>
      </c>
      <c r="AH9" s="38" t="str">
        <f t="shared" si="0"/>
        <v>259-02036</v>
      </c>
      <c r="AI9" s="594" t="str">
        <f t="shared" si="1"/>
        <v>=0</v>
      </c>
      <c r="AJ9" s="595" t="s">
        <v>1339</v>
      </c>
      <c r="AK9" s="592">
        <v>4</v>
      </c>
      <c r="AL9" s="592" t="s">
        <v>1338</v>
      </c>
      <c r="AM9" s="38"/>
      <c r="AN9" s="38"/>
      <c r="AO9" s="38"/>
      <c r="AP9" s="38"/>
      <c r="AQ9" s="38"/>
      <c r="AR9" s="38"/>
      <c r="AS9" s="38"/>
      <c r="AT9" s="38"/>
      <c r="AU9" s="38"/>
      <c r="AV9" s="40"/>
      <c r="AW9" s="38"/>
      <c r="AX9" s="38"/>
      <c r="AY9" s="38"/>
      <c r="AZ9" s="38"/>
      <c r="BA9" s="38"/>
      <c r="BB9" s="38"/>
    </row>
    <row r="10" spans="1:54" ht="15" customHeight="1">
      <c r="A10" s="469">
        <f>'Box Schedule'!A15</f>
        <v>0</v>
      </c>
      <c r="B10" s="634">
        <v>0.66</v>
      </c>
      <c r="C10" s="483" t="str">
        <f>IF((B10&gt;0),(VLOOKUP(J10,'Valve Reference'!$A$2:$K$389,3)),"-")</f>
        <v>0.5</v>
      </c>
      <c r="D10" s="471" t="s">
        <v>577</v>
      </c>
      <c r="E10" s="484">
        <f>IF((B10&gt;0),('Vlookup Tables'!$B$37),"-")</f>
        <v>5</v>
      </c>
      <c r="F10" s="585">
        <f t="shared" si="2"/>
        <v>0.29516097302997224</v>
      </c>
      <c r="G10" s="485">
        <f>IF((B10&gt;0),(VLOOKUP($B10,'Vlookup Tables'!$B$23:$F$33,2,TRUE)),"-")</f>
        <v>0.4</v>
      </c>
      <c r="H10" s="586">
        <f t="shared" si="3"/>
        <v>2.7224999999999997</v>
      </c>
      <c r="I10" s="476">
        <f>IF((B10&gt;0),('Vlookup Tables'!$B$35),"-")</f>
        <v>259</v>
      </c>
      <c r="J10" s="477" t="str">
        <f>IF(B10&gt;0,(IF(D10="2-Way",VLOOKUP($G10,'Vlookup Tables'!$C$23:$F$33,2,FALSE),VLOOKUP($G10,'Vlookup Tables'!$C$23:$F$33,3,FALSE))),"-")</f>
        <v>02030</v>
      </c>
      <c r="K10" s="478" t="str">
        <f>IF(B10&gt;0,(VLOOKUP(J10,'Valve Reference'!$A$2:$K$389,4)),"-")</f>
        <v>Standard</v>
      </c>
      <c r="L10" s="478" t="str">
        <f>IF(B10&gt;0,(VLOOKUP(J10,'Valve Reference'!$A$2:$K$389,5)),"-")</f>
        <v>BR</v>
      </c>
      <c r="M10" s="478" t="str">
        <f>IF(B10&gt;0,(VLOOKUP(J10,'Valve Reference'!$A$2:$K$389,8)),"-")</f>
        <v>Linear</v>
      </c>
      <c r="N10" s="478" t="str">
        <f>IF(B10&gt;0,(VLOOKUP(J10,'Valve Reference'!$A$2:$K$389,10)),"-")</f>
        <v>FxF</v>
      </c>
      <c r="O10" s="479" t="str">
        <f>IF(B10&gt;0,(VLOOKUP(J10,'Valve Reference'!$A$2:$K$389,11)),"-")</f>
        <v>Globe-Powermite</v>
      </c>
      <c r="P10" s="480" t="str">
        <f>IF(B10&gt;0,(VLOOKUP(I10,'Actuator Reference'!$A$2:$H$54,2)),"-")</f>
        <v>SSC81U</v>
      </c>
      <c r="Q10" s="480" t="str">
        <f>IF(B10&gt;0,(VLOOKUP(I10,'Actuator Reference'!$A$2:$H$54,5)),"-")</f>
        <v>Float</v>
      </c>
      <c r="R10" s="480" t="str">
        <f>IF(B10&gt;0,(VLOOKUP(I10,'Actuator Reference'!$A$2:$H$54,6)),"-")</f>
        <v>NSR</v>
      </c>
      <c r="S10" s="480" t="str">
        <f>IF(B10&gt;0,(VLOOKUP(I10,'Actuator Reference'!$A$2:$H$54,7)),"-")</f>
        <v>24V</v>
      </c>
      <c r="T10" s="481" t="str">
        <f>IF(B10&gt;0,(VLOOKUP(I10,'Actuator Reference'!$A$2:$H$54,8)),"-")</f>
        <v>MT-Series</v>
      </c>
      <c r="U10" s="39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5">
        <v>1</v>
      </c>
      <c r="AG10" s="35" t="s">
        <v>1097</v>
      </c>
      <c r="AH10" s="38" t="str">
        <f t="shared" si="0"/>
        <v>259-02030</v>
      </c>
      <c r="AI10" s="594" t="str">
        <f t="shared" si="1"/>
        <v>=0</v>
      </c>
      <c r="AJ10" s="595" t="s">
        <v>1339</v>
      </c>
      <c r="AK10" s="592">
        <v>4</v>
      </c>
      <c r="AL10" s="592" t="s">
        <v>1338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40"/>
      <c r="AW10" s="38"/>
      <c r="AX10" s="38"/>
      <c r="AY10" s="38"/>
      <c r="AZ10" s="38"/>
      <c r="BA10" s="38"/>
      <c r="BB10" s="38"/>
    </row>
    <row r="11" spans="1:54" ht="15" customHeight="1">
      <c r="A11" s="469">
        <f>'Box Schedule'!A16</f>
        <v>0</v>
      </c>
      <c r="B11" s="634">
        <v>1.42</v>
      </c>
      <c r="C11" s="483" t="str">
        <f>IF((B11&gt;0),(VLOOKUP(J11,'Valve Reference'!$A$2:$K$389,3)),"-")</f>
        <v>0.5</v>
      </c>
      <c r="D11" s="471" t="s">
        <v>577</v>
      </c>
      <c r="E11" s="484">
        <f>IF((B11&gt;0),('Vlookup Tables'!$B$37),"-")</f>
        <v>5</v>
      </c>
      <c r="F11" s="585">
        <f t="shared" si="2"/>
        <v>0.63504330560994016</v>
      </c>
      <c r="G11" s="485">
        <f>IF((B11&gt;0),(VLOOKUP($B11,'Vlookup Tables'!$B$23:$F$33,2,TRUE)),"-")</f>
        <v>1</v>
      </c>
      <c r="H11" s="586">
        <f t="shared" si="3"/>
        <v>2.0163999999999995</v>
      </c>
      <c r="I11" s="476">
        <f>IF((B11&gt;0),('Vlookup Tables'!$B$35),"-")</f>
        <v>259</v>
      </c>
      <c r="J11" s="477" t="str">
        <f>IF(B11&gt;0,(IF(D11="2-Way",VLOOKUP($G11,'Vlookup Tables'!$C$23:$F$33,2,FALSE),VLOOKUP($G11,'Vlookup Tables'!$C$23:$F$33,3,FALSE))),"-")</f>
        <v>02034</v>
      </c>
      <c r="K11" s="478" t="str">
        <f>IF(B11&gt;0,(VLOOKUP(J11,'Valve Reference'!$A$2:$K$389,4)),"-")</f>
        <v>Standard</v>
      </c>
      <c r="L11" s="478" t="str">
        <f>IF(B11&gt;0,(VLOOKUP(J11,'Valve Reference'!$A$2:$K$389,5)),"-")</f>
        <v>BR</v>
      </c>
      <c r="M11" s="478" t="str">
        <f>IF(B11&gt;0,(VLOOKUP(J11,'Valve Reference'!$A$2:$K$389,8)),"-")</f>
        <v>Linear</v>
      </c>
      <c r="N11" s="478" t="str">
        <f>IF(B11&gt;0,(VLOOKUP(J11,'Valve Reference'!$A$2:$K$389,10)),"-")</f>
        <v>FxF</v>
      </c>
      <c r="O11" s="479" t="str">
        <f>IF(B11&gt;0,(VLOOKUP(J11,'Valve Reference'!$A$2:$K$389,11)),"-")</f>
        <v>Globe-Powermite</v>
      </c>
      <c r="P11" s="480" t="str">
        <f>IF(B11&gt;0,(VLOOKUP(I11,'Actuator Reference'!$A$2:$H$54,2)),"-")</f>
        <v>SSC81U</v>
      </c>
      <c r="Q11" s="480" t="str">
        <f>IF(B11&gt;0,(VLOOKUP(I11,'Actuator Reference'!$A$2:$H$54,5)),"-")</f>
        <v>Float</v>
      </c>
      <c r="R11" s="480" t="str">
        <f>IF(B11&gt;0,(VLOOKUP(I11,'Actuator Reference'!$A$2:$H$54,6)),"-")</f>
        <v>NSR</v>
      </c>
      <c r="S11" s="480" t="str">
        <f>IF(B11&gt;0,(VLOOKUP(I11,'Actuator Reference'!$A$2:$H$54,7)),"-")</f>
        <v>24V</v>
      </c>
      <c r="T11" s="481" t="str">
        <f>IF(B11&gt;0,(VLOOKUP(I11,'Actuator Reference'!$A$2:$H$54,8)),"-")</f>
        <v>MT-Series</v>
      </c>
      <c r="U11" s="39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5">
        <v>1</v>
      </c>
      <c r="AG11" s="35" t="s">
        <v>1097</v>
      </c>
      <c r="AH11" s="38" t="str">
        <f t="shared" si="0"/>
        <v>259-02034</v>
      </c>
      <c r="AI11" s="594" t="str">
        <f t="shared" si="1"/>
        <v>=0</v>
      </c>
      <c r="AJ11" s="595" t="s">
        <v>1339</v>
      </c>
      <c r="AK11" s="592">
        <v>4</v>
      </c>
      <c r="AL11" s="592" t="s">
        <v>1338</v>
      </c>
      <c r="AM11" s="38"/>
      <c r="AN11" s="38"/>
      <c r="AO11" s="38"/>
      <c r="AP11" s="38"/>
      <c r="AQ11" s="38"/>
      <c r="AR11" s="38"/>
      <c r="AS11" s="38"/>
      <c r="AT11" s="38"/>
      <c r="AU11" s="38"/>
      <c r="AV11" s="40"/>
      <c r="AW11" s="38"/>
      <c r="AX11" s="38"/>
      <c r="AY11" s="38"/>
      <c r="AZ11" s="38"/>
      <c r="BA11" s="38"/>
      <c r="BB11" s="38"/>
    </row>
    <row r="12" spans="1:54" ht="15" customHeight="1">
      <c r="A12" s="469">
        <f>'Box Schedule'!A17</f>
        <v>0</v>
      </c>
      <c r="B12" s="634">
        <v>4.7</v>
      </c>
      <c r="C12" s="483" t="str">
        <f>IF((B12&gt;0),(VLOOKUP(J12,'Valve Reference'!$A$2:$K$389,3)),"-")</f>
        <v>0.5</v>
      </c>
      <c r="D12" s="471" t="s">
        <v>577</v>
      </c>
      <c r="E12" s="484">
        <f>IF((B12&gt;0),('Vlookup Tables'!$B$37),"-")</f>
        <v>5</v>
      </c>
      <c r="F12" s="585">
        <f t="shared" si="2"/>
        <v>2.1019038988498022</v>
      </c>
      <c r="G12" s="485">
        <f>IF((B12&gt;0),(VLOOKUP($B12,'Vlookup Tables'!$B$23:$F$33,2,TRUE)),"-")</f>
        <v>2.5</v>
      </c>
      <c r="H12" s="586">
        <f t="shared" si="3"/>
        <v>3.5344000000000007</v>
      </c>
      <c r="I12" s="476">
        <f>IF((B12&gt;0),('Vlookup Tables'!$B$35),"-")</f>
        <v>259</v>
      </c>
      <c r="J12" s="477" t="str">
        <f>IF(B12&gt;0,(IF(D12="2-Way",VLOOKUP($G12,'Vlookup Tables'!$C$23:$F$33,2,FALSE),VLOOKUP($G12,'Vlookup Tables'!$C$23:$F$33,3,FALSE))),"-")</f>
        <v>02038</v>
      </c>
      <c r="K12" s="478" t="str">
        <f>IF(B12&gt;0,(VLOOKUP(J12,'Valve Reference'!$A$2:$K$389,4)),"-")</f>
        <v>Standard</v>
      </c>
      <c r="L12" s="478" t="str">
        <f>IF(B12&gt;0,(VLOOKUP(J12,'Valve Reference'!$A$2:$K$389,5)),"-")</f>
        <v>BR</v>
      </c>
      <c r="M12" s="478" t="str">
        <f>IF(B12&gt;0,(VLOOKUP(J12,'Valve Reference'!$A$2:$K$389,8)),"-")</f>
        <v>Linear</v>
      </c>
      <c r="N12" s="478" t="str">
        <f>IF(B12&gt;0,(VLOOKUP(J12,'Valve Reference'!$A$2:$K$389,10)),"-")</f>
        <v>FxF</v>
      </c>
      <c r="O12" s="479" t="str">
        <f>IF(B12&gt;0,(VLOOKUP(J12,'Valve Reference'!$A$2:$K$389,11)),"-")</f>
        <v>Globe-Powermite</v>
      </c>
      <c r="P12" s="480" t="str">
        <f>IF(B12&gt;0,(VLOOKUP(I12,'Actuator Reference'!$A$2:$H$54,2)),"-")</f>
        <v>SSC81U</v>
      </c>
      <c r="Q12" s="480" t="str">
        <f>IF(B12&gt;0,(VLOOKUP(I12,'Actuator Reference'!$A$2:$H$54,5)),"-")</f>
        <v>Float</v>
      </c>
      <c r="R12" s="480" t="str">
        <f>IF(B12&gt;0,(VLOOKUP(I12,'Actuator Reference'!$A$2:$H$54,6)),"-")</f>
        <v>NSR</v>
      </c>
      <c r="S12" s="480" t="str">
        <f>IF(B12&gt;0,(VLOOKUP(I12,'Actuator Reference'!$A$2:$H$54,7)),"-")</f>
        <v>24V</v>
      </c>
      <c r="T12" s="481" t="str">
        <f>IF(B12&gt;0,(VLOOKUP(I12,'Actuator Reference'!$A$2:$H$54,8)),"-")</f>
        <v>MT-Series</v>
      </c>
      <c r="U12" s="39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5">
        <v>1</v>
      </c>
      <c r="AG12" s="35" t="s">
        <v>1097</v>
      </c>
      <c r="AH12" s="38" t="str">
        <f t="shared" si="0"/>
        <v>259-02038</v>
      </c>
      <c r="AI12" s="594" t="str">
        <f t="shared" si="1"/>
        <v>=0</v>
      </c>
      <c r="AJ12" s="595" t="s">
        <v>1339</v>
      </c>
      <c r="AK12" s="592">
        <v>4</v>
      </c>
      <c r="AL12" s="592" t="s">
        <v>1338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40"/>
      <c r="AW12" s="38"/>
      <c r="AX12" s="38"/>
      <c r="AY12" s="38"/>
      <c r="AZ12" s="38"/>
      <c r="BA12" s="38"/>
      <c r="BB12" s="38"/>
    </row>
    <row r="13" spans="1:54" ht="15" customHeight="1">
      <c r="A13" s="469">
        <f>'Box Schedule'!A18</f>
        <v>0</v>
      </c>
      <c r="B13" s="634">
        <v>1.5</v>
      </c>
      <c r="C13" s="483" t="str">
        <f>IF((B13&gt;0),(VLOOKUP(J13,'Valve Reference'!$A$2:$K$389,3)),"-")</f>
        <v>0.5</v>
      </c>
      <c r="D13" s="471" t="s">
        <v>577</v>
      </c>
      <c r="E13" s="484">
        <f>IF((B13&gt;0),('Vlookup Tables'!$B$37),"-")</f>
        <v>5</v>
      </c>
      <c r="F13" s="585">
        <f t="shared" si="2"/>
        <v>0.67082039324993692</v>
      </c>
      <c r="G13" s="485">
        <f>IF((B13&gt;0),(VLOOKUP($B13,'Vlookup Tables'!$B$23:$F$33,2,TRUE)),"-")</f>
        <v>1</v>
      </c>
      <c r="H13" s="586">
        <f t="shared" si="3"/>
        <v>2.25</v>
      </c>
      <c r="I13" s="476">
        <f>IF((B13&gt;0),('Vlookup Tables'!$B$35),"-")</f>
        <v>259</v>
      </c>
      <c r="J13" s="477" t="str">
        <f>IF(B13&gt;0,(IF(D13="2-Way",VLOOKUP($G13,'Vlookup Tables'!$C$23:$F$33,2,FALSE),VLOOKUP($G13,'Vlookup Tables'!$C$23:$F$33,3,FALSE))),"-")</f>
        <v>02034</v>
      </c>
      <c r="K13" s="478" t="str">
        <f>IF(B13&gt;0,(VLOOKUP(J13,'Valve Reference'!$A$2:$K$389,4)),"-")</f>
        <v>Standard</v>
      </c>
      <c r="L13" s="478" t="str">
        <f>IF(B13&gt;0,(VLOOKUP(J13,'Valve Reference'!$A$2:$K$389,5)),"-")</f>
        <v>BR</v>
      </c>
      <c r="M13" s="478" t="str">
        <f>IF(B13&gt;0,(VLOOKUP(J13,'Valve Reference'!$A$2:$K$389,8)),"-")</f>
        <v>Linear</v>
      </c>
      <c r="N13" s="478" t="str">
        <f>IF(B13&gt;0,(VLOOKUP(J13,'Valve Reference'!$A$2:$K$389,10)),"-")</f>
        <v>FxF</v>
      </c>
      <c r="O13" s="479" t="str">
        <f>IF(B13&gt;0,(VLOOKUP(J13,'Valve Reference'!$A$2:$K$389,11)),"-")</f>
        <v>Globe-Powermite</v>
      </c>
      <c r="P13" s="480" t="str">
        <f>IF(B13&gt;0,(VLOOKUP(I13,'Actuator Reference'!$A$2:$H$54,2)),"-")</f>
        <v>SSC81U</v>
      </c>
      <c r="Q13" s="480" t="str">
        <f>IF(B13&gt;0,(VLOOKUP(I13,'Actuator Reference'!$A$2:$H$54,5)),"-")</f>
        <v>Float</v>
      </c>
      <c r="R13" s="480" t="str">
        <f>IF(B13&gt;0,(VLOOKUP(I13,'Actuator Reference'!$A$2:$H$54,6)),"-")</f>
        <v>NSR</v>
      </c>
      <c r="S13" s="480" t="str">
        <f>IF(B13&gt;0,(VLOOKUP(I13,'Actuator Reference'!$A$2:$H$54,7)),"-")</f>
        <v>24V</v>
      </c>
      <c r="T13" s="481" t="str">
        <f>IF(B13&gt;0,(VLOOKUP(I13,'Actuator Reference'!$A$2:$H$54,8)),"-")</f>
        <v>MT-Series</v>
      </c>
      <c r="U13" s="39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5">
        <v>1</v>
      </c>
      <c r="AG13" s="35" t="s">
        <v>1097</v>
      </c>
      <c r="AH13" s="38" t="str">
        <f t="shared" si="0"/>
        <v>259-02034</v>
      </c>
      <c r="AI13" s="594" t="str">
        <f t="shared" si="1"/>
        <v>=0</v>
      </c>
      <c r="AJ13" s="595" t="s">
        <v>1339</v>
      </c>
      <c r="AK13" s="592">
        <v>4</v>
      </c>
      <c r="AL13" s="592" t="s">
        <v>1338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40"/>
      <c r="AW13" s="38"/>
      <c r="AX13" s="38"/>
      <c r="AY13" s="38"/>
      <c r="AZ13" s="38"/>
      <c r="BA13" s="38"/>
      <c r="BB13" s="38"/>
    </row>
    <row r="14" spans="1:54" ht="15" customHeight="1">
      <c r="A14" s="469">
        <f>'Box Schedule'!A19</f>
        <v>0</v>
      </c>
      <c r="B14" s="634">
        <v>1.71</v>
      </c>
      <c r="C14" s="483" t="str">
        <f>IF((B14&gt;0),(VLOOKUP(J14,'Valve Reference'!$A$2:$K$389,3)),"-")</f>
        <v>0.5</v>
      </c>
      <c r="D14" s="471" t="s">
        <v>577</v>
      </c>
      <c r="E14" s="484">
        <f>IF((B14&gt;0),('Vlookup Tables'!$B$37),"-")</f>
        <v>5</v>
      </c>
      <c r="F14" s="585">
        <f t="shared" si="2"/>
        <v>0.76473524830492801</v>
      </c>
      <c r="G14" s="485">
        <f>IF((B14&gt;0),(VLOOKUP($B14,'Vlookup Tables'!$B$23:$F$33,2,TRUE)),"-")</f>
        <v>1</v>
      </c>
      <c r="H14" s="586">
        <f t="shared" si="3"/>
        <v>2.9241000000000001</v>
      </c>
      <c r="I14" s="476">
        <f>IF((B14&gt;0),('Vlookup Tables'!$B$35),"-")</f>
        <v>259</v>
      </c>
      <c r="J14" s="477" t="str">
        <f>IF(B14&gt;0,(IF(D14="2-Way",VLOOKUP($G14,'Vlookup Tables'!$C$23:$F$33,2,FALSE),VLOOKUP($G14,'Vlookup Tables'!$C$23:$F$33,3,FALSE))),"-")</f>
        <v>02034</v>
      </c>
      <c r="K14" s="478" t="str">
        <f>IF(B14&gt;0,(VLOOKUP(J14,'Valve Reference'!$A$2:$K$389,4)),"-")</f>
        <v>Standard</v>
      </c>
      <c r="L14" s="478" t="str">
        <f>IF(B14&gt;0,(VLOOKUP(J14,'Valve Reference'!$A$2:$K$389,5)),"-")</f>
        <v>BR</v>
      </c>
      <c r="M14" s="478" t="str">
        <f>IF(B14&gt;0,(VLOOKUP(J14,'Valve Reference'!$A$2:$K$389,8)),"-")</f>
        <v>Linear</v>
      </c>
      <c r="N14" s="478" t="str">
        <f>IF(B14&gt;0,(VLOOKUP(J14,'Valve Reference'!$A$2:$K$389,10)),"-")</f>
        <v>FxF</v>
      </c>
      <c r="O14" s="479" t="str">
        <f>IF(B14&gt;0,(VLOOKUP(J14,'Valve Reference'!$A$2:$K$389,11)),"-")</f>
        <v>Globe-Powermite</v>
      </c>
      <c r="P14" s="480" t="str">
        <f>IF(B14&gt;0,(VLOOKUP(I14,'Actuator Reference'!$A$2:$H$54,2)),"-")</f>
        <v>SSC81U</v>
      </c>
      <c r="Q14" s="480" t="str">
        <f>IF(B14&gt;0,(VLOOKUP(I14,'Actuator Reference'!$A$2:$H$54,5)),"-")</f>
        <v>Float</v>
      </c>
      <c r="R14" s="480" t="str">
        <f>IF(B14&gt;0,(VLOOKUP(I14,'Actuator Reference'!$A$2:$H$54,6)),"-")</f>
        <v>NSR</v>
      </c>
      <c r="S14" s="480" t="str">
        <f>IF(B14&gt;0,(VLOOKUP(I14,'Actuator Reference'!$A$2:$H$54,7)),"-")</f>
        <v>24V</v>
      </c>
      <c r="T14" s="481" t="str">
        <f>IF(B14&gt;0,(VLOOKUP(I14,'Actuator Reference'!$A$2:$H$54,8)),"-")</f>
        <v>MT-Series</v>
      </c>
      <c r="U14" s="39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5">
        <v>1</v>
      </c>
      <c r="AG14" s="35" t="s">
        <v>1097</v>
      </c>
      <c r="AH14" s="38" t="str">
        <f t="shared" si="0"/>
        <v>259-02034</v>
      </c>
      <c r="AI14" s="594" t="str">
        <f t="shared" si="1"/>
        <v>=0</v>
      </c>
      <c r="AJ14" s="595" t="s">
        <v>1339</v>
      </c>
      <c r="AK14" s="592">
        <v>4</v>
      </c>
      <c r="AL14" s="592" t="s">
        <v>1338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40"/>
      <c r="AW14" s="38"/>
      <c r="AX14" s="38"/>
      <c r="AY14" s="38"/>
      <c r="AZ14" s="38"/>
      <c r="BA14" s="38"/>
      <c r="BB14" s="38"/>
    </row>
    <row r="15" spans="1:54" ht="15" customHeight="1">
      <c r="A15" s="469">
        <f>'Box Schedule'!A20</f>
        <v>0</v>
      </c>
      <c r="B15" s="634">
        <v>1.7</v>
      </c>
      <c r="C15" s="483" t="str">
        <f>IF((B15&gt;0),(VLOOKUP(J15,'Valve Reference'!$A$2:$K$389,3)),"-")</f>
        <v>0.5</v>
      </c>
      <c r="D15" s="471" t="s">
        <v>577</v>
      </c>
      <c r="E15" s="484">
        <f>IF((B15&gt;0),('Vlookup Tables'!$B$37),"-")</f>
        <v>5</v>
      </c>
      <c r="F15" s="585">
        <f t="shared" si="2"/>
        <v>0.76026311234992849</v>
      </c>
      <c r="G15" s="485">
        <f>IF((B15&gt;0),(VLOOKUP($B15,'Vlookup Tables'!$B$23:$F$33,2,TRUE)),"-")</f>
        <v>1</v>
      </c>
      <c r="H15" s="586">
        <f t="shared" si="3"/>
        <v>2.8899999999999997</v>
      </c>
      <c r="I15" s="476">
        <f>IF((B15&gt;0),('Vlookup Tables'!$B$35),"-")</f>
        <v>259</v>
      </c>
      <c r="J15" s="477" t="str">
        <f>IF(B15&gt;0,(IF(D15="2-Way",VLOOKUP($G15,'Vlookup Tables'!$C$23:$F$33,2,FALSE),VLOOKUP($G15,'Vlookup Tables'!$C$23:$F$33,3,FALSE))),"-")</f>
        <v>02034</v>
      </c>
      <c r="K15" s="478" t="str">
        <f>IF(B15&gt;0,(VLOOKUP(J15,'Valve Reference'!$A$2:$K$389,4)),"-")</f>
        <v>Standard</v>
      </c>
      <c r="L15" s="478" t="str">
        <f>IF(B15&gt;0,(VLOOKUP(J15,'Valve Reference'!$A$2:$K$389,5)),"-")</f>
        <v>BR</v>
      </c>
      <c r="M15" s="478" t="str">
        <f>IF(B15&gt;0,(VLOOKUP(J15,'Valve Reference'!$A$2:$K$389,8)),"-")</f>
        <v>Linear</v>
      </c>
      <c r="N15" s="478" t="str">
        <f>IF(B15&gt;0,(VLOOKUP(J15,'Valve Reference'!$A$2:$K$389,10)),"-")</f>
        <v>FxF</v>
      </c>
      <c r="O15" s="479" t="str">
        <f>IF(B15&gt;0,(VLOOKUP(J15,'Valve Reference'!$A$2:$K$389,11)),"-")</f>
        <v>Globe-Powermite</v>
      </c>
      <c r="P15" s="480" t="str">
        <f>IF(B15&gt;0,(VLOOKUP(I15,'Actuator Reference'!$A$2:$H$54,2)),"-")</f>
        <v>SSC81U</v>
      </c>
      <c r="Q15" s="480" t="str">
        <f>IF(B15&gt;0,(VLOOKUP(I15,'Actuator Reference'!$A$2:$H$54,5)),"-")</f>
        <v>Float</v>
      </c>
      <c r="R15" s="480" t="str">
        <f>IF(B15&gt;0,(VLOOKUP(I15,'Actuator Reference'!$A$2:$H$54,6)),"-")</f>
        <v>NSR</v>
      </c>
      <c r="S15" s="480" t="str">
        <f>IF(B15&gt;0,(VLOOKUP(I15,'Actuator Reference'!$A$2:$H$54,7)),"-")</f>
        <v>24V</v>
      </c>
      <c r="T15" s="481" t="str">
        <f>IF(B15&gt;0,(VLOOKUP(I15,'Actuator Reference'!$A$2:$H$54,8)),"-")</f>
        <v>MT-Series</v>
      </c>
      <c r="U15" s="39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5">
        <v>1</v>
      </c>
      <c r="AG15" s="35" t="s">
        <v>1097</v>
      </c>
      <c r="AH15" s="38" t="str">
        <f t="shared" si="0"/>
        <v>259-02034</v>
      </c>
      <c r="AI15" s="594" t="str">
        <f t="shared" si="1"/>
        <v>=0</v>
      </c>
      <c r="AJ15" s="595" t="s">
        <v>1339</v>
      </c>
      <c r="AK15" s="592">
        <v>4</v>
      </c>
      <c r="AL15" s="592" t="s">
        <v>1338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40"/>
      <c r="AW15" s="38"/>
      <c r="AX15" s="38"/>
      <c r="AY15" s="38"/>
      <c r="AZ15" s="38"/>
      <c r="BA15" s="38"/>
      <c r="BB15" s="38"/>
    </row>
    <row r="16" spans="1:54" ht="15" customHeight="1">
      <c r="A16" s="469">
        <f>'Box Schedule'!A21</f>
        <v>0</v>
      </c>
      <c r="B16" s="634">
        <v>2.34</v>
      </c>
      <c r="C16" s="483" t="str">
        <f>IF((B16&gt;0),(VLOOKUP(J16,'Valve Reference'!$A$2:$K$389,3)),"-")</f>
        <v>0.5</v>
      </c>
      <c r="D16" s="471" t="s">
        <v>577</v>
      </c>
      <c r="E16" s="484">
        <f>IF((B16&gt;0),('Vlookup Tables'!$B$37),"-")</f>
        <v>5</v>
      </c>
      <c r="F16" s="585">
        <f t="shared" si="2"/>
        <v>1.0464798134699014</v>
      </c>
      <c r="G16" s="485">
        <f>IF((B16&gt;0),(VLOOKUP($B16,'Vlookup Tables'!$B$23:$F$33,2,TRUE)),"-")</f>
        <v>1.6</v>
      </c>
      <c r="H16" s="586">
        <f t="shared" si="3"/>
        <v>2.1389062499999993</v>
      </c>
      <c r="I16" s="476">
        <f>IF((B16&gt;0),('Vlookup Tables'!$B$35),"-")</f>
        <v>259</v>
      </c>
      <c r="J16" s="477" t="str">
        <f>IF(B16&gt;0,(IF(D16="2-Way",VLOOKUP($G16,'Vlookup Tables'!$C$23:$F$33,2,FALSE),VLOOKUP($G16,'Vlookup Tables'!$C$23:$F$33,3,FALSE))),"-")</f>
        <v>02036</v>
      </c>
      <c r="K16" s="478" t="str">
        <f>IF(B16&gt;0,(VLOOKUP(J16,'Valve Reference'!$A$2:$K$389,4)),"-")</f>
        <v>Standard</v>
      </c>
      <c r="L16" s="478" t="str">
        <f>IF(B16&gt;0,(VLOOKUP(J16,'Valve Reference'!$A$2:$K$389,5)),"-")</f>
        <v>BR</v>
      </c>
      <c r="M16" s="478" t="str">
        <f>IF(B16&gt;0,(VLOOKUP(J16,'Valve Reference'!$A$2:$K$389,8)),"-")</f>
        <v>Linear</v>
      </c>
      <c r="N16" s="478" t="str">
        <f>IF(B16&gt;0,(VLOOKUP(J16,'Valve Reference'!$A$2:$K$389,10)),"-")</f>
        <v>FxF</v>
      </c>
      <c r="O16" s="479" t="str">
        <f>IF(B16&gt;0,(VLOOKUP(J16,'Valve Reference'!$A$2:$K$389,11)),"-")</f>
        <v>Globe-Powermite</v>
      </c>
      <c r="P16" s="480" t="str">
        <f>IF(B16&gt;0,(VLOOKUP(I16,'Actuator Reference'!$A$2:$H$54,2)),"-")</f>
        <v>SSC81U</v>
      </c>
      <c r="Q16" s="480" t="str">
        <f>IF(B16&gt;0,(VLOOKUP(I16,'Actuator Reference'!$A$2:$H$54,5)),"-")</f>
        <v>Float</v>
      </c>
      <c r="R16" s="480" t="str">
        <f>IF(B16&gt;0,(VLOOKUP(I16,'Actuator Reference'!$A$2:$H$54,6)),"-")</f>
        <v>NSR</v>
      </c>
      <c r="S16" s="480" t="str">
        <f>IF(B16&gt;0,(VLOOKUP(I16,'Actuator Reference'!$A$2:$H$54,7)),"-")</f>
        <v>24V</v>
      </c>
      <c r="T16" s="481" t="str">
        <f>IF(B16&gt;0,(VLOOKUP(I16,'Actuator Reference'!$A$2:$H$54,8)),"-")</f>
        <v>MT-Series</v>
      </c>
      <c r="U16" s="39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5">
        <v>1</v>
      </c>
      <c r="AG16" s="35" t="s">
        <v>1097</v>
      </c>
      <c r="AH16" s="38" t="str">
        <f t="shared" si="0"/>
        <v>259-02036</v>
      </c>
      <c r="AI16" s="594" t="str">
        <f t="shared" si="1"/>
        <v>=0</v>
      </c>
      <c r="AJ16" s="595" t="s">
        <v>1339</v>
      </c>
      <c r="AK16" s="592">
        <v>4</v>
      </c>
      <c r="AL16" s="592" t="s">
        <v>1338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40"/>
      <c r="AW16" s="38"/>
      <c r="AX16" s="38"/>
      <c r="AY16" s="38"/>
      <c r="AZ16" s="38"/>
      <c r="BA16" s="38"/>
      <c r="BB16" s="38"/>
    </row>
    <row r="17" spans="1:54" ht="15" customHeight="1">
      <c r="A17" s="469">
        <f>'Box Schedule'!A22</f>
        <v>0</v>
      </c>
      <c r="B17" s="634">
        <v>0.31</v>
      </c>
      <c r="C17" s="483" t="str">
        <f>IF((B17&gt;0),(VLOOKUP(J17,'Valve Reference'!$A$2:$K$389,3)),"-")</f>
        <v>0.5</v>
      </c>
      <c r="D17" s="471" t="s">
        <v>577</v>
      </c>
      <c r="E17" s="484">
        <f>IF((B17&gt;0),('Vlookup Tables'!$B$37),"-")</f>
        <v>5</v>
      </c>
      <c r="F17" s="585">
        <f t="shared" si="2"/>
        <v>0.13863621460498696</v>
      </c>
      <c r="G17" s="485">
        <f>IF((B17&gt;0),(VLOOKUP($B17,'Vlookup Tables'!$B$23:$F$33,2,TRUE)),"-")</f>
        <v>0.4</v>
      </c>
      <c r="H17" s="586">
        <f t="shared" si="3"/>
        <v>0.60062499999999985</v>
      </c>
      <c r="I17" s="476">
        <f>IF((B17&gt;0),('Vlookup Tables'!$B$35),"-")</f>
        <v>259</v>
      </c>
      <c r="J17" s="477" t="str">
        <f>IF(B17&gt;0,(IF(D17="2-Way",VLOOKUP($G17,'Vlookup Tables'!$C$23:$F$33,2,FALSE),VLOOKUP($G17,'Vlookup Tables'!$C$23:$F$33,3,FALSE))),"-")</f>
        <v>02030</v>
      </c>
      <c r="K17" s="478" t="str">
        <f>IF(B17&gt;0,(VLOOKUP(J17,'Valve Reference'!$A$2:$K$389,4)),"-")</f>
        <v>Standard</v>
      </c>
      <c r="L17" s="478" t="str">
        <f>IF(B17&gt;0,(VLOOKUP(J17,'Valve Reference'!$A$2:$K$389,5)),"-")</f>
        <v>BR</v>
      </c>
      <c r="M17" s="478" t="str">
        <f>IF(B17&gt;0,(VLOOKUP(J17,'Valve Reference'!$A$2:$K$389,8)),"-")</f>
        <v>Linear</v>
      </c>
      <c r="N17" s="478" t="str">
        <f>IF(B17&gt;0,(VLOOKUP(J17,'Valve Reference'!$A$2:$K$389,10)),"-")</f>
        <v>FxF</v>
      </c>
      <c r="O17" s="479" t="str">
        <f>IF(B17&gt;0,(VLOOKUP(J17,'Valve Reference'!$A$2:$K$389,11)),"-")</f>
        <v>Globe-Powermite</v>
      </c>
      <c r="P17" s="480" t="str">
        <f>IF(B17&gt;0,(VLOOKUP(I17,'Actuator Reference'!$A$2:$H$54,2)),"-")</f>
        <v>SSC81U</v>
      </c>
      <c r="Q17" s="480" t="str">
        <f>IF(B17&gt;0,(VLOOKUP(I17,'Actuator Reference'!$A$2:$H$54,5)),"-")</f>
        <v>Float</v>
      </c>
      <c r="R17" s="480" t="str">
        <f>IF(B17&gt;0,(VLOOKUP(I17,'Actuator Reference'!$A$2:$H$54,6)),"-")</f>
        <v>NSR</v>
      </c>
      <c r="S17" s="480" t="str">
        <f>IF(B17&gt;0,(VLOOKUP(I17,'Actuator Reference'!$A$2:$H$54,7)),"-")</f>
        <v>24V</v>
      </c>
      <c r="T17" s="481" t="str">
        <f>IF(B17&gt;0,(VLOOKUP(I17,'Actuator Reference'!$A$2:$H$54,8)),"-")</f>
        <v>MT-Series</v>
      </c>
      <c r="U17" s="39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5">
        <v>1</v>
      </c>
      <c r="AG17" s="35" t="s">
        <v>1097</v>
      </c>
      <c r="AH17" s="38" t="str">
        <f t="shared" si="0"/>
        <v>259-02030</v>
      </c>
      <c r="AI17" s="594" t="str">
        <f t="shared" si="1"/>
        <v>=0</v>
      </c>
      <c r="AJ17" s="595" t="s">
        <v>1339</v>
      </c>
      <c r="AK17" s="592">
        <v>4</v>
      </c>
      <c r="AL17" s="592" t="s">
        <v>1338</v>
      </c>
      <c r="AM17" s="38"/>
      <c r="AN17" s="38"/>
      <c r="AO17" s="38"/>
      <c r="AP17" s="38"/>
      <c r="AQ17" s="38"/>
      <c r="AR17" s="38"/>
      <c r="AS17" s="38"/>
      <c r="AT17" s="38"/>
      <c r="AU17" s="38"/>
      <c r="AV17" s="40"/>
      <c r="AW17" s="38"/>
      <c r="AX17" s="38"/>
      <c r="AY17" s="38"/>
      <c r="AZ17" s="38"/>
      <c r="BA17" s="38"/>
      <c r="BB17" s="38"/>
    </row>
    <row r="18" spans="1:54" ht="15" customHeight="1">
      <c r="A18" s="469">
        <f>'Box Schedule'!A23</f>
        <v>0</v>
      </c>
      <c r="B18" s="634">
        <v>3.31</v>
      </c>
      <c r="C18" s="483" t="str">
        <f>IF((B18&gt;0),(VLOOKUP(J18,'Valve Reference'!$A$2:$K$389,3)),"-")</f>
        <v>0.5</v>
      </c>
      <c r="D18" s="471" t="s">
        <v>577</v>
      </c>
      <c r="E18" s="484">
        <f>IF((B18&gt;0),('Vlookup Tables'!$B$37),"-")</f>
        <v>5</v>
      </c>
      <c r="F18" s="585">
        <f t="shared" si="2"/>
        <v>1.4802770011048607</v>
      </c>
      <c r="G18" s="485">
        <f>IF((B18&gt;0),(VLOOKUP($B18,'Vlookup Tables'!$B$23:$F$33,2,TRUE)),"-")</f>
        <v>1.6</v>
      </c>
      <c r="H18" s="586">
        <f t="shared" si="3"/>
        <v>4.2797265624999996</v>
      </c>
      <c r="I18" s="476">
        <f>IF((B18&gt;0),('Vlookup Tables'!$B$35),"-")</f>
        <v>259</v>
      </c>
      <c r="J18" s="477" t="str">
        <f>IF(B18&gt;0,(IF(D18="2-Way",VLOOKUP($G18,'Vlookup Tables'!$C$23:$F$33,2,FALSE),VLOOKUP($G18,'Vlookup Tables'!$C$23:$F$33,3,FALSE))),"-")</f>
        <v>02036</v>
      </c>
      <c r="K18" s="478" t="str">
        <f>IF(B18&gt;0,(VLOOKUP(J18,'Valve Reference'!$A$2:$K$389,4)),"-")</f>
        <v>Standard</v>
      </c>
      <c r="L18" s="478" t="str">
        <f>IF(B18&gt;0,(VLOOKUP(J18,'Valve Reference'!$A$2:$K$389,5)),"-")</f>
        <v>BR</v>
      </c>
      <c r="M18" s="478" t="str">
        <f>IF(B18&gt;0,(VLOOKUP(J18,'Valve Reference'!$A$2:$K$389,8)),"-")</f>
        <v>Linear</v>
      </c>
      <c r="N18" s="478" t="str">
        <f>IF(B18&gt;0,(VLOOKUP(J18,'Valve Reference'!$A$2:$K$389,10)),"-")</f>
        <v>FxF</v>
      </c>
      <c r="O18" s="479" t="str">
        <f>IF(B18&gt;0,(VLOOKUP(J18,'Valve Reference'!$A$2:$K$389,11)),"-")</f>
        <v>Globe-Powermite</v>
      </c>
      <c r="P18" s="480" t="str">
        <f>IF(B18&gt;0,(VLOOKUP(I18,'Actuator Reference'!$A$2:$H$54,2)),"-")</f>
        <v>SSC81U</v>
      </c>
      <c r="Q18" s="480" t="str">
        <f>IF(B18&gt;0,(VLOOKUP(I18,'Actuator Reference'!$A$2:$H$54,5)),"-")</f>
        <v>Float</v>
      </c>
      <c r="R18" s="480" t="str">
        <f>IF(B18&gt;0,(VLOOKUP(I18,'Actuator Reference'!$A$2:$H$54,6)),"-")</f>
        <v>NSR</v>
      </c>
      <c r="S18" s="480" t="str">
        <f>IF(B18&gt;0,(VLOOKUP(I18,'Actuator Reference'!$A$2:$H$54,7)),"-")</f>
        <v>24V</v>
      </c>
      <c r="T18" s="481" t="str">
        <f>IF(B18&gt;0,(VLOOKUP(I18,'Actuator Reference'!$A$2:$H$54,8)),"-")</f>
        <v>MT-Series</v>
      </c>
      <c r="U18" s="39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5">
        <v>1</v>
      </c>
      <c r="AG18" s="35" t="s">
        <v>1097</v>
      </c>
      <c r="AH18" s="38" t="str">
        <f t="shared" si="0"/>
        <v>259-02036</v>
      </c>
      <c r="AI18" s="594" t="str">
        <f t="shared" si="1"/>
        <v>=0</v>
      </c>
      <c r="AJ18" s="595" t="s">
        <v>1339</v>
      </c>
      <c r="AK18" s="592">
        <v>4</v>
      </c>
      <c r="AL18" s="592" t="s">
        <v>1338</v>
      </c>
      <c r="AM18" s="38"/>
      <c r="AN18" s="38"/>
      <c r="AO18" s="38"/>
      <c r="AP18" s="38"/>
      <c r="AQ18" s="38"/>
      <c r="AR18" s="38"/>
      <c r="AS18" s="38"/>
      <c r="AT18" s="38"/>
      <c r="AU18" s="38"/>
      <c r="AV18" s="40"/>
      <c r="AW18" s="38"/>
      <c r="AX18" s="38"/>
      <c r="AY18" s="38"/>
      <c r="AZ18" s="38"/>
      <c r="BA18" s="38"/>
      <c r="BB18" s="38"/>
    </row>
    <row r="19" spans="1:54" ht="15" customHeight="1">
      <c r="A19" s="469">
        <f>'Box Schedule'!A24</f>
        <v>0</v>
      </c>
      <c r="B19" s="634">
        <v>1</v>
      </c>
      <c r="C19" s="483" t="str">
        <f>IF((B19&gt;0),(VLOOKUP(J19,'Valve Reference'!$A$2:$K$389,3)),"-")</f>
        <v>0.5</v>
      </c>
      <c r="D19" s="471" t="s">
        <v>577</v>
      </c>
      <c r="E19" s="484">
        <f>IF((B19&gt;0),('Vlookup Tables'!$B$37),"-")</f>
        <v>5</v>
      </c>
      <c r="F19" s="585">
        <f t="shared" si="2"/>
        <v>0.44721359549995793</v>
      </c>
      <c r="G19" s="485">
        <f>IF((B19&gt;0),(VLOOKUP($B19,'Vlookup Tables'!$B$23:$F$33,2,TRUE)),"-")</f>
        <v>0.63</v>
      </c>
      <c r="H19" s="586">
        <f t="shared" si="3"/>
        <v>2.5195263290501382</v>
      </c>
      <c r="I19" s="476">
        <f>IF((B19&gt;0),('Vlookup Tables'!$B$35),"-")</f>
        <v>259</v>
      </c>
      <c r="J19" s="477" t="str">
        <f>IF(B19&gt;0,(IF(D19="2-Way",VLOOKUP($G19,'Vlookup Tables'!$C$23:$F$33,2,FALSE),VLOOKUP($G19,'Vlookup Tables'!$C$23:$F$33,3,FALSE))),"-")</f>
        <v>02032</v>
      </c>
      <c r="K19" s="478" t="str">
        <f>IF(B19&gt;0,(VLOOKUP(J19,'Valve Reference'!$A$2:$K$389,4)),"-")</f>
        <v>Standard</v>
      </c>
      <c r="L19" s="478" t="str">
        <f>IF(B19&gt;0,(VLOOKUP(J19,'Valve Reference'!$A$2:$K$389,5)),"-")</f>
        <v>BR</v>
      </c>
      <c r="M19" s="478" t="str">
        <f>IF(B19&gt;0,(VLOOKUP(J19,'Valve Reference'!$A$2:$K$389,8)),"-")</f>
        <v>Linear</v>
      </c>
      <c r="N19" s="478" t="str">
        <f>IF(B19&gt;0,(VLOOKUP(J19,'Valve Reference'!$A$2:$K$389,10)),"-")</f>
        <v>FxF</v>
      </c>
      <c r="O19" s="479" t="str">
        <f>IF(B19&gt;0,(VLOOKUP(J19,'Valve Reference'!$A$2:$K$389,11)),"-")</f>
        <v>Globe-Powermite</v>
      </c>
      <c r="P19" s="480" t="str">
        <f>IF(B19&gt;0,(VLOOKUP(I19,'Actuator Reference'!$A$2:$H$54,2)),"-")</f>
        <v>SSC81U</v>
      </c>
      <c r="Q19" s="480" t="str">
        <f>IF(B19&gt;0,(VLOOKUP(I19,'Actuator Reference'!$A$2:$H$54,5)),"-")</f>
        <v>Float</v>
      </c>
      <c r="R19" s="480" t="str">
        <f>IF(B19&gt;0,(VLOOKUP(I19,'Actuator Reference'!$A$2:$H$54,6)),"-")</f>
        <v>NSR</v>
      </c>
      <c r="S19" s="480" t="str">
        <f>IF(B19&gt;0,(VLOOKUP(I19,'Actuator Reference'!$A$2:$H$54,7)),"-")</f>
        <v>24V</v>
      </c>
      <c r="T19" s="481" t="str">
        <f>IF(B19&gt;0,(VLOOKUP(I19,'Actuator Reference'!$A$2:$H$54,8)),"-")</f>
        <v>MT-Series</v>
      </c>
      <c r="U19" s="39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5">
        <v>1</v>
      </c>
      <c r="AG19" s="35" t="s">
        <v>1097</v>
      </c>
      <c r="AH19" s="38" t="str">
        <f t="shared" si="0"/>
        <v>259-02032</v>
      </c>
      <c r="AI19" s="594" t="str">
        <f t="shared" si="1"/>
        <v>=0</v>
      </c>
      <c r="AJ19" s="595" t="s">
        <v>1339</v>
      </c>
      <c r="AK19" s="592">
        <v>4</v>
      </c>
      <c r="AL19" s="592" t="s">
        <v>1338</v>
      </c>
      <c r="AM19" s="38"/>
      <c r="AN19" s="38"/>
      <c r="AO19" s="38"/>
      <c r="AP19" s="38"/>
      <c r="AQ19" s="38"/>
      <c r="AR19" s="38"/>
      <c r="AS19" s="38"/>
      <c r="AT19" s="38"/>
      <c r="AU19" s="38"/>
      <c r="AV19" s="40"/>
      <c r="AW19" s="38"/>
      <c r="AX19" s="38"/>
      <c r="AY19" s="38"/>
      <c r="AZ19" s="38"/>
      <c r="BA19" s="38"/>
      <c r="BB19" s="38"/>
    </row>
    <row r="20" spans="1:54" ht="15" customHeight="1">
      <c r="A20" s="469">
        <f>'Box Schedule'!A25</f>
        <v>0</v>
      </c>
      <c r="B20" s="634">
        <v>0.78</v>
      </c>
      <c r="C20" s="483" t="str">
        <f>IF((B20&gt;0),(VLOOKUP(J20,'Valve Reference'!$A$2:$K$389,3)),"-")</f>
        <v>0.5</v>
      </c>
      <c r="D20" s="471" t="s">
        <v>577</v>
      </c>
      <c r="E20" s="484">
        <f>IF((B20&gt;0),('Vlookup Tables'!$B$37),"-")</f>
        <v>5</v>
      </c>
      <c r="F20" s="585">
        <f t="shared" si="2"/>
        <v>0.34882660448996716</v>
      </c>
      <c r="G20" s="485">
        <f>IF((B20&gt;0),(VLOOKUP($B20,'Vlookup Tables'!$B$23:$F$33,2,TRUE)),"-")</f>
        <v>0.4</v>
      </c>
      <c r="H20" s="586">
        <f t="shared" si="3"/>
        <v>3.8024999999999993</v>
      </c>
      <c r="I20" s="476">
        <f>IF((B20&gt;0),('Vlookup Tables'!$B$35),"-")</f>
        <v>259</v>
      </c>
      <c r="J20" s="477" t="str">
        <f>IF(B20&gt;0,(IF(D20="2-Way",VLOOKUP($G20,'Vlookup Tables'!$C$23:$F$33,2,FALSE),VLOOKUP($G20,'Vlookup Tables'!$C$23:$F$33,3,FALSE))),"-")</f>
        <v>02030</v>
      </c>
      <c r="K20" s="478" t="str">
        <f>IF(B20&gt;0,(VLOOKUP(J20,'Valve Reference'!$A$2:$K$389,4)),"-")</f>
        <v>Standard</v>
      </c>
      <c r="L20" s="478" t="str">
        <f>IF(B20&gt;0,(VLOOKUP(J20,'Valve Reference'!$A$2:$K$389,5)),"-")</f>
        <v>BR</v>
      </c>
      <c r="M20" s="478" t="str">
        <f>IF(B20&gt;0,(VLOOKUP(J20,'Valve Reference'!$A$2:$K$389,8)),"-")</f>
        <v>Linear</v>
      </c>
      <c r="N20" s="478" t="str">
        <f>IF(B20&gt;0,(VLOOKUP(J20,'Valve Reference'!$A$2:$K$389,10)),"-")</f>
        <v>FxF</v>
      </c>
      <c r="O20" s="479" t="str">
        <f>IF(B20&gt;0,(VLOOKUP(J20,'Valve Reference'!$A$2:$K$389,11)),"-")</f>
        <v>Globe-Powermite</v>
      </c>
      <c r="P20" s="480" t="str">
        <f>IF(B20&gt;0,(VLOOKUP(I20,'Actuator Reference'!$A$2:$H$54,2)),"-")</f>
        <v>SSC81U</v>
      </c>
      <c r="Q20" s="480" t="str">
        <f>IF(B20&gt;0,(VLOOKUP(I20,'Actuator Reference'!$A$2:$H$54,5)),"-")</f>
        <v>Float</v>
      </c>
      <c r="R20" s="480" t="str">
        <f>IF(B20&gt;0,(VLOOKUP(I20,'Actuator Reference'!$A$2:$H$54,6)),"-")</f>
        <v>NSR</v>
      </c>
      <c r="S20" s="480" t="str">
        <f>IF(B20&gt;0,(VLOOKUP(I20,'Actuator Reference'!$A$2:$H$54,7)),"-")</f>
        <v>24V</v>
      </c>
      <c r="T20" s="481" t="str">
        <f>IF(B20&gt;0,(VLOOKUP(I20,'Actuator Reference'!$A$2:$H$54,8)),"-")</f>
        <v>MT-Series</v>
      </c>
      <c r="U20" s="39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5">
        <v>1</v>
      </c>
      <c r="AG20" s="35" t="s">
        <v>1097</v>
      </c>
      <c r="AH20" s="38" t="str">
        <f t="shared" si="0"/>
        <v>259-02030</v>
      </c>
      <c r="AI20" s="594" t="str">
        <f t="shared" si="1"/>
        <v>=0</v>
      </c>
      <c r="AJ20" s="595" t="s">
        <v>1339</v>
      </c>
      <c r="AK20" s="592">
        <v>4</v>
      </c>
      <c r="AL20" s="592" t="s">
        <v>1338</v>
      </c>
      <c r="AM20" s="38"/>
      <c r="AN20" s="38"/>
      <c r="AO20" s="38"/>
      <c r="AP20" s="38"/>
      <c r="AQ20" s="38"/>
      <c r="AR20" s="38"/>
      <c r="AS20" s="38"/>
      <c r="AT20" s="38"/>
      <c r="AU20" s="38"/>
      <c r="AV20" s="40"/>
      <c r="AW20" s="38"/>
      <c r="AX20" s="38"/>
      <c r="AY20" s="38"/>
      <c r="AZ20" s="38"/>
      <c r="BA20" s="38"/>
      <c r="BB20" s="38"/>
    </row>
    <row r="21" spans="1:54" ht="15" customHeight="1">
      <c r="A21" s="469">
        <f>'Box Schedule'!A26</f>
        <v>0</v>
      </c>
      <c r="B21" s="634">
        <v>1.1200000000000001</v>
      </c>
      <c r="C21" s="483" t="str">
        <f>IF((B21&gt;0),(VLOOKUP(J21,'Valve Reference'!$A$2:$K$389,3)),"-")</f>
        <v>0.5</v>
      </c>
      <c r="D21" s="471" t="s">
        <v>577</v>
      </c>
      <c r="E21" s="484">
        <f>IF((B21&gt;0),('Vlookup Tables'!$B$37),"-")</f>
        <v>5</v>
      </c>
      <c r="F21" s="585">
        <f t="shared" si="2"/>
        <v>0.50087922695995291</v>
      </c>
      <c r="G21" s="485">
        <f>IF((B21&gt;0),(VLOOKUP($B21,'Vlookup Tables'!$B$23:$F$33,2,TRUE)),"-")</f>
        <v>0.63</v>
      </c>
      <c r="H21" s="586">
        <f t="shared" si="3"/>
        <v>3.1604938271604937</v>
      </c>
      <c r="I21" s="476">
        <f>IF((B21&gt;0),('Vlookup Tables'!$B$35),"-")</f>
        <v>259</v>
      </c>
      <c r="J21" s="477" t="str">
        <f>IF(B21&gt;0,(IF(D21="2-Way",VLOOKUP($G21,'Vlookup Tables'!$C$23:$F$33,2,FALSE),VLOOKUP($G21,'Vlookup Tables'!$C$23:$F$33,3,FALSE))),"-")</f>
        <v>02032</v>
      </c>
      <c r="K21" s="478" t="str">
        <f>IF(B21&gt;0,(VLOOKUP(J21,'Valve Reference'!$A$2:$K$389,4)),"-")</f>
        <v>Standard</v>
      </c>
      <c r="L21" s="478" t="str">
        <f>IF(B21&gt;0,(VLOOKUP(J21,'Valve Reference'!$A$2:$K$389,5)),"-")</f>
        <v>BR</v>
      </c>
      <c r="M21" s="478" t="str">
        <f>IF(B21&gt;0,(VLOOKUP(J21,'Valve Reference'!$A$2:$K$389,8)),"-")</f>
        <v>Linear</v>
      </c>
      <c r="N21" s="478" t="str">
        <f>IF(B21&gt;0,(VLOOKUP(J21,'Valve Reference'!$A$2:$K$389,10)),"-")</f>
        <v>FxF</v>
      </c>
      <c r="O21" s="479" t="str">
        <f>IF(B21&gt;0,(VLOOKUP(J21,'Valve Reference'!$A$2:$K$389,11)),"-")</f>
        <v>Globe-Powermite</v>
      </c>
      <c r="P21" s="480" t="str">
        <f>IF(B21&gt;0,(VLOOKUP(I21,'Actuator Reference'!$A$2:$H$54,2)),"-")</f>
        <v>SSC81U</v>
      </c>
      <c r="Q21" s="480" t="str">
        <f>IF(B21&gt;0,(VLOOKUP(I21,'Actuator Reference'!$A$2:$H$54,5)),"-")</f>
        <v>Float</v>
      </c>
      <c r="R21" s="480" t="str">
        <f>IF(B21&gt;0,(VLOOKUP(I21,'Actuator Reference'!$A$2:$H$54,6)),"-")</f>
        <v>NSR</v>
      </c>
      <c r="S21" s="480" t="str">
        <f>IF(B21&gt;0,(VLOOKUP(I21,'Actuator Reference'!$A$2:$H$54,7)),"-")</f>
        <v>24V</v>
      </c>
      <c r="T21" s="481" t="str">
        <f>IF(B21&gt;0,(VLOOKUP(I21,'Actuator Reference'!$A$2:$H$54,8)),"-")</f>
        <v>MT-Series</v>
      </c>
      <c r="U21" s="39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5">
        <v>1</v>
      </c>
      <c r="AG21" s="35" t="s">
        <v>1097</v>
      </c>
      <c r="AH21" s="38" t="str">
        <f t="shared" si="0"/>
        <v>259-02032</v>
      </c>
      <c r="AI21" s="594" t="str">
        <f t="shared" si="1"/>
        <v>=0</v>
      </c>
      <c r="AJ21" s="595" t="s">
        <v>1339</v>
      </c>
      <c r="AK21" s="592">
        <v>4</v>
      </c>
      <c r="AL21" s="592" t="s">
        <v>1338</v>
      </c>
      <c r="AM21" s="38"/>
      <c r="AN21" s="38"/>
      <c r="AO21" s="38"/>
      <c r="AP21" s="38"/>
      <c r="AQ21" s="38"/>
      <c r="AR21" s="38"/>
      <c r="AS21" s="38"/>
      <c r="AT21" s="38"/>
      <c r="AU21" s="38"/>
      <c r="AV21" s="40"/>
      <c r="AW21" s="38"/>
      <c r="AX21" s="38"/>
      <c r="AY21" s="38"/>
      <c r="AZ21" s="38"/>
      <c r="BA21" s="38"/>
      <c r="BB21" s="38"/>
    </row>
    <row r="22" spans="1:54" ht="15" customHeight="1">
      <c r="A22" s="469">
        <f>'Box Schedule'!A27</f>
        <v>0</v>
      </c>
      <c r="B22" s="634">
        <v>1.7</v>
      </c>
      <c r="C22" s="483" t="str">
        <f>IF((B22&gt;0),(VLOOKUP(J22,'Valve Reference'!$A$2:$K$389,3)),"-")</f>
        <v>0.5</v>
      </c>
      <c r="D22" s="471" t="s">
        <v>577</v>
      </c>
      <c r="E22" s="484">
        <f>IF((B22&gt;0),('Vlookup Tables'!$B$37),"-")</f>
        <v>5</v>
      </c>
      <c r="F22" s="585">
        <f t="shared" si="2"/>
        <v>0.76026311234992849</v>
      </c>
      <c r="G22" s="485">
        <f>IF((B22&gt;0),(VLOOKUP($B22,'Vlookup Tables'!$B$23:$F$33,2,TRUE)),"-")</f>
        <v>1</v>
      </c>
      <c r="H22" s="586">
        <f t="shared" si="3"/>
        <v>2.8899999999999997</v>
      </c>
      <c r="I22" s="476">
        <f>IF((B22&gt;0),('Vlookup Tables'!$B$35),"-")</f>
        <v>259</v>
      </c>
      <c r="J22" s="477" t="str">
        <f>IF(B22&gt;0,(IF(D22="2-Way",VLOOKUP($G22,'Vlookup Tables'!$C$23:$F$33,2,FALSE),VLOOKUP($G22,'Vlookup Tables'!$C$23:$F$33,3,FALSE))),"-")</f>
        <v>02034</v>
      </c>
      <c r="K22" s="478" t="str">
        <f>IF(B22&gt;0,(VLOOKUP(J22,'Valve Reference'!$A$2:$K$389,4)),"-")</f>
        <v>Standard</v>
      </c>
      <c r="L22" s="478" t="str">
        <f>IF(B22&gt;0,(VLOOKUP(J22,'Valve Reference'!$A$2:$K$389,5)),"-")</f>
        <v>BR</v>
      </c>
      <c r="M22" s="478" t="str">
        <f>IF(B22&gt;0,(VLOOKUP(J22,'Valve Reference'!$A$2:$K$389,8)),"-")</f>
        <v>Linear</v>
      </c>
      <c r="N22" s="478" t="str">
        <f>IF(B22&gt;0,(VLOOKUP(J22,'Valve Reference'!$A$2:$K$389,10)),"-")</f>
        <v>FxF</v>
      </c>
      <c r="O22" s="479" t="str">
        <f>IF(B22&gt;0,(VLOOKUP(J22,'Valve Reference'!$A$2:$K$389,11)),"-")</f>
        <v>Globe-Powermite</v>
      </c>
      <c r="P22" s="480" t="str">
        <f>IF(B22&gt;0,(VLOOKUP(I22,'Actuator Reference'!$A$2:$H$54,2)),"-")</f>
        <v>SSC81U</v>
      </c>
      <c r="Q22" s="480" t="str">
        <f>IF(B22&gt;0,(VLOOKUP(I22,'Actuator Reference'!$A$2:$H$54,5)),"-")</f>
        <v>Float</v>
      </c>
      <c r="R22" s="480" t="str">
        <f>IF(B22&gt;0,(VLOOKUP(I22,'Actuator Reference'!$A$2:$H$54,6)),"-")</f>
        <v>NSR</v>
      </c>
      <c r="S22" s="480" t="str">
        <f>IF(B22&gt;0,(VLOOKUP(I22,'Actuator Reference'!$A$2:$H$54,7)),"-")</f>
        <v>24V</v>
      </c>
      <c r="T22" s="481" t="str">
        <f>IF(B22&gt;0,(VLOOKUP(I22,'Actuator Reference'!$A$2:$H$54,8)),"-")</f>
        <v>MT-Series</v>
      </c>
      <c r="U22" s="39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5">
        <v>1</v>
      </c>
      <c r="AG22" s="35" t="s">
        <v>1097</v>
      </c>
      <c r="AH22" s="38" t="str">
        <f t="shared" si="0"/>
        <v>259-02034</v>
      </c>
      <c r="AI22" s="594" t="str">
        <f t="shared" si="1"/>
        <v>=0</v>
      </c>
      <c r="AJ22" s="595" t="s">
        <v>1339</v>
      </c>
      <c r="AK22" s="592">
        <v>4</v>
      </c>
      <c r="AL22" s="592" t="s">
        <v>1338</v>
      </c>
      <c r="AM22" s="38"/>
      <c r="AN22" s="38"/>
      <c r="AO22" s="38"/>
      <c r="AP22" s="38"/>
      <c r="AQ22" s="38"/>
      <c r="AR22" s="38"/>
      <c r="AS22" s="38"/>
      <c r="AT22" s="38"/>
      <c r="AU22" s="38"/>
      <c r="AV22" s="40"/>
      <c r="AW22" s="38"/>
      <c r="AX22" s="38"/>
      <c r="AY22" s="38"/>
      <c r="AZ22" s="38"/>
      <c r="BA22" s="38"/>
      <c r="BB22" s="38"/>
    </row>
    <row r="23" spans="1:54" ht="15" customHeight="1">
      <c r="A23" s="469">
        <f>'Box Schedule'!A28</f>
        <v>0</v>
      </c>
      <c r="B23" s="634">
        <v>2.39</v>
      </c>
      <c r="C23" s="483" t="str">
        <f>IF((B23&gt;0),(VLOOKUP(J23,'Valve Reference'!$A$2:$K$389,3)),"-")</f>
        <v>0.5</v>
      </c>
      <c r="D23" s="471" t="s">
        <v>577</v>
      </c>
      <c r="E23" s="484">
        <f>IF((B23&gt;0),('Vlookup Tables'!$B$37),"-")</f>
        <v>5</v>
      </c>
      <c r="F23" s="585">
        <f t="shared" si="2"/>
        <v>1.0688404932448994</v>
      </c>
      <c r="G23" s="485">
        <f>IF((B23&gt;0),(VLOOKUP($B23,'Vlookup Tables'!$B$23:$F$33,2,TRUE)),"-")</f>
        <v>1.6</v>
      </c>
      <c r="H23" s="586">
        <f t="shared" si="3"/>
        <v>2.2312890625000001</v>
      </c>
      <c r="I23" s="476">
        <f>IF((B23&gt;0),('Vlookup Tables'!$B$35),"-")</f>
        <v>259</v>
      </c>
      <c r="J23" s="477" t="str">
        <f>IF(B23&gt;0,(IF(D23="2-Way",VLOOKUP($G23,'Vlookup Tables'!$C$23:$F$33,2,FALSE),VLOOKUP($G23,'Vlookup Tables'!$C$23:$F$33,3,FALSE))),"-")</f>
        <v>02036</v>
      </c>
      <c r="K23" s="478" t="str">
        <f>IF(B23&gt;0,(VLOOKUP(J23,'Valve Reference'!$A$2:$K$389,4)),"-")</f>
        <v>Standard</v>
      </c>
      <c r="L23" s="478" t="str">
        <f>IF(B23&gt;0,(VLOOKUP(J23,'Valve Reference'!$A$2:$K$389,5)),"-")</f>
        <v>BR</v>
      </c>
      <c r="M23" s="478" t="str">
        <f>IF(B23&gt;0,(VLOOKUP(J23,'Valve Reference'!$A$2:$K$389,8)),"-")</f>
        <v>Linear</v>
      </c>
      <c r="N23" s="478" t="str">
        <f>IF(B23&gt;0,(VLOOKUP(J23,'Valve Reference'!$A$2:$K$389,10)),"-")</f>
        <v>FxF</v>
      </c>
      <c r="O23" s="479" t="str">
        <f>IF(B23&gt;0,(VLOOKUP(J23,'Valve Reference'!$A$2:$K$389,11)),"-")</f>
        <v>Globe-Powermite</v>
      </c>
      <c r="P23" s="480" t="str">
        <f>IF(B23&gt;0,(VLOOKUP(I23,'Actuator Reference'!$A$2:$H$54,2)),"-")</f>
        <v>SSC81U</v>
      </c>
      <c r="Q23" s="480" t="str">
        <f>IF(B23&gt;0,(VLOOKUP(I23,'Actuator Reference'!$A$2:$H$54,5)),"-")</f>
        <v>Float</v>
      </c>
      <c r="R23" s="480" t="str">
        <f>IF(B23&gt;0,(VLOOKUP(I23,'Actuator Reference'!$A$2:$H$54,6)),"-")</f>
        <v>NSR</v>
      </c>
      <c r="S23" s="480" t="str">
        <f>IF(B23&gt;0,(VLOOKUP(I23,'Actuator Reference'!$A$2:$H$54,7)),"-")</f>
        <v>24V</v>
      </c>
      <c r="T23" s="481" t="str">
        <f>IF(B23&gt;0,(VLOOKUP(I23,'Actuator Reference'!$A$2:$H$54,8)),"-")</f>
        <v>MT-Series</v>
      </c>
      <c r="U23" s="39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5">
        <v>1</v>
      </c>
      <c r="AG23" s="35" t="s">
        <v>1097</v>
      </c>
      <c r="AH23" s="38" t="str">
        <f t="shared" si="0"/>
        <v>259-02036</v>
      </c>
      <c r="AI23" s="594" t="str">
        <f t="shared" si="1"/>
        <v>=0</v>
      </c>
      <c r="AJ23" s="595" t="s">
        <v>1339</v>
      </c>
      <c r="AK23" s="592">
        <v>4</v>
      </c>
      <c r="AL23" s="592" t="s">
        <v>1338</v>
      </c>
      <c r="AM23" s="38"/>
      <c r="AN23" s="38"/>
      <c r="AO23" s="38"/>
      <c r="AP23" s="38"/>
      <c r="AQ23" s="38"/>
      <c r="AR23" s="38"/>
      <c r="AS23" s="38"/>
      <c r="AT23" s="38"/>
      <c r="AU23" s="38"/>
      <c r="AV23" s="40"/>
      <c r="AW23" s="38"/>
      <c r="AX23" s="38"/>
      <c r="AY23" s="38"/>
      <c r="AZ23" s="38"/>
      <c r="BA23" s="38"/>
      <c r="BB23" s="38"/>
    </row>
    <row r="24" spans="1:54" ht="15" customHeight="1">
      <c r="A24" s="469">
        <f>'Box Schedule'!A29</f>
        <v>0</v>
      </c>
      <c r="B24" s="634">
        <v>2.19</v>
      </c>
      <c r="C24" s="483" t="str">
        <f>IF((B24&gt;0),(VLOOKUP(J24,'Valve Reference'!$A$2:$K$389,3)),"-")</f>
        <v>0.5</v>
      </c>
      <c r="D24" s="471" t="s">
        <v>577</v>
      </c>
      <c r="E24" s="484">
        <f>IF((B24&gt;0),('Vlookup Tables'!$B$37),"-")</f>
        <v>5</v>
      </c>
      <c r="F24" s="585">
        <f t="shared" si="2"/>
        <v>0.97939777414490781</v>
      </c>
      <c r="G24" s="485">
        <f>IF((B24&gt;0),(VLOOKUP($B24,'Vlookup Tables'!$B$23:$F$33,2,TRUE)),"-")</f>
        <v>1</v>
      </c>
      <c r="H24" s="586">
        <f t="shared" si="3"/>
        <v>4.7960999999999991</v>
      </c>
      <c r="I24" s="476">
        <f>IF((B24&gt;0),('Vlookup Tables'!$B$35),"-")</f>
        <v>259</v>
      </c>
      <c r="J24" s="477" t="str">
        <f>IF(B24&gt;0,(IF(D24="2-Way",VLOOKUP($G24,'Vlookup Tables'!$C$23:$F$33,2,FALSE),VLOOKUP($G24,'Vlookup Tables'!$C$23:$F$33,3,FALSE))),"-")</f>
        <v>02034</v>
      </c>
      <c r="K24" s="478" t="str">
        <f>IF(B24&gt;0,(VLOOKUP(J24,'Valve Reference'!$A$2:$K$389,4)),"-")</f>
        <v>Standard</v>
      </c>
      <c r="L24" s="478" t="str">
        <f>IF(B24&gt;0,(VLOOKUP(J24,'Valve Reference'!$A$2:$K$389,5)),"-")</f>
        <v>BR</v>
      </c>
      <c r="M24" s="478" t="str">
        <f>IF(B24&gt;0,(VLOOKUP(J24,'Valve Reference'!$A$2:$K$389,8)),"-")</f>
        <v>Linear</v>
      </c>
      <c r="N24" s="478" t="str">
        <f>IF(B24&gt;0,(VLOOKUP(J24,'Valve Reference'!$A$2:$K$389,10)),"-")</f>
        <v>FxF</v>
      </c>
      <c r="O24" s="479" t="str">
        <f>IF(B24&gt;0,(VLOOKUP(J24,'Valve Reference'!$A$2:$K$389,11)),"-")</f>
        <v>Globe-Powermite</v>
      </c>
      <c r="P24" s="480" t="str">
        <f>IF(B24&gt;0,(VLOOKUP(I24,'Actuator Reference'!$A$2:$H$54,2)),"-")</f>
        <v>SSC81U</v>
      </c>
      <c r="Q24" s="480" t="str">
        <f>IF(B24&gt;0,(VLOOKUP(I24,'Actuator Reference'!$A$2:$H$54,5)),"-")</f>
        <v>Float</v>
      </c>
      <c r="R24" s="480" t="str">
        <f>IF(B24&gt;0,(VLOOKUP(I24,'Actuator Reference'!$A$2:$H$54,6)),"-")</f>
        <v>NSR</v>
      </c>
      <c r="S24" s="480" t="str">
        <f>IF(B24&gt;0,(VLOOKUP(I24,'Actuator Reference'!$A$2:$H$54,7)),"-")</f>
        <v>24V</v>
      </c>
      <c r="T24" s="481" t="str">
        <f>IF(B24&gt;0,(VLOOKUP(I24,'Actuator Reference'!$A$2:$H$54,8)),"-")</f>
        <v>MT-Series</v>
      </c>
      <c r="U24" s="39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5">
        <v>1</v>
      </c>
      <c r="AG24" s="35" t="s">
        <v>1097</v>
      </c>
      <c r="AH24" s="38" t="str">
        <f t="shared" si="0"/>
        <v>259-02034</v>
      </c>
      <c r="AI24" s="594" t="str">
        <f t="shared" si="1"/>
        <v>=0</v>
      </c>
      <c r="AJ24" s="595" t="s">
        <v>1339</v>
      </c>
      <c r="AK24" s="592">
        <v>4</v>
      </c>
      <c r="AL24" s="592" t="s">
        <v>1338</v>
      </c>
      <c r="AM24" s="38"/>
      <c r="AN24" s="38"/>
      <c r="AO24" s="38"/>
      <c r="AP24" s="38"/>
      <c r="AQ24" s="38"/>
      <c r="AR24" s="38"/>
      <c r="AS24" s="38"/>
      <c r="AT24" s="38"/>
      <c r="AU24" s="38"/>
      <c r="AV24" s="40"/>
      <c r="AW24" s="38"/>
      <c r="AX24" s="38"/>
      <c r="AY24" s="38"/>
      <c r="AZ24" s="38"/>
      <c r="BA24" s="38"/>
      <c r="BB24" s="38"/>
    </row>
    <row r="25" spans="1:54" ht="15" customHeight="1">
      <c r="A25" s="469">
        <f>'Box Schedule'!A30</f>
        <v>0</v>
      </c>
      <c r="B25" s="634">
        <v>1.32</v>
      </c>
      <c r="C25" s="483" t="str">
        <f>IF((B25&gt;0),(VLOOKUP(J25,'Valve Reference'!$A$2:$K$389,3)),"-")</f>
        <v>0.5</v>
      </c>
      <c r="D25" s="471" t="s">
        <v>577</v>
      </c>
      <c r="E25" s="484">
        <f>IF((B25&gt;0),('Vlookup Tables'!$B$37),"-")</f>
        <v>5</v>
      </c>
      <c r="F25" s="585">
        <f t="shared" si="2"/>
        <v>0.59032194605994448</v>
      </c>
      <c r="G25" s="485">
        <f>IF((B25&gt;0),(VLOOKUP($B25,'Vlookup Tables'!$B$23:$F$33,2,TRUE)),"-")</f>
        <v>0.63</v>
      </c>
      <c r="H25" s="586">
        <f t="shared" si="3"/>
        <v>4.3900226757369616</v>
      </c>
      <c r="I25" s="476">
        <f>IF((B25&gt;0),('Vlookup Tables'!$B$35),"-")</f>
        <v>259</v>
      </c>
      <c r="J25" s="477" t="str">
        <f>IF(B25&gt;0,(IF(D25="2-Way",VLOOKUP($G25,'Vlookup Tables'!$C$23:$F$33,2,FALSE),VLOOKUP($G25,'Vlookup Tables'!$C$23:$F$33,3,FALSE))),"-")</f>
        <v>02032</v>
      </c>
      <c r="K25" s="478" t="str">
        <f>IF(B25&gt;0,(VLOOKUP(J25,'Valve Reference'!$A$2:$K$389,4)),"-")</f>
        <v>Standard</v>
      </c>
      <c r="L25" s="478" t="str">
        <f>IF(B25&gt;0,(VLOOKUP(J25,'Valve Reference'!$A$2:$K$389,5)),"-")</f>
        <v>BR</v>
      </c>
      <c r="M25" s="478" t="str">
        <f>IF(B25&gt;0,(VLOOKUP(J25,'Valve Reference'!$A$2:$K$389,8)),"-")</f>
        <v>Linear</v>
      </c>
      <c r="N25" s="478" t="str">
        <f>IF(B25&gt;0,(VLOOKUP(J25,'Valve Reference'!$A$2:$K$389,10)),"-")</f>
        <v>FxF</v>
      </c>
      <c r="O25" s="479" t="str">
        <f>IF(B25&gt;0,(VLOOKUP(J25,'Valve Reference'!$A$2:$K$389,11)),"-")</f>
        <v>Globe-Powermite</v>
      </c>
      <c r="P25" s="480" t="str">
        <f>IF(B25&gt;0,(VLOOKUP(I25,'Actuator Reference'!$A$2:$H$54,2)),"-")</f>
        <v>SSC81U</v>
      </c>
      <c r="Q25" s="480" t="str">
        <f>IF(B25&gt;0,(VLOOKUP(I25,'Actuator Reference'!$A$2:$H$54,5)),"-")</f>
        <v>Float</v>
      </c>
      <c r="R25" s="480" t="str">
        <f>IF(B25&gt;0,(VLOOKUP(I25,'Actuator Reference'!$A$2:$H$54,6)),"-")</f>
        <v>NSR</v>
      </c>
      <c r="S25" s="480" t="str">
        <f>IF(B25&gt;0,(VLOOKUP(I25,'Actuator Reference'!$A$2:$H$54,7)),"-")</f>
        <v>24V</v>
      </c>
      <c r="T25" s="481" t="str">
        <f>IF(B25&gt;0,(VLOOKUP(I25,'Actuator Reference'!$A$2:$H$54,8)),"-")</f>
        <v>MT-Series</v>
      </c>
      <c r="U25" s="39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5">
        <v>1</v>
      </c>
      <c r="AG25" s="35" t="s">
        <v>1097</v>
      </c>
      <c r="AH25" s="38" t="str">
        <f t="shared" si="0"/>
        <v>259-02032</v>
      </c>
      <c r="AI25" s="594" t="str">
        <f t="shared" si="1"/>
        <v>=0</v>
      </c>
      <c r="AJ25" s="595" t="s">
        <v>1339</v>
      </c>
      <c r="AK25" s="592">
        <v>4</v>
      </c>
      <c r="AL25" s="592" t="s">
        <v>1338</v>
      </c>
      <c r="AM25" s="38"/>
      <c r="AN25" s="38"/>
      <c r="AO25" s="38"/>
      <c r="AP25" s="38"/>
      <c r="AQ25" s="38"/>
      <c r="AR25" s="38"/>
      <c r="AS25" s="38"/>
      <c r="AT25" s="38"/>
      <c r="AU25" s="38"/>
      <c r="AV25" s="40"/>
      <c r="AW25" s="38"/>
      <c r="AX25" s="38"/>
      <c r="AY25" s="38"/>
      <c r="AZ25" s="38"/>
      <c r="BA25" s="38"/>
      <c r="BB25" s="38"/>
    </row>
    <row r="26" spans="1:54" ht="15" customHeight="1">
      <c r="A26" s="469">
        <f>'Box Schedule'!A31</f>
        <v>0</v>
      </c>
      <c r="B26" s="634">
        <v>4.51</v>
      </c>
      <c r="C26" s="483" t="str">
        <f>IF((B26&gt;0),(VLOOKUP(J26,'Valve Reference'!$A$2:$K$389,3)),"-")</f>
        <v>0.5</v>
      </c>
      <c r="D26" s="471" t="s">
        <v>577</v>
      </c>
      <c r="E26" s="484">
        <f>IF((B26&gt;0),('Vlookup Tables'!$B$37),"-")</f>
        <v>5</v>
      </c>
      <c r="F26" s="585">
        <f t="shared" si="2"/>
        <v>2.0169333157048102</v>
      </c>
      <c r="G26" s="485">
        <f>IF((B26&gt;0),(VLOOKUP($B26,'Vlookup Tables'!$B$23:$F$33,2,TRUE)),"-")</f>
        <v>2.5</v>
      </c>
      <c r="H26" s="586">
        <f t="shared" si="3"/>
        <v>3.254416</v>
      </c>
      <c r="I26" s="476">
        <f>IF((B26&gt;0),('Vlookup Tables'!$B$35),"-")</f>
        <v>259</v>
      </c>
      <c r="J26" s="477" t="str">
        <f>IF(B26&gt;0,(IF(D26="2-Way",VLOOKUP($G26,'Vlookup Tables'!$C$23:$F$33,2,FALSE),VLOOKUP($G26,'Vlookup Tables'!$C$23:$F$33,3,FALSE))),"-")</f>
        <v>02038</v>
      </c>
      <c r="K26" s="478" t="str">
        <f>IF(B26&gt;0,(VLOOKUP(J26,'Valve Reference'!$A$2:$K$389,4)),"-")</f>
        <v>Standard</v>
      </c>
      <c r="L26" s="478" t="str">
        <f>IF(B26&gt;0,(VLOOKUP(J26,'Valve Reference'!$A$2:$K$389,5)),"-")</f>
        <v>BR</v>
      </c>
      <c r="M26" s="478" t="str">
        <f>IF(B26&gt;0,(VLOOKUP(J26,'Valve Reference'!$A$2:$K$389,8)),"-")</f>
        <v>Linear</v>
      </c>
      <c r="N26" s="478" t="str">
        <f>IF(B26&gt;0,(VLOOKUP(J26,'Valve Reference'!$A$2:$K$389,10)),"-")</f>
        <v>FxF</v>
      </c>
      <c r="O26" s="479" t="str">
        <f>IF(B26&gt;0,(VLOOKUP(J26,'Valve Reference'!$A$2:$K$389,11)),"-")</f>
        <v>Globe-Powermite</v>
      </c>
      <c r="P26" s="480" t="str">
        <f>IF(B26&gt;0,(VLOOKUP(I26,'Actuator Reference'!$A$2:$H$54,2)),"-")</f>
        <v>SSC81U</v>
      </c>
      <c r="Q26" s="480" t="str">
        <f>IF(B26&gt;0,(VLOOKUP(I26,'Actuator Reference'!$A$2:$H$54,5)),"-")</f>
        <v>Float</v>
      </c>
      <c r="R26" s="480" t="str">
        <f>IF(B26&gt;0,(VLOOKUP(I26,'Actuator Reference'!$A$2:$H$54,6)),"-")</f>
        <v>NSR</v>
      </c>
      <c r="S26" s="480" t="str">
        <f>IF(B26&gt;0,(VLOOKUP(I26,'Actuator Reference'!$A$2:$H$54,7)),"-")</f>
        <v>24V</v>
      </c>
      <c r="T26" s="481" t="str">
        <f>IF(B26&gt;0,(VLOOKUP(I26,'Actuator Reference'!$A$2:$H$54,8)),"-")</f>
        <v>MT-Series</v>
      </c>
      <c r="U26" s="39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5">
        <v>1</v>
      </c>
      <c r="AG26" s="35" t="s">
        <v>1097</v>
      </c>
      <c r="AH26" s="38" t="str">
        <f t="shared" si="0"/>
        <v>259-02038</v>
      </c>
      <c r="AI26" s="594" t="str">
        <f t="shared" si="1"/>
        <v>=0</v>
      </c>
      <c r="AJ26" s="595" t="s">
        <v>1339</v>
      </c>
      <c r="AK26" s="592">
        <v>4</v>
      </c>
      <c r="AL26" s="592" t="s">
        <v>1338</v>
      </c>
      <c r="AM26" s="38"/>
      <c r="AN26" s="38"/>
      <c r="AO26" s="38"/>
      <c r="AP26" s="38"/>
      <c r="AQ26" s="38"/>
      <c r="AR26" s="38"/>
      <c r="AS26" s="38"/>
      <c r="AT26" s="38"/>
      <c r="AU26" s="38"/>
      <c r="AV26" s="40"/>
      <c r="AW26" s="38"/>
      <c r="AX26" s="38"/>
      <c r="AY26" s="38"/>
      <c r="AZ26" s="38"/>
      <c r="BA26" s="38"/>
      <c r="BB26" s="38"/>
    </row>
    <row r="27" spans="1:54" ht="15" customHeight="1">
      <c r="A27" s="469">
        <f>'Box Schedule'!A32</f>
        <v>0</v>
      </c>
      <c r="B27" s="634">
        <v>1.58</v>
      </c>
      <c r="C27" s="483" t="str">
        <f>IF((B27&gt;0),(VLOOKUP(J27,'Valve Reference'!$A$2:$K$389,3)),"-")</f>
        <v>0.5</v>
      </c>
      <c r="D27" s="471" t="s">
        <v>577</v>
      </c>
      <c r="E27" s="484">
        <f>IF((B27&gt;0),('Vlookup Tables'!$B$37),"-")</f>
        <v>5</v>
      </c>
      <c r="F27" s="585">
        <f t="shared" si="2"/>
        <v>0.70659748088993357</v>
      </c>
      <c r="G27" s="485">
        <f>IF((B27&gt;0),(VLOOKUP($B27,'Vlookup Tables'!$B$23:$F$33,2,TRUE)),"-")</f>
        <v>1</v>
      </c>
      <c r="H27" s="586">
        <f t="shared" si="3"/>
        <v>2.4964000000000004</v>
      </c>
      <c r="I27" s="476">
        <f>IF((B27&gt;0),('Vlookup Tables'!$B$35),"-")</f>
        <v>259</v>
      </c>
      <c r="J27" s="477" t="str">
        <f>IF(B27&gt;0,(IF(D27="2-Way",VLOOKUP($G27,'Vlookup Tables'!$C$23:$F$33,2,FALSE),VLOOKUP($G27,'Vlookup Tables'!$C$23:$F$33,3,FALSE))),"-")</f>
        <v>02034</v>
      </c>
      <c r="K27" s="478" t="str">
        <f>IF(B27&gt;0,(VLOOKUP(J27,'Valve Reference'!$A$2:$K$389,4)),"-")</f>
        <v>Standard</v>
      </c>
      <c r="L27" s="478" t="str">
        <f>IF(B27&gt;0,(VLOOKUP(J27,'Valve Reference'!$A$2:$K$389,5)),"-")</f>
        <v>BR</v>
      </c>
      <c r="M27" s="478" t="str">
        <f>IF(B27&gt;0,(VLOOKUP(J27,'Valve Reference'!$A$2:$K$389,8)),"-")</f>
        <v>Linear</v>
      </c>
      <c r="N27" s="478" t="str">
        <f>IF(B27&gt;0,(VLOOKUP(J27,'Valve Reference'!$A$2:$K$389,10)),"-")</f>
        <v>FxF</v>
      </c>
      <c r="O27" s="479" t="str">
        <f>IF(B27&gt;0,(VLOOKUP(J27,'Valve Reference'!$A$2:$K$389,11)),"-")</f>
        <v>Globe-Powermite</v>
      </c>
      <c r="P27" s="480" t="str">
        <f>IF(B27&gt;0,(VLOOKUP(I27,'Actuator Reference'!$A$2:$H$54,2)),"-")</f>
        <v>SSC81U</v>
      </c>
      <c r="Q27" s="480" t="str">
        <f>IF(B27&gt;0,(VLOOKUP(I27,'Actuator Reference'!$A$2:$H$54,5)),"-")</f>
        <v>Float</v>
      </c>
      <c r="R27" s="480" t="str">
        <f>IF(B27&gt;0,(VLOOKUP(I27,'Actuator Reference'!$A$2:$H$54,6)),"-")</f>
        <v>NSR</v>
      </c>
      <c r="S27" s="480" t="str">
        <f>IF(B27&gt;0,(VLOOKUP(I27,'Actuator Reference'!$A$2:$H$54,7)),"-")</f>
        <v>24V</v>
      </c>
      <c r="T27" s="481" t="str">
        <f>IF(B27&gt;0,(VLOOKUP(I27,'Actuator Reference'!$A$2:$H$54,8)),"-")</f>
        <v>MT-Series</v>
      </c>
      <c r="U27" s="39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5">
        <v>1</v>
      </c>
      <c r="AG27" s="35" t="s">
        <v>1097</v>
      </c>
      <c r="AH27" s="38" t="str">
        <f t="shared" si="0"/>
        <v>259-02034</v>
      </c>
      <c r="AI27" s="594" t="str">
        <f t="shared" si="1"/>
        <v>=0</v>
      </c>
      <c r="AJ27" s="595" t="s">
        <v>1339</v>
      </c>
      <c r="AK27" s="592">
        <v>4</v>
      </c>
      <c r="AL27" s="592" t="s">
        <v>1338</v>
      </c>
      <c r="AM27" s="38"/>
      <c r="AN27" s="38"/>
      <c r="AO27" s="38"/>
      <c r="AP27" s="38"/>
      <c r="AQ27" s="38"/>
      <c r="AR27" s="38"/>
      <c r="AS27" s="38"/>
      <c r="AT27" s="38"/>
      <c r="AU27" s="38"/>
      <c r="AV27" s="40"/>
      <c r="AW27" s="38"/>
      <c r="AX27" s="38"/>
      <c r="AY27" s="38"/>
      <c r="AZ27" s="38"/>
      <c r="BA27" s="38"/>
      <c r="BB27" s="38"/>
    </row>
    <row r="28" spans="1:54" ht="15" customHeight="1">
      <c r="A28" s="469">
        <f>'Box Schedule'!A33</f>
        <v>0</v>
      </c>
      <c r="B28" s="634">
        <v>0.78</v>
      </c>
      <c r="C28" s="483" t="str">
        <f>IF((B28&gt;0),(VLOOKUP(J28,'Valve Reference'!$A$2:$K$389,3)),"-")</f>
        <v>0.5</v>
      </c>
      <c r="D28" s="471" t="s">
        <v>577</v>
      </c>
      <c r="E28" s="484">
        <f>IF((B28&gt;0),('Vlookup Tables'!$B$37),"-")</f>
        <v>5</v>
      </c>
      <c r="F28" s="585">
        <f t="shared" si="2"/>
        <v>0.34882660448996716</v>
      </c>
      <c r="G28" s="485">
        <f>IF((B28&gt;0),(VLOOKUP($B28,'Vlookup Tables'!$B$23:$F$33,2,TRUE)),"-")</f>
        <v>0.4</v>
      </c>
      <c r="H28" s="586">
        <f t="shared" si="3"/>
        <v>3.8024999999999993</v>
      </c>
      <c r="I28" s="476">
        <f>IF((B28&gt;0),('Vlookup Tables'!$B$35),"-")</f>
        <v>259</v>
      </c>
      <c r="J28" s="477" t="str">
        <f>IF(B28&gt;0,(IF(D28="2-Way",VLOOKUP($G28,'Vlookup Tables'!$C$23:$F$33,2,FALSE),VLOOKUP($G28,'Vlookup Tables'!$C$23:$F$33,3,FALSE))),"-")</f>
        <v>02030</v>
      </c>
      <c r="K28" s="478" t="str">
        <f>IF(B28&gt;0,(VLOOKUP(J28,'Valve Reference'!$A$2:$K$389,4)),"-")</f>
        <v>Standard</v>
      </c>
      <c r="L28" s="478" t="str">
        <f>IF(B28&gt;0,(VLOOKUP(J28,'Valve Reference'!$A$2:$K$389,5)),"-")</f>
        <v>BR</v>
      </c>
      <c r="M28" s="478" t="str">
        <f>IF(B28&gt;0,(VLOOKUP(J28,'Valve Reference'!$A$2:$K$389,8)),"-")</f>
        <v>Linear</v>
      </c>
      <c r="N28" s="478" t="str">
        <f>IF(B28&gt;0,(VLOOKUP(J28,'Valve Reference'!$A$2:$K$389,10)),"-")</f>
        <v>FxF</v>
      </c>
      <c r="O28" s="479" t="str">
        <f>IF(B28&gt;0,(VLOOKUP(J28,'Valve Reference'!$A$2:$K$389,11)),"-")</f>
        <v>Globe-Powermite</v>
      </c>
      <c r="P28" s="480" t="str">
        <f>IF(B28&gt;0,(VLOOKUP(I28,'Actuator Reference'!$A$2:$H$54,2)),"-")</f>
        <v>SSC81U</v>
      </c>
      <c r="Q28" s="480" t="str">
        <f>IF(B28&gt;0,(VLOOKUP(I28,'Actuator Reference'!$A$2:$H$54,5)),"-")</f>
        <v>Float</v>
      </c>
      <c r="R28" s="480" t="str">
        <f>IF(B28&gt;0,(VLOOKUP(I28,'Actuator Reference'!$A$2:$H$54,6)),"-")</f>
        <v>NSR</v>
      </c>
      <c r="S28" s="480" t="str">
        <f>IF(B28&gt;0,(VLOOKUP(I28,'Actuator Reference'!$A$2:$H$54,7)),"-")</f>
        <v>24V</v>
      </c>
      <c r="T28" s="481" t="str">
        <f>IF(B28&gt;0,(VLOOKUP(I28,'Actuator Reference'!$A$2:$H$54,8)),"-")</f>
        <v>MT-Series</v>
      </c>
      <c r="U28" s="39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5">
        <v>1</v>
      </c>
      <c r="AG28" s="35" t="s">
        <v>1097</v>
      </c>
      <c r="AH28" s="38" t="str">
        <f t="shared" si="0"/>
        <v>259-02030</v>
      </c>
      <c r="AI28" s="594" t="str">
        <f t="shared" si="1"/>
        <v>=0</v>
      </c>
      <c r="AJ28" s="595" t="s">
        <v>1339</v>
      </c>
      <c r="AK28" s="592">
        <v>4</v>
      </c>
      <c r="AL28" s="592" t="s">
        <v>1338</v>
      </c>
      <c r="AM28" s="38"/>
      <c r="AN28" s="38"/>
      <c r="AO28" s="38"/>
      <c r="AP28" s="38"/>
      <c r="AQ28" s="38"/>
      <c r="AR28" s="38"/>
      <c r="AS28" s="38"/>
      <c r="AT28" s="38"/>
      <c r="AU28" s="38"/>
      <c r="AV28" s="40"/>
      <c r="AW28" s="38"/>
      <c r="AX28" s="38"/>
      <c r="AY28" s="38"/>
      <c r="AZ28" s="38"/>
      <c r="BA28" s="38"/>
      <c r="BB28" s="38"/>
    </row>
    <row r="29" spans="1:54" ht="15" customHeight="1">
      <c r="A29" s="469">
        <f>'Box Schedule'!A34</f>
        <v>0</v>
      </c>
      <c r="B29" s="634">
        <v>0.85</v>
      </c>
      <c r="C29" s="483" t="str">
        <f>IF((B29&gt;0),(VLOOKUP(J29,'Valve Reference'!$A$2:$K$389,3)),"-")</f>
        <v>0.5</v>
      </c>
      <c r="D29" s="471" t="s">
        <v>577</v>
      </c>
      <c r="E29" s="484">
        <f>IF((B29&gt;0),('Vlookup Tables'!$B$37),"-")</f>
        <v>5</v>
      </c>
      <c r="F29" s="585">
        <f t="shared" si="2"/>
        <v>0.38013155617496425</v>
      </c>
      <c r="G29" s="485">
        <f>IF((B29&gt;0),(VLOOKUP($B29,'Vlookup Tables'!$B$23:$F$33,2,TRUE)),"-")</f>
        <v>0.4</v>
      </c>
      <c r="H29" s="586">
        <f t="shared" si="3"/>
        <v>4.5156249999999991</v>
      </c>
      <c r="I29" s="476">
        <f>IF((B29&gt;0),('Vlookup Tables'!$B$35),"-")</f>
        <v>259</v>
      </c>
      <c r="J29" s="477" t="str">
        <f>IF(B29&gt;0,(IF(D29="2-Way",VLOOKUP($G29,'Vlookup Tables'!$C$23:$F$33,2,FALSE),VLOOKUP($G29,'Vlookup Tables'!$C$23:$F$33,3,FALSE))),"-")</f>
        <v>02030</v>
      </c>
      <c r="K29" s="478" t="str">
        <f>IF(B29&gt;0,(VLOOKUP(J29,'Valve Reference'!$A$2:$K$389,4)),"-")</f>
        <v>Standard</v>
      </c>
      <c r="L29" s="478" t="str">
        <f>IF(B29&gt;0,(VLOOKUP(J29,'Valve Reference'!$A$2:$K$389,5)),"-")</f>
        <v>BR</v>
      </c>
      <c r="M29" s="478" t="str">
        <f>IF(B29&gt;0,(VLOOKUP(J29,'Valve Reference'!$A$2:$K$389,8)),"-")</f>
        <v>Linear</v>
      </c>
      <c r="N29" s="478" t="str">
        <f>IF(B29&gt;0,(VLOOKUP(J29,'Valve Reference'!$A$2:$K$389,10)),"-")</f>
        <v>FxF</v>
      </c>
      <c r="O29" s="479" t="str">
        <f>IF(B29&gt;0,(VLOOKUP(J29,'Valve Reference'!$A$2:$K$389,11)),"-")</f>
        <v>Globe-Powermite</v>
      </c>
      <c r="P29" s="480" t="str">
        <f>IF(B29&gt;0,(VLOOKUP(I29,'Actuator Reference'!$A$2:$H$54,2)),"-")</f>
        <v>SSC81U</v>
      </c>
      <c r="Q29" s="480" t="str">
        <f>IF(B29&gt;0,(VLOOKUP(I29,'Actuator Reference'!$A$2:$H$54,5)),"-")</f>
        <v>Float</v>
      </c>
      <c r="R29" s="480" t="str">
        <f>IF(B29&gt;0,(VLOOKUP(I29,'Actuator Reference'!$A$2:$H$54,6)),"-")</f>
        <v>NSR</v>
      </c>
      <c r="S29" s="480" t="str">
        <f>IF(B29&gt;0,(VLOOKUP(I29,'Actuator Reference'!$A$2:$H$54,7)),"-")</f>
        <v>24V</v>
      </c>
      <c r="T29" s="481" t="str">
        <f>IF(B29&gt;0,(VLOOKUP(I29,'Actuator Reference'!$A$2:$H$54,8)),"-")</f>
        <v>MT-Series</v>
      </c>
      <c r="U29" s="39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5">
        <v>1</v>
      </c>
      <c r="AG29" s="35" t="s">
        <v>1097</v>
      </c>
      <c r="AH29" s="38" t="str">
        <f t="shared" si="0"/>
        <v>259-02030</v>
      </c>
      <c r="AI29" s="594" t="str">
        <f t="shared" si="1"/>
        <v>=0</v>
      </c>
      <c r="AJ29" s="595" t="s">
        <v>1339</v>
      </c>
      <c r="AK29" s="592">
        <v>4</v>
      </c>
      <c r="AL29" s="592" t="s">
        <v>1338</v>
      </c>
      <c r="AM29" s="38"/>
      <c r="AN29" s="38"/>
      <c r="AO29" s="38"/>
      <c r="AP29" s="38"/>
      <c r="AQ29" s="38"/>
      <c r="AR29" s="38"/>
      <c r="AS29" s="38"/>
      <c r="AT29" s="38"/>
      <c r="AU29" s="38"/>
      <c r="AV29" s="40"/>
      <c r="AW29" s="38"/>
      <c r="AX29" s="38"/>
      <c r="AY29" s="38"/>
      <c r="AZ29" s="38"/>
      <c r="BA29" s="38"/>
      <c r="BB29" s="38"/>
    </row>
    <row r="30" spans="1:54" ht="15" customHeight="1">
      <c r="A30" s="469">
        <f>'Box Schedule'!A35</f>
        <v>0</v>
      </c>
      <c r="B30" s="634">
        <v>1.55</v>
      </c>
      <c r="C30" s="483" t="str">
        <f>IF((B30&gt;0),(VLOOKUP(J30,'Valve Reference'!$A$2:$K$389,3)),"-")</f>
        <v>0.5</v>
      </c>
      <c r="D30" s="471" t="s">
        <v>577</v>
      </c>
      <c r="E30" s="484">
        <f>IF((B30&gt;0),('Vlookup Tables'!$B$37),"-")</f>
        <v>5</v>
      </c>
      <c r="F30" s="585">
        <f t="shared" si="2"/>
        <v>0.69318107302493481</v>
      </c>
      <c r="G30" s="485">
        <f>IF((B30&gt;0),(VLOOKUP($B30,'Vlookup Tables'!$B$23:$F$33,2,TRUE)),"-")</f>
        <v>1</v>
      </c>
      <c r="H30" s="586">
        <f t="shared" si="3"/>
        <v>2.4024999999999999</v>
      </c>
      <c r="I30" s="476">
        <f>IF((B30&gt;0),('Vlookup Tables'!$B$35),"-")</f>
        <v>259</v>
      </c>
      <c r="J30" s="477" t="str">
        <f>IF(B30&gt;0,(IF(D30="2-Way",VLOOKUP($G30,'Vlookup Tables'!$C$23:$F$33,2,FALSE),VLOOKUP($G30,'Vlookup Tables'!$C$23:$F$33,3,FALSE))),"-")</f>
        <v>02034</v>
      </c>
      <c r="K30" s="478" t="str">
        <f>IF(B30&gt;0,(VLOOKUP(J30,'Valve Reference'!$A$2:$K$389,4)),"-")</f>
        <v>Standard</v>
      </c>
      <c r="L30" s="478" t="str">
        <f>IF(B30&gt;0,(VLOOKUP(J30,'Valve Reference'!$A$2:$K$389,5)),"-")</f>
        <v>BR</v>
      </c>
      <c r="M30" s="478" t="str">
        <f>IF(B30&gt;0,(VLOOKUP(J30,'Valve Reference'!$A$2:$K$389,8)),"-")</f>
        <v>Linear</v>
      </c>
      <c r="N30" s="478" t="str">
        <f>IF(B30&gt;0,(VLOOKUP(J30,'Valve Reference'!$A$2:$K$389,10)),"-")</f>
        <v>FxF</v>
      </c>
      <c r="O30" s="479" t="str">
        <f>IF(B30&gt;0,(VLOOKUP(J30,'Valve Reference'!$A$2:$K$389,11)),"-")</f>
        <v>Globe-Powermite</v>
      </c>
      <c r="P30" s="480" t="str">
        <f>IF(B30&gt;0,(VLOOKUP(I30,'Actuator Reference'!$A$2:$H$54,2)),"-")</f>
        <v>SSC81U</v>
      </c>
      <c r="Q30" s="480" t="str">
        <f>IF(B30&gt;0,(VLOOKUP(I30,'Actuator Reference'!$A$2:$H$54,5)),"-")</f>
        <v>Float</v>
      </c>
      <c r="R30" s="480" t="str">
        <f>IF(B30&gt;0,(VLOOKUP(I30,'Actuator Reference'!$A$2:$H$54,6)),"-")</f>
        <v>NSR</v>
      </c>
      <c r="S30" s="480" t="str">
        <f>IF(B30&gt;0,(VLOOKUP(I30,'Actuator Reference'!$A$2:$H$54,7)),"-")</f>
        <v>24V</v>
      </c>
      <c r="T30" s="481" t="str">
        <f>IF(B30&gt;0,(VLOOKUP(I30,'Actuator Reference'!$A$2:$H$54,8)),"-")</f>
        <v>MT-Series</v>
      </c>
      <c r="U30" s="39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5">
        <v>1</v>
      </c>
      <c r="AG30" s="35" t="s">
        <v>1097</v>
      </c>
      <c r="AH30" s="38" t="str">
        <f t="shared" si="0"/>
        <v>259-02034</v>
      </c>
      <c r="AI30" s="594" t="str">
        <f t="shared" si="1"/>
        <v>=0</v>
      </c>
      <c r="AJ30" s="595" t="s">
        <v>1339</v>
      </c>
      <c r="AK30" s="592">
        <v>4</v>
      </c>
      <c r="AL30" s="592" t="s">
        <v>1338</v>
      </c>
      <c r="AM30" s="38"/>
      <c r="AN30" s="38"/>
      <c r="AO30" s="38"/>
      <c r="AP30" s="38"/>
      <c r="AQ30" s="38"/>
      <c r="AR30" s="38"/>
      <c r="AS30" s="38"/>
      <c r="AT30" s="38"/>
      <c r="AU30" s="38"/>
      <c r="AV30" s="40"/>
      <c r="AW30" s="38"/>
      <c r="AX30" s="38"/>
      <c r="AY30" s="38"/>
      <c r="AZ30" s="38"/>
      <c r="BA30" s="38"/>
      <c r="BB30" s="38"/>
    </row>
    <row r="31" spans="1:54" ht="15" customHeight="1">
      <c r="A31" s="469">
        <f>'Box Schedule'!A36</f>
        <v>0</v>
      </c>
      <c r="B31" s="634">
        <v>1.56</v>
      </c>
      <c r="C31" s="483" t="str">
        <f>IF((B31&gt;0),(VLOOKUP(J31,'Valve Reference'!$A$2:$K$389,3)),"-")</f>
        <v>0.5</v>
      </c>
      <c r="D31" s="471" t="s">
        <v>577</v>
      </c>
      <c r="E31" s="484">
        <f>IF((B31&gt;0),('Vlookup Tables'!$B$37),"-")</f>
        <v>5</v>
      </c>
      <c r="F31" s="585">
        <f t="shared" si="2"/>
        <v>0.69765320897993433</v>
      </c>
      <c r="G31" s="485">
        <f>IF((B31&gt;0),(VLOOKUP($B31,'Vlookup Tables'!$B$23:$F$33,2,TRUE)),"-")</f>
        <v>1</v>
      </c>
      <c r="H31" s="586">
        <f t="shared" si="3"/>
        <v>2.4336000000000007</v>
      </c>
      <c r="I31" s="476">
        <f>IF((B31&gt;0),('Vlookup Tables'!$B$35),"-")</f>
        <v>259</v>
      </c>
      <c r="J31" s="477" t="str">
        <f>IF(B31&gt;0,(IF(D31="2-Way",VLOOKUP($G31,'Vlookup Tables'!$C$23:$F$33,2,FALSE),VLOOKUP($G31,'Vlookup Tables'!$C$23:$F$33,3,FALSE))),"-")</f>
        <v>02034</v>
      </c>
      <c r="K31" s="478" t="str">
        <f>IF(B31&gt;0,(VLOOKUP(J31,'Valve Reference'!$A$2:$K$389,4)),"-")</f>
        <v>Standard</v>
      </c>
      <c r="L31" s="478" t="str">
        <f>IF(B31&gt;0,(VLOOKUP(J31,'Valve Reference'!$A$2:$K$389,5)),"-")</f>
        <v>BR</v>
      </c>
      <c r="M31" s="478" t="str">
        <f>IF(B31&gt;0,(VLOOKUP(J31,'Valve Reference'!$A$2:$K$389,8)),"-")</f>
        <v>Linear</v>
      </c>
      <c r="N31" s="478" t="str">
        <f>IF(B31&gt;0,(VLOOKUP(J31,'Valve Reference'!$A$2:$K$389,10)),"-")</f>
        <v>FxF</v>
      </c>
      <c r="O31" s="479" t="str">
        <f>IF(B31&gt;0,(VLOOKUP(J31,'Valve Reference'!$A$2:$K$389,11)),"-")</f>
        <v>Globe-Powermite</v>
      </c>
      <c r="P31" s="480" t="str">
        <f>IF(B31&gt;0,(VLOOKUP(I31,'Actuator Reference'!$A$2:$H$54,2)),"-")</f>
        <v>SSC81U</v>
      </c>
      <c r="Q31" s="480" t="str">
        <f>IF(B31&gt;0,(VLOOKUP(I31,'Actuator Reference'!$A$2:$H$54,5)),"-")</f>
        <v>Float</v>
      </c>
      <c r="R31" s="480" t="str">
        <f>IF(B31&gt;0,(VLOOKUP(I31,'Actuator Reference'!$A$2:$H$54,6)),"-")</f>
        <v>NSR</v>
      </c>
      <c r="S31" s="480" t="str">
        <f>IF(B31&gt;0,(VLOOKUP(I31,'Actuator Reference'!$A$2:$H$54,7)),"-")</f>
        <v>24V</v>
      </c>
      <c r="T31" s="481" t="str">
        <f>IF(B31&gt;0,(VLOOKUP(I31,'Actuator Reference'!$A$2:$H$54,8)),"-")</f>
        <v>MT-Series</v>
      </c>
      <c r="U31" s="39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5">
        <v>1</v>
      </c>
      <c r="AG31" s="35" t="s">
        <v>1097</v>
      </c>
      <c r="AH31" s="38" t="str">
        <f t="shared" si="0"/>
        <v>259-02034</v>
      </c>
      <c r="AI31" s="594" t="str">
        <f t="shared" si="1"/>
        <v>=0</v>
      </c>
      <c r="AJ31" s="595" t="s">
        <v>1339</v>
      </c>
      <c r="AK31" s="592">
        <v>4</v>
      </c>
      <c r="AL31" s="592" t="s">
        <v>1338</v>
      </c>
      <c r="AM31" s="38"/>
      <c r="AN31" s="38"/>
      <c r="AO31" s="38"/>
      <c r="AP31" s="38"/>
      <c r="AQ31" s="38"/>
      <c r="AR31" s="38"/>
      <c r="AS31" s="38"/>
      <c r="AT31" s="38"/>
      <c r="AU31" s="38"/>
      <c r="AV31" s="40"/>
      <c r="AW31" s="38"/>
      <c r="AX31" s="38"/>
      <c r="AY31" s="38"/>
      <c r="AZ31" s="38"/>
      <c r="BA31" s="38"/>
      <c r="BB31" s="38"/>
    </row>
    <row r="32" spans="1:54" ht="15" customHeight="1">
      <c r="A32" s="469">
        <f>'Box Schedule'!A37</f>
        <v>0</v>
      </c>
      <c r="B32" s="634">
        <v>1.85</v>
      </c>
      <c r="C32" s="483" t="str">
        <f>IF((B32&gt;0),(VLOOKUP(J32,'Valve Reference'!$A$2:$K$389,3)),"-")</f>
        <v>0.5</v>
      </c>
      <c r="D32" s="471" t="s">
        <v>577</v>
      </c>
      <c r="E32" s="484">
        <f>IF((B32&gt;0),('Vlookup Tables'!$B$37),"-")</f>
        <v>5</v>
      </c>
      <c r="F32" s="585">
        <f t="shared" si="2"/>
        <v>0.82734515167492217</v>
      </c>
      <c r="G32" s="485">
        <f>IF((B32&gt;0),(VLOOKUP($B32,'Vlookup Tables'!$B$23:$F$33,2,TRUE)),"-")</f>
        <v>1</v>
      </c>
      <c r="H32" s="586">
        <f t="shared" si="3"/>
        <v>3.4225000000000008</v>
      </c>
      <c r="I32" s="476">
        <f>IF((B32&gt;0),('Vlookup Tables'!$B$35),"-")</f>
        <v>259</v>
      </c>
      <c r="J32" s="477" t="str">
        <f>IF(B32&gt;0,(IF(D32="2-Way",VLOOKUP($G32,'Vlookup Tables'!$C$23:$F$33,2,FALSE),VLOOKUP($G32,'Vlookup Tables'!$C$23:$F$33,3,FALSE))),"-")</f>
        <v>02034</v>
      </c>
      <c r="K32" s="478" t="str">
        <f>IF(B32&gt;0,(VLOOKUP(J32,'Valve Reference'!$A$2:$K$389,4)),"-")</f>
        <v>Standard</v>
      </c>
      <c r="L32" s="478" t="str">
        <f>IF(B32&gt;0,(VLOOKUP(J32,'Valve Reference'!$A$2:$K$389,5)),"-")</f>
        <v>BR</v>
      </c>
      <c r="M32" s="478" t="str">
        <f>IF(B32&gt;0,(VLOOKUP(J32,'Valve Reference'!$A$2:$K$389,8)),"-")</f>
        <v>Linear</v>
      </c>
      <c r="N32" s="478" t="str">
        <f>IF(B32&gt;0,(VLOOKUP(J32,'Valve Reference'!$A$2:$K$389,10)),"-")</f>
        <v>FxF</v>
      </c>
      <c r="O32" s="479" t="str">
        <f>IF(B32&gt;0,(VLOOKUP(J32,'Valve Reference'!$A$2:$K$389,11)),"-")</f>
        <v>Globe-Powermite</v>
      </c>
      <c r="P32" s="480" t="str">
        <f>IF(B32&gt;0,(VLOOKUP(I32,'Actuator Reference'!$A$2:$H$54,2)),"-")</f>
        <v>SSC81U</v>
      </c>
      <c r="Q32" s="480" t="str">
        <f>IF(B32&gt;0,(VLOOKUP(I32,'Actuator Reference'!$A$2:$H$54,5)),"-")</f>
        <v>Float</v>
      </c>
      <c r="R32" s="480" t="str">
        <f>IF(B32&gt;0,(VLOOKUP(I32,'Actuator Reference'!$A$2:$H$54,6)),"-")</f>
        <v>NSR</v>
      </c>
      <c r="S32" s="480" t="str">
        <f>IF(B32&gt;0,(VLOOKUP(I32,'Actuator Reference'!$A$2:$H$54,7)),"-")</f>
        <v>24V</v>
      </c>
      <c r="T32" s="481" t="str">
        <f>IF(B32&gt;0,(VLOOKUP(I32,'Actuator Reference'!$A$2:$H$54,8)),"-")</f>
        <v>MT-Series</v>
      </c>
      <c r="U32" s="39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5">
        <v>1</v>
      </c>
      <c r="AG32" s="35" t="s">
        <v>1097</v>
      </c>
      <c r="AH32" s="38" t="str">
        <f t="shared" si="0"/>
        <v>259-02034</v>
      </c>
      <c r="AI32" s="594" t="str">
        <f t="shared" si="1"/>
        <v>=0</v>
      </c>
      <c r="AJ32" s="595" t="s">
        <v>1339</v>
      </c>
      <c r="AK32" s="592">
        <v>4</v>
      </c>
      <c r="AL32" s="592" t="s">
        <v>1338</v>
      </c>
      <c r="AM32" s="38"/>
      <c r="AN32" s="38"/>
      <c r="AO32" s="38"/>
      <c r="AP32" s="38"/>
      <c r="AQ32" s="38"/>
      <c r="AR32" s="38"/>
      <c r="AS32" s="38"/>
      <c r="AT32" s="38"/>
      <c r="AU32" s="38"/>
      <c r="AV32" s="40"/>
      <c r="AW32" s="38"/>
      <c r="AX32" s="38"/>
      <c r="AY32" s="38"/>
      <c r="AZ32" s="38"/>
      <c r="BA32" s="38"/>
      <c r="BB32" s="38"/>
    </row>
    <row r="33" spans="1:54" ht="15" customHeight="1">
      <c r="A33" s="469">
        <f>'Box Schedule'!A38</f>
        <v>0</v>
      </c>
      <c r="B33" s="634">
        <v>0.78</v>
      </c>
      <c r="C33" s="483" t="str">
        <f>IF((B33&gt;0),(VLOOKUP(J33,'Valve Reference'!$A$2:$K$389,3)),"-")</f>
        <v>0.5</v>
      </c>
      <c r="D33" s="471" t="s">
        <v>577</v>
      </c>
      <c r="E33" s="484">
        <f>IF((B33&gt;0),('Vlookup Tables'!$B$37),"-")</f>
        <v>5</v>
      </c>
      <c r="F33" s="585">
        <f t="shared" si="2"/>
        <v>0.34882660448996716</v>
      </c>
      <c r="G33" s="485">
        <f>IF((B33&gt;0),(VLOOKUP($B33,'Vlookup Tables'!$B$23:$F$33,2,TRUE)),"-")</f>
        <v>0.4</v>
      </c>
      <c r="H33" s="586">
        <f t="shared" si="3"/>
        <v>3.8024999999999993</v>
      </c>
      <c r="I33" s="476">
        <f>IF((B33&gt;0),('Vlookup Tables'!$B$35),"-")</f>
        <v>259</v>
      </c>
      <c r="J33" s="477" t="str">
        <f>IF(B33&gt;0,(IF(D33="2-Way",VLOOKUP($G33,'Vlookup Tables'!$C$23:$F$33,2,FALSE),VLOOKUP($G33,'Vlookup Tables'!$C$23:$F$33,3,FALSE))),"-")</f>
        <v>02030</v>
      </c>
      <c r="K33" s="478" t="str">
        <f>IF(B33&gt;0,(VLOOKUP(J33,'Valve Reference'!$A$2:$K$389,4)),"-")</f>
        <v>Standard</v>
      </c>
      <c r="L33" s="478" t="str">
        <f>IF(B33&gt;0,(VLOOKUP(J33,'Valve Reference'!$A$2:$K$389,5)),"-")</f>
        <v>BR</v>
      </c>
      <c r="M33" s="478" t="str">
        <f>IF(B33&gt;0,(VLOOKUP(J33,'Valve Reference'!$A$2:$K$389,8)),"-")</f>
        <v>Linear</v>
      </c>
      <c r="N33" s="478" t="str">
        <f>IF(B33&gt;0,(VLOOKUP(J33,'Valve Reference'!$A$2:$K$389,10)),"-")</f>
        <v>FxF</v>
      </c>
      <c r="O33" s="479" t="str">
        <f>IF(B33&gt;0,(VLOOKUP(J33,'Valve Reference'!$A$2:$K$389,11)),"-")</f>
        <v>Globe-Powermite</v>
      </c>
      <c r="P33" s="480" t="str">
        <f>IF(B33&gt;0,(VLOOKUP(I33,'Actuator Reference'!$A$2:$H$54,2)),"-")</f>
        <v>SSC81U</v>
      </c>
      <c r="Q33" s="480" t="str">
        <f>IF(B33&gt;0,(VLOOKUP(I33,'Actuator Reference'!$A$2:$H$54,5)),"-")</f>
        <v>Float</v>
      </c>
      <c r="R33" s="480" t="str">
        <f>IF(B33&gt;0,(VLOOKUP(I33,'Actuator Reference'!$A$2:$H$54,6)),"-")</f>
        <v>NSR</v>
      </c>
      <c r="S33" s="480" t="str">
        <f>IF(B33&gt;0,(VLOOKUP(I33,'Actuator Reference'!$A$2:$H$54,7)),"-")</f>
        <v>24V</v>
      </c>
      <c r="T33" s="481" t="str">
        <f>IF(B33&gt;0,(VLOOKUP(I33,'Actuator Reference'!$A$2:$H$54,8)),"-")</f>
        <v>MT-Series</v>
      </c>
      <c r="U33" s="39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5">
        <v>1</v>
      </c>
      <c r="AG33" s="35" t="s">
        <v>1097</v>
      </c>
      <c r="AH33" s="38" t="str">
        <f t="shared" si="0"/>
        <v>259-02030</v>
      </c>
      <c r="AI33" s="594" t="str">
        <f t="shared" si="1"/>
        <v>=0</v>
      </c>
      <c r="AJ33" s="595" t="s">
        <v>1339</v>
      </c>
      <c r="AK33" s="592">
        <v>4</v>
      </c>
      <c r="AL33" s="592" t="s">
        <v>1338</v>
      </c>
      <c r="AM33" s="38"/>
      <c r="AN33" s="38"/>
      <c r="AO33" s="38"/>
      <c r="AP33" s="38"/>
      <c r="AQ33" s="38"/>
      <c r="AR33" s="38"/>
      <c r="AS33" s="38"/>
      <c r="AT33" s="38"/>
      <c r="AU33" s="38"/>
      <c r="AV33" s="40"/>
      <c r="AW33" s="38"/>
      <c r="AX33" s="38"/>
      <c r="AY33" s="38"/>
      <c r="AZ33" s="38"/>
      <c r="BA33" s="38"/>
      <c r="BB33" s="38"/>
    </row>
    <row r="34" spans="1:54" ht="15" customHeight="1">
      <c r="A34" s="469">
        <f>'Box Schedule'!A39</f>
        <v>0</v>
      </c>
      <c r="B34" s="634">
        <v>1.56</v>
      </c>
      <c r="C34" s="483" t="str">
        <f>IF((B34&gt;0),(VLOOKUP(J34,'Valve Reference'!$A$2:$K$389,3)),"-")</f>
        <v>0.5</v>
      </c>
      <c r="D34" s="471" t="s">
        <v>577</v>
      </c>
      <c r="E34" s="484">
        <f>IF((B34&gt;0),('Vlookup Tables'!$B$37),"-")</f>
        <v>5</v>
      </c>
      <c r="F34" s="585">
        <f t="shared" si="2"/>
        <v>0.69765320897993433</v>
      </c>
      <c r="G34" s="485">
        <f>IF((B34&gt;0),(VLOOKUP($B34,'Vlookup Tables'!$B$23:$F$33,2,TRUE)),"-")</f>
        <v>1</v>
      </c>
      <c r="H34" s="586">
        <f t="shared" si="3"/>
        <v>2.4336000000000007</v>
      </c>
      <c r="I34" s="476">
        <f>IF((B34&gt;0),('Vlookup Tables'!$B$35),"-")</f>
        <v>259</v>
      </c>
      <c r="J34" s="477" t="str">
        <f>IF(B34&gt;0,(IF(D34="2-Way",VLOOKUP($G34,'Vlookup Tables'!$C$23:$F$33,2,FALSE),VLOOKUP($G34,'Vlookup Tables'!$C$23:$F$33,3,FALSE))),"-")</f>
        <v>02034</v>
      </c>
      <c r="K34" s="478" t="str">
        <f>IF(B34&gt;0,(VLOOKUP(J34,'Valve Reference'!$A$2:$K$389,4)),"-")</f>
        <v>Standard</v>
      </c>
      <c r="L34" s="478" t="str">
        <f>IF(B34&gt;0,(VLOOKUP(J34,'Valve Reference'!$A$2:$K$389,5)),"-")</f>
        <v>BR</v>
      </c>
      <c r="M34" s="478" t="str">
        <f>IF(B34&gt;0,(VLOOKUP(J34,'Valve Reference'!$A$2:$K$389,8)),"-")</f>
        <v>Linear</v>
      </c>
      <c r="N34" s="478" t="str">
        <f>IF(B34&gt;0,(VLOOKUP(J34,'Valve Reference'!$A$2:$K$389,10)),"-")</f>
        <v>FxF</v>
      </c>
      <c r="O34" s="479" t="str">
        <f>IF(B34&gt;0,(VLOOKUP(J34,'Valve Reference'!$A$2:$K$389,11)),"-")</f>
        <v>Globe-Powermite</v>
      </c>
      <c r="P34" s="480" t="str">
        <f>IF(B34&gt;0,(VLOOKUP(I34,'Actuator Reference'!$A$2:$H$54,2)),"-")</f>
        <v>SSC81U</v>
      </c>
      <c r="Q34" s="480" t="str">
        <f>IF(B34&gt;0,(VLOOKUP(I34,'Actuator Reference'!$A$2:$H$54,5)),"-")</f>
        <v>Float</v>
      </c>
      <c r="R34" s="480" t="str">
        <f>IF(B34&gt;0,(VLOOKUP(I34,'Actuator Reference'!$A$2:$H$54,6)),"-")</f>
        <v>NSR</v>
      </c>
      <c r="S34" s="480" t="str">
        <f>IF(B34&gt;0,(VLOOKUP(I34,'Actuator Reference'!$A$2:$H$54,7)),"-")</f>
        <v>24V</v>
      </c>
      <c r="T34" s="481" t="str">
        <f>IF(B34&gt;0,(VLOOKUP(I34,'Actuator Reference'!$A$2:$H$54,8)),"-")</f>
        <v>MT-Series</v>
      </c>
      <c r="U34" s="39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5">
        <v>1</v>
      </c>
      <c r="AG34" s="35" t="s">
        <v>1097</v>
      </c>
      <c r="AH34" s="38" t="str">
        <f t="shared" ref="AH34:AH38" si="4">CONCATENATE(I34,"-",J34)</f>
        <v>259-02034</v>
      </c>
      <c r="AI34" s="594" t="str">
        <f t="shared" si="1"/>
        <v>=0</v>
      </c>
      <c r="AJ34" s="595" t="s">
        <v>1339</v>
      </c>
      <c r="AK34" s="592">
        <v>4</v>
      </c>
      <c r="AL34" s="592" t="s">
        <v>1338</v>
      </c>
      <c r="AM34" s="38"/>
      <c r="AN34" s="38"/>
      <c r="AO34" s="38"/>
      <c r="AP34" s="38"/>
      <c r="AQ34" s="38"/>
      <c r="AR34" s="38"/>
      <c r="AS34" s="38"/>
      <c r="AT34" s="38"/>
      <c r="AU34" s="38"/>
      <c r="AV34" s="40"/>
      <c r="AW34" s="38"/>
      <c r="AX34" s="38"/>
      <c r="AY34" s="38"/>
      <c r="AZ34" s="38"/>
      <c r="BA34" s="38"/>
      <c r="BB34" s="38"/>
    </row>
    <row r="35" spans="1:54" ht="15" customHeight="1">
      <c r="A35" s="469">
        <f>'Box Schedule'!A40</f>
        <v>0</v>
      </c>
      <c r="B35" s="634">
        <v>1.58</v>
      </c>
      <c r="C35" s="483" t="str">
        <f>IF((B35&gt;0),(VLOOKUP(J35,'Valve Reference'!$A$2:$K$389,3)),"-")</f>
        <v>0.5</v>
      </c>
      <c r="D35" s="471" t="s">
        <v>577</v>
      </c>
      <c r="E35" s="484">
        <f>IF((B35&gt;0),('Vlookup Tables'!$B$37),"-")</f>
        <v>5</v>
      </c>
      <c r="F35" s="585">
        <f t="shared" si="2"/>
        <v>0.70659748088993357</v>
      </c>
      <c r="G35" s="485">
        <f>IF((B35&gt;0),(VLOOKUP($B35,'Vlookup Tables'!$B$23:$F$33,2,TRUE)),"-")</f>
        <v>1</v>
      </c>
      <c r="H35" s="586">
        <f t="shared" si="3"/>
        <v>2.4964000000000004</v>
      </c>
      <c r="I35" s="476">
        <f>IF((B35&gt;0),('Vlookup Tables'!$B$35),"-")</f>
        <v>259</v>
      </c>
      <c r="J35" s="477" t="str">
        <f>IF(B35&gt;0,(IF(D35="2-Way",VLOOKUP($G35,'Vlookup Tables'!$C$23:$F$33,2,FALSE),VLOOKUP($G35,'Vlookup Tables'!$C$23:$F$33,3,FALSE))),"-")</f>
        <v>02034</v>
      </c>
      <c r="K35" s="478" t="str">
        <f>IF(B35&gt;0,(VLOOKUP(J35,'Valve Reference'!$A$2:$K$389,4)),"-")</f>
        <v>Standard</v>
      </c>
      <c r="L35" s="478" t="str">
        <f>IF(B35&gt;0,(VLOOKUP(J35,'Valve Reference'!$A$2:$K$389,5)),"-")</f>
        <v>BR</v>
      </c>
      <c r="M35" s="478" t="str">
        <f>IF(B35&gt;0,(VLOOKUP(J35,'Valve Reference'!$A$2:$K$389,8)),"-")</f>
        <v>Linear</v>
      </c>
      <c r="N35" s="478" t="str">
        <f>IF(B35&gt;0,(VLOOKUP(J35,'Valve Reference'!$A$2:$K$389,10)),"-")</f>
        <v>FxF</v>
      </c>
      <c r="O35" s="479" t="str">
        <f>IF(B35&gt;0,(VLOOKUP(J35,'Valve Reference'!$A$2:$K$389,11)),"-")</f>
        <v>Globe-Powermite</v>
      </c>
      <c r="P35" s="480" t="str">
        <f>IF(B35&gt;0,(VLOOKUP(I35,'Actuator Reference'!$A$2:$H$54,2)),"-")</f>
        <v>SSC81U</v>
      </c>
      <c r="Q35" s="480" t="str">
        <f>IF(B35&gt;0,(VLOOKUP(I35,'Actuator Reference'!$A$2:$H$54,5)),"-")</f>
        <v>Float</v>
      </c>
      <c r="R35" s="480" t="str">
        <f>IF(B35&gt;0,(VLOOKUP(I35,'Actuator Reference'!$A$2:$H$54,6)),"-")</f>
        <v>NSR</v>
      </c>
      <c r="S35" s="480" t="str">
        <f>IF(B35&gt;0,(VLOOKUP(I35,'Actuator Reference'!$A$2:$H$54,7)),"-")</f>
        <v>24V</v>
      </c>
      <c r="T35" s="481" t="str">
        <f>IF(B35&gt;0,(VLOOKUP(I35,'Actuator Reference'!$A$2:$H$54,8)),"-")</f>
        <v>MT-Series</v>
      </c>
      <c r="U35" s="39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5">
        <v>1</v>
      </c>
      <c r="AG35" s="35" t="s">
        <v>1097</v>
      </c>
      <c r="AH35" s="38" t="str">
        <f t="shared" si="4"/>
        <v>259-02034</v>
      </c>
      <c r="AI35" s="594" t="str">
        <f t="shared" si="1"/>
        <v>=0</v>
      </c>
      <c r="AJ35" s="595" t="s">
        <v>1339</v>
      </c>
      <c r="AK35" s="592">
        <v>4</v>
      </c>
      <c r="AL35" s="592" t="s">
        <v>1338</v>
      </c>
      <c r="AM35" s="38"/>
      <c r="AN35" s="38"/>
      <c r="AO35" s="38"/>
      <c r="AP35" s="38"/>
      <c r="AQ35" s="38"/>
      <c r="AR35" s="38"/>
      <c r="AS35" s="38"/>
      <c r="AT35" s="38"/>
      <c r="AU35" s="38"/>
      <c r="AV35" s="40"/>
      <c r="AW35" s="38"/>
      <c r="AX35" s="38"/>
      <c r="AY35" s="38"/>
      <c r="AZ35" s="38"/>
      <c r="BA35" s="38"/>
      <c r="BB35" s="38"/>
    </row>
    <row r="36" spans="1:54" ht="15" customHeight="1">
      <c r="A36" s="469">
        <f>'Box Schedule'!A41</f>
        <v>0</v>
      </c>
      <c r="B36" s="634">
        <v>1.0900000000000001</v>
      </c>
      <c r="C36" s="483" t="str">
        <f>IF((B36&gt;0),(VLOOKUP(J36,'Valve Reference'!$A$2:$K$389,3)),"-")</f>
        <v>0.5</v>
      </c>
      <c r="D36" s="471" t="s">
        <v>577</v>
      </c>
      <c r="E36" s="484">
        <f>IF((B36&gt;0),('Vlookup Tables'!$B$37),"-")</f>
        <v>5</v>
      </c>
      <c r="F36" s="585">
        <f t="shared" si="2"/>
        <v>0.48746281909495415</v>
      </c>
      <c r="G36" s="485">
        <f>IF((B36&gt;0),(VLOOKUP($B36,'Vlookup Tables'!$B$23:$F$33,2,TRUE)),"-")</f>
        <v>0.63</v>
      </c>
      <c r="H36" s="586">
        <f t="shared" si="3"/>
        <v>2.9934492315444698</v>
      </c>
      <c r="I36" s="476">
        <f>IF((B36&gt;0),('Vlookup Tables'!$B$35),"-")</f>
        <v>259</v>
      </c>
      <c r="J36" s="477" t="str">
        <f>IF(B36&gt;0,(IF(D36="2-Way",VLOOKUP($G36,'Vlookup Tables'!$C$23:$F$33,2,FALSE),VLOOKUP($G36,'Vlookup Tables'!$C$23:$F$33,3,FALSE))),"-")</f>
        <v>02032</v>
      </c>
      <c r="K36" s="478" t="str">
        <f>IF(B36&gt;0,(VLOOKUP(J36,'Valve Reference'!$A$2:$K$389,4)),"-")</f>
        <v>Standard</v>
      </c>
      <c r="L36" s="478" t="str">
        <f>IF(B36&gt;0,(VLOOKUP(J36,'Valve Reference'!$A$2:$K$389,5)),"-")</f>
        <v>BR</v>
      </c>
      <c r="M36" s="478" t="str">
        <f>IF(B36&gt;0,(VLOOKUP(J36,'Valve Reference'!$A$2:$K$389,8)),"-")</f>
        <v>Linear</v>
      </c>
      <c r="N36" s="478" t="str">
        <f>IF(B36&gt;0,(VLOOKUP(J36,'Valve Reference'!$A$2:$K$389,10)),"-")</f>
        <v>FxF</v>
      </c>
      <c r="O36" s="479" t="str">
        <f>IF(B36&gt;0,(VLOOKUP(J36,'Valve Reference'!$A$2:$K$389,11)),"-")</f>
        <v>Globe-Powermite</v>
      </c>
      <c r="P36" s="480" t="str">
        <f>IF(B36&gt;0,(VLOOKUP(I36,'Actuator Reference'!$A$2:$H$54,2)),"-")</f>
        <v>SSC81U</v>
      </c>
      <c r="Q36" s="480" t="str">
        <f>IF(B36&gt;0,(VLOOKUP(I36,'Actuator Reference'!$A$2:$H$54,5)),"-")</f>
        <v>Float</v>
      </c>
      <c r="R36" s="480" t="str">
        <f>IF(B36&gt;0,(VLOOKUP(I36,'Actuator Reference'!$A$2:$H$54,6)),"-")</f>
        <v>NSR</v>
      </c>
      <c r="S36" s="480" t="str">
        <f>IF(B36&gt;0,(VLOOKUP(I36,'Actuator Reference'!$A$2:$H$54,7)),"-")</f>
        <v>24V</v>
      </c>
      <c r="T36" s="481" t="str">
        <f>IF(B36&gt;0,(VLOOKUP(I36,'Actuator Reference'!$A$2:$H$54,8)),"-")</f>
        <v>MT-Series</v>
      </c>
      <c r="U36" s="39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5">
        <v>1</v>
      </c>
      <c r="AG36" s="35" t="s">
        <v>1097</v>
      </c>
      <c r="AH36" s="38" t="str">
        <f t="shared" si="4"/>
        <v>259-02032</v>
      </c>
      <c r="AI36" s="594" t="str">
        <f t="shared" si="1"/>
        <v>=0</v>
      </c>
      <c r="AJ36" s="595" t="s">
        <v>1339</v>
      </c>
      <c r="AK36" s="592">
        <v>4</v>
      </c>
      <c r="AL36" s="592" t="s">
        <v>1338</v>
      </c>
      <c r="AM36" s="38"/>
      <c r="AN36" s="38"/>
      <c r="AO36" s="38"/>
      <c r="AP36" s="38"/>
      <c r="AQ36" s="38"/>
      <c r="AR36" s="38"/>
      <c r="AS36" s="38"/>
      <c r="AT36" s="38"/>
      <c r="AU36" s="38"/>
      <c r="AV36" s="40"/>
      <c r="AW36" s="38"/>
      <c r="AX36" s="38"/>
      <c r="AY36" s="38"/>
      <c r="AZ36" s="38"/>
      <c r="BA36" s="38"/>
      <c r="BB36" s="38"/>
    </row>
    <row r="37" spans="1:54" ht="15" customHeight="1">
      <c r="A37" s="469">
        <f>'Box Schedule'!A42</f>
        <v>0</v>
      </c>
      <c r="B37" s="634">
        <v>0.93</v>
      </c>
      <c r="C37" s="483" t="str">
        <f>IF((B37&gt;0),(VLOOKUP(J37,'Valve Reference'!$A$2:$K$389,3)),"-")</f>
        <v>0.5</v>
      </c>
      <c r="D37" s="471" t="s">
        <v>577</v>
      </c>
      <c r="E37" s="484">
        <f>IF((B37&gt;0),('Vlookup Tables'!$B$37),"-")</f>
        <v>5</v>
      </c>
      <c r="F37" s="585">
        <f t="shared" si="2"/>
        <v>0.4159086438149609</v>
      </c>
      <c r="G37" s="485">
        <f>IF((B37&gt;0),(VLOOKUP($B37,'Vlookup Tables'!$B$23:$F$33,2,TRUE)),"-")</f>
        <v>0.63</v>
      </c>
      <c r="H37" s="586">
        <f t="shared" si="3"/>
        <v>2.1791383219954654</v>
      </c>
      <c r="I37" s="476">
        <f>IF((B37&gt;0),('Vlookup Tables'!$B$35),"-")</f>
        <v>259</v>
      </c>
      <c r="J37" s="477" t="str">
        <f>IF(B37&gt;0,(IF(D37="2-Way",VLOOKUP($G37,'Vlookup Tables'!$C$23:$F$33,2,FALSE),VLOOKUP($G37,'Vlookup Tables'!$C$23:$F$33,3,FALSE))),"-")</f>
        <v>02032</v>
      </c>
      <c r="K37" s="478" t="str">
        <f>IF(B37&gt;0,(VLOOKUP(J37,'Valve Reference'!$A$2:$K$389,4)),"-")</f>
        <v>Standard</v>
      </c>
      <c r="L37" s="478" t="str">
        <f>IF(B37&gt;0,(VLOOKUP(J37,'Valve Reference'!$A$2:$K$389,5)),"-")</f>
        <v>BR</v>
      </c>
      <c r="M37" s="478" t="str">
        <f>IF(B37&gt;0,(VLOOKUP(J37,'Valve Reference'!$A$2:$K$389,8)),"-")</f>
        <v>Linear</v>
      </c>
      <c r="N37" s="478" t="str">
        <f>IF(B37&gt;0,(VLOOKUP(J37,'Valve Reference'!$A$2:$K$389,10)),"-")</f>
        <v>FxF</v>
      </c>
      <c r="O37" s="479" t="str">
        <f>IF(B37&gt;0,(VLOOKUP(J37,'Valve Reference'!$A$2:$K$389,11)),"-")</f>
        <v>Globe-Powermite</v>
      </c>
      <c r="P37" s="480" t="str">
        <f>IF(B37&gt;0,(VLOOKUP(I37,'Actuator Reference'!$A$2:$H$54,2)),"-")</f>
        <v>SSC81U</v>
      </c>
      <c r="Q37" s="480" t="str">
        <f>IF(B37&gt;0,(VLOOKUP(I37,'Actuator Reference'!$A$2:$H$54,5)),"-")</f>
        <v>Float</v>
      </c>
      <c r="R37" s="480" t="str">
        <f>IF(B37&gt;0,(VLOOKUP(I37,'Actuator Reference'!$A$2:$H$54,6)),"-")</f>
        <v>NSR</v>
      </c>
      <c r="S37" s="480" t="str">
        <f>IF(B37&gt;0,(VLOOKUP(I37,'Actuator Reference'!$A$2:$H$54,7)),"-")</f>
        <v>24V</v>
      </c>
      <c r="T37" s="481" t="str">
        <f>IF(B37&gt;0,(VLOOKUP(I37,'Actuator Reference'!$A$2:$H$54,8)),"-")</f>
        <v>MT-Series</v>
      </c>
      <c r="U37" s="39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5">
        <v>1</v>
      </c>
      <c r="AG37" s="35" t="s">
        <v>1097</v>
      </c>
      <c r="AH37" s="38" t="str">
        <f t="shared" si="4"/>
        <v>259-02032</v>
      </c>
      <c r="AI37" s="594" t="str">
        <f t="shared" si="1"/>
        <v>=0</v>
      </c>
      <c r="AJ37" s="595" t="s">
        <v>1339</v>
      </c>
      <c r="AK37" s="592">
        <v>4</v>
      </c>
      <c r="AL37" s="592" t="s">
        <v>1338</v>
      </c>
      <c r="AM37" s="38"/>
      <c r="AN37" s="38"/>
      <c r="AO37" s="38"/>
      <c r="AP37" s="38"/>
      <c r="AQ37" s="38"/>
      <c r="AR37" s="38"/>
      <c r="AS37" s="38"/>
      <c r="AT37" s="38"/>
      <c r="AU37" s="38"/>
      <c r="AV37" s="40"/>
      <c r="AW37" s="38"/>
      <c r="AX37" s="38"/>
      <c r="AY37" s="38"/>
      <c r="AZ37" s="38"/>
      <c r="BA37" s="38"/>
      <c r="BB37" s="38"/>
    </row>
    <row r="38" spans="1:54" ht="15" customHeight="1">
      <c r="A38" s="469">
        <f>'Box Schedule'!A43</f>
        <v>0</v>
      </c>
      <c r="B38" s="634">
        <v>3.44</v>
      </c>
      <c r="C38" s="483" t="str">
        <f>IF((B38&gt;0),(VLOOKUP(J38,'Valve Reference'!$A$2:$K$389,3)),"-")</f>
        <v>0.5</v>
      </c>
      <c r="D38" s="471" t="s">
        <v>577</v>
      </c>
      <c r="E38" s="484">
        <f>IF((B38&gt;0),('Vlookup Tables'!$B$37),"-")</f>
        <v>5</v>
      </c>
      <c r="F38" s="585">
        <f t="shared" si="2"/>
        <v>1.5384147685198553</v>
      </c>
      <c r="G38" s="485">
        <f>IF((B38&gt;0),(VLOOKUP($B38,'Vlookup Tables'!$B$23:$F$33,2,TRUE)),"-")</f>
        <v>1.6</v>
      </c>
      <c r="H38" s="586">
        <f t="shared" si="3"/>
        <v>4.6224999999999987</v>
      </c>
      <c r="I38" s="476">
        <f>IF((B38&gt;0),('Vlookup Tables'!$B$35),"-")</f>
        <v>259</v>
      </c>
      <c r="J38" s="477" t="str">
        <f>IF(B38&gt;0,(IF(D38="2-Way",VLOOKUP($G38,'Vlookup Tables'!$C$23:$F$33,2,FALSE),VLOOKUP($G38,'Vlookup Tables'!$C$23:$F$33,3,FALSE))),"-")</f>
        <v>02036</v>
      </c>
      <c r="K38" s="478" t="str">
        <f>IF(B38&gt;0,(VLOOKUP(J38,'Valve Reference'!$A$2:$K$389,4)),"-")</f>
        <v>Standard</v>
      </c>
      <c r="L38" s="478" t="str">
        <f>IF(B38&gt;0,(VLOOKUP(J38,'Valve Reference'!$A$2:$K$389,5)),"-")</f>
        <v>BR</v>
      </c>
      <c r="M38" s="478" t="str">
        <f>IF(B38&gt;0,(VLOOKUP(J38,'Valve Reference'!$A$2:$K$389,8)),"-")</f>
        <v>Linear</v>
      </c>
      <c r="N38" s="478" t="str">
        <f>IF(B38&gt;0,(VLOOKUP(J38,'Valve Reference'!$A$2:$K$389,10)),"-")</f>
        <v>FxF</v>
      </c>
      <c r="O38" s="479" t="str">
        <f>IF(B38&gt;0,(VLOOKUP(J38,'Valve Reference'!$A$2:$K$389,11)),"-")</f>
        <v>Globe-Powermite</v>
      </c>
      <c r="P38" s="480" t="str">
        <f>IF(B38&gt;0,(VLOOKUP(I38,'Actuator Reference'!$A$2:$H$54,2)),"-")</f>
        <v>SSC81U</v>
      </c>
      <c r="Q38" s="480" t="str">
        <f>IF(B38&gt;0,(VLOOKUP(I38,'Actuator Reference'!$A$2:$H$54,5)),"-")</f>
        <v>Float</v>
      </c>
      <c r="R38" s="480" t="str">
        <f>IF(B38&gt;0,(VLOOKUP(I38,'Actuator Reference'!$A$2:$H$54,6)),"-")</f>
        <v>NSR</v>
      </c>
      <c r="S38" s="480" t="str">
        <f>IF(B38&gt;0,(VLOOKUP(I38,'Actuator Reference'!$A$2:$H$54,7)),"-")</f>
        <v>24V</v>
      </c>
      <c r="T38" s="481" t="str">
        <f>IF(B38&gt;0,(VLOOKUP(I38,'Actuator Reference'!$A$2:$H$54,8)),"-")</f>
        <v>MT-Series</v>
      </c>
      <c r="U38" s="39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5">
        <v>1</v>
      </c>
      <c r="AG38" s="35" t="s">
        <v>1097</v>
      </c>
      <c r="AH38" s="38" t="str">
        <f t="shared" si="4"/>
        <v>259-02036</v>
      </c>
      <c r="AI38" s="594" t="str">
        <f t="shared" si="1"/>
        <v>=0</v>
      </c>
      <c r="AJ38" s="595" t="s">
        <v>1339</v>
      </c>
      <c r="AK38" s="592">
        <v>4</v>
      </c>
      <c r="AL38" s="592" t="s">
        <v>1338</v>
      </c>
      <c r="AM38" s="38"/>
      <c r="AN38" s="38"/>
      <c r="AO38" s="38"/>
      <c r="AP38" s="38"/>
      <c r="AQ38" s="38"/>
      <c r="AR38" s="38"/>
      <c r="AS38" s="38"/>
      <c r="AT38" s="38"/>
      <c r="AU38" s="38"/>
      <c r="AV38" s="40"/>
      <c r="AW38" s="38"/>
      <c r="AX38" s="38"/>
      <c r="AY38" s="38"/>
      <c r="AZ38" s="38"/>
      <c r="BA38" s="38"/>
      <c r="BB38" s="38"/>
    </row>
    <row r="39" spans="1:54" ht="15" customHeight="1">
      <c r="A39" s="469">
        <f>'Box Schedule'!A44</f>
        <v>0</v>
      </c>
      <c r="B39" s="634">
        <v>0.31</v>
      </c>
      <c r="C39" s="483" t="str">
        <f>IF((B39&gt;0),(VLOOKUP(J39,'Valve Reference'!$A$2:$K$389,3)),"-")</f>
        <v>0.5</v>
      </c>
      <c r="D39" s="471" t="s">
        <v>577</v>
      </c>
      <c r="E39" s="484">
        <f>IF((B39&gt;0),('Vlookup Tables'!$B$37),"-")</f>
        <v>5</v>
      </c>
      <c r="F39" s="585">
        <f t="shared" si="2"/>
        <v>0.13863621460498696</v>
      </c>
      <c r="G39" s="485">
        <f>IF((B39&gt;0),(VLOOKUP($B39,'Vlookup Tables'!$B$23:$F$33,2,TRUE)),"-")</f>
        <v>0.4</v>
      </c>
      <c r="H39" s="586">
        <f t="shared" si="3"/>
        <v>0.60062499999999985</v>
      </c>
      <c r="I39" s="476">
        <f>IF((B39&gt;0),('Vlookup Tables'!$B$35),"-")</f>
        <v>259</v>
      </c>
      <c r="J39" s="477" t="str">
        <f>IF(B39&gt;0,(IF(D39="2-Way",VLOOKUP($G39,'Vlookup Tables'!$C$23:$F$33,2,FALSE),VLOOKUP($G39,'Vlookup Tables'!$C$23:$F$33,3,FALSE))),"-")</f>
        <v>02030</v>
      </c>
      <c r="K39" s="478" t="str">
        <f>IF(B39&gt;0,(VLOOKUP(J39,'Valve Reference'!$A$2:$K$389,4)),"-")</f>
        <v>Standard</v>
      </c>
      <c r="L39" s="478" t="str">
        <f>IF(B39&gt;0,(VLOOKUP(J39,'Valve Reference'!$A$2:$K$389,5)),"-")</f>
        <v>BR</v>
      </c>
      <c r="M39" s="478" t="str">
        <f>IF(B39&gt;0,(VLOOKUP(J39,'Valve Reference'!$A$2:$K$389,8)),"-")</f>
        <v>Linear</v>
      </c>
      <c r="N39" s="478" t="str">
        <f>IF(B39&gt;0,(VLOOKUP(J39,'Valve Reference'!$A$2:$K$389,10)),"-")</f>
        <v>FxF</v>
      </c>
      <c r="O39" s="479" t="str">
        <f>IF(B39&gt;0,(VLOOKUP(J39,'Valve Reference'!$A$2:$K$389,11)),"-")</f>
        <v>Globe-Powermite</v>
      </c>
      <c r="P39" s="480" t="str">
        <f>IF(B39&gt;0,(VLOOKUP(I39,'Actuator Reference'!$A$2:$H$54,2)),"-")</f>
        <v>SSC81U</v>
      </c>
      <c r="Q39" s="480" t="str">
        <f>IF(B39&gt;0,(VLOOKUP(I39,'Actuator Reference'!$A$2:$H$54,5)),"-")</f>
        <v>Float</v>
      </c>
      <c r="R39" s="480" t="str">
        <f>IF(B39&gt;0,(VLOOKUP(I39,'Actuator Reference'!$A$2:$H$54,6)),"-")</f>
        <v>NSR</v>
      </c>
      <c r="S39" s="480" t="str">
        <f>IF(B39&gt;0,(VLOOKUP(I39,'Actuator Reference'!$A$2:$H$54,7)),"-")</f>
        <v>24V</v>
      </c>
      <c r="T39" s="481" t="str">
        <f>IF(B39&gt;0,(VLOOKUP(I39,'Actuator Reference'!$A$2:$H$54,8)),"-")</f>
        <v>MT-Series</v>
      </c>
      <c r="U39" s="39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5">
        <v>1</v>
      </c>
      <c r="AG39" s="35" t="s">
        <v>1097</v>
      </c>
      <c r="AH39" s="38" t="str">
        <f t="shared" ref="AH39:AH95" si="5">CONCATENATE(I39,"-",J39)</f>
        <v>259-02030</v>
      </c>
      <c r="AI39" s="594" t="str">
        <f t="shared" si="1"/>
        <v>=0</v>
      </c>
      <c r="AJ39" s="595" t="s">
        <v>1339</v>
      </c>
      <c r="AK39" s="592">
        <v>4</v>
      </c>
      <c r="AL39" s="592" t="s">
        <v>1338</v>
      </c>
      <c r="AM39" s="38"/>
      <c r="AN39" s="38"/>
      <c r="AO39" s="38"/>
      <c r="AP39" s="38"/>
      <c r="AQ39" s="38"/>
      <c r="AR39" s="38"/>
      <c r="AS39" s="38"/>
      <c r="AT39" s="38"/>
      <c r="AU39" s="38"/>
      <c r="AV39" s="40"/>
      <c r="AW39" s="38"/>
      <c r="AX39" s="38"/>
      <c r="AY39" s="38"/>
      <c r="AZ39" s="38"/>
      <c r="BA39" s="38"/>
      <c r="BB39" s="38"/>
    </row>
    <row r="40" spans="1:54" ht="15" customHeight="1">
      <c r="A40" s="469">
        <f>'Box Schedule'!A45</f>
        <v>0</v>
      </c>
      <c r="B40" s="634">
        <v>0.95</v>
      </c>
      <c r="C40" s="483" t="str">
        <f>IF((B40&gt;0),(VLOOKUP(J40,'Valve Reference'!$A$2:$K$389,3)),"-")</f>
        <v>0.5</v>
      </c>
      <c r="D40" s="471" t="s">
        <v>577</v>
      </c>
      <c r="E40" s="484">
        <f>IF((B40&gt;0),('Vlookup Tables'!$B$37),"-")</f>
        <v>5</v>
      </c>
      <c r="F40" s="585">
        <f t="shared" si="2"/>
        <v>0.42485291572495998</v>
      </c>
      <c r="G40" s="485">
        <f>IF((B40&gt;0),(VLOOKUP($B40,'Vlookup Tables'!$B$23:$F$33,2,TRUE)),"-")</f>
        <v>0.63</v>
      </c>
      <c r="H40" s="586">
        <f t="shared" si="3"/>
        <v>2.2738725119677499</v>
      </c>
      <c r="I40" s="476">
        <f>IF((B40&gt;0),('Vlookup Tables'!$B$35),"-")</f>
        <v>259</v>
      </c>
      <c r="J40" s="477" t="str">
        <f>IF(B40&gt;0,(IF(D40="2-Way",VLOOKUP($G40,'Vlookup Tables'!$C$23:$F$33,2,FALSE),VLOOKUP($G40,'Vlookup Tables'!$C$23:$F$33,3,FALSE))),"-")</f>
        <v>02032</v>
      </c>
      <c r="K40" s="478" t="str">
        <f>IF(B40&gt;0,(VLOOKUP(J40,'Valve Reference'!$A$2:$K$389,4)),"-")</f>
        <v>Standard</v>
      </c>
      <c r="L40" s="478" t="str">
        <f>IF(B40&gt;0,(VLOOKUP(J40,'Valve Reference'!$A$2:$K$389,5)),"-")</f>
        <v>BR</v>
      </c>
      <c r="M40" s="478" t="str">
        <f>IF(B40&gt;0,(VLOOKUP(J40,'Valve Reference'!$A$2:$K$389,8)),"-")</f>
        <v>Linear</v>
      </c>
      <c r="N40" s="478" t="str">
        <f>IF(B40&gt;0,(VLOOKUP(J40,'Valve Reference'!$A$2:$K$389,10)),"-")</f>
        <v>FxF</v>
      </c>
      <c r="O40" s="479" t="str">
        <f>IF(B40&gt;0,(VLOOKUP(J40,'Valve Reference'!$A$2:$K$389,11)),"-")</f>
        <v>Globe-Powermite</v>
      </c>
      <c r="P40" s="480" t="str">
        <f>IF(B40&gt;0,(VLOOKUP(I40,'Actuator Reference'!$A$2:$H$54,2)),"-")</f>
        <v>SSC81U</v>
      </c>
      <c r="Q40" s="480" t="str">
        <f>IF(B40&gt;0,(VLOOKUP(I40,'Actuator Reference'!$A$2:$H$54,5)),"-")</f>
        <v>Float</v>
      </c>
      <c r="R40" s="480" t="str">
        <f>IF(B40&gt;0,(VLOOKUP(I40,'Actuator Reference'!$A$2:$H$54,6)),"-")</f>
        <v>NSR</v>
      </c>
      <c r="S40" s="480" t="str">
        <f>IF(B40&gt;0,(VLOOKUP(I40,'Actuator Reference'!$A$2:$H$54,7)),"-")</f>
        <v>24V</v>
      </c>
      <c r="T40" s="481" t="str">
        <f>IF(B40&gt;0,(VLOOKUP(I40,'Actuator Reference'!$A$2:$H$54,8)),"-")</f>
        <v>MT-Series</v>
      </c>
      <c r="U40" s="39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5">
        <v>1</v>
      </c>
      <c r="AG40" s="35" t="s">
        <v>1097</v>
      </c>
      <c r="AH40" s="38" t="str">
        <f t="shared" si="5"/>
        <v>259-02032</v>
      </c>
      <c r="AI40" s="594" t="str">
        <f t="shared" si="1"/>
        <v>=0</v>
      </c>
      <c r="AJ40" s="595" t="s">
        <v>1339</v>
      </c>
      <c r="AK40" s="592">
        <v>4</v>
      </c>
      <c r="AL40" s="592" t="s">
        <v>1338</v>
      </c>
      <c r="AM40" s="38"/>
      <c r="AN40" s="38"/>
      <c r="AO40" s="38"/>
      <c r="AP40" s="38"/>
      <c r="AQ40" s="38"/>
      <c r="AR40" s="38"/>
      <c r="AS40" s="38"/>
      <c r="AT40" s="38"/>
      <c r="AU40" s="38"/>
      <c r="AV40" s="40"/>
      <c r="AW40" s="38"/>
      <c r="AX40" s="38"/>
      <c r="AY40" s="38"/>
      <c r="AZ40" s="38"/>
      <c r="BA40" s="38"/>
      <c r="BB40" s="38"/>
    </row>
    <row r="41" spans="1:54" ht="15" customHeight="1">
      <c r="A41" s="469">
        <f>'Box Schedule'!A46</f>
        <v>0</v>
      </c>
      <c r="B41" s="634">
        <v>1.2</v>
      </c>
      <c r="C41" s="483" t="str">
        <f>IF((B41&gt;0),(VLOOKUP(J41,'Valve Reference'!$A$2:$K$389,3)),"-")</f>
        <v>0.5</v>
      </c>
      <c r="D41" s="471" t="s">
        <v>577</v>
      </c>
      <c r="E41" s="484">
        <f>IF((B41&gt;0),('Vlookup Tables'!$B$37),"-")</f>
        <v>5</v>
      </c>
      <c r="F41" s="585">
        <f t="shared" si="2"/>
        <v>0.53665631459994945</v>
      </c>
      <c r="G41" s="485">
        <f>IF((B41&gt;0),(VLOOKUP($B41,'Vlookup Tables'!$B$23:$F$33,2,TRUE)),"-")</f>
        <v>0.63</v>
      </c>
      <c r="H41" s="586">
        <f t="shared" si="3"/>
        <v>3.6281179138321993</v>
      </c>
      <c r="I41" s="476">
        <f>IF((B41&gt;0),('Vlookup Tables'!$B$35),"-")</f>
        <v>259</v>
      </c>
      <c r="J41" s="477" t="str">
        <f>IF(B41&gt;0,(IF(D41="2-Way",VLOOKUP($G41,'Vlookup Tables'!$C$23:$F$33,2,FALSE),VLOOKUP($G41,'Vlookup Tables'!$C$23:$F$33,3,FALSE))),"-")</f>
        <v>02032</v>
      </c>
      <c r="K41" s="478" t="str">
        <f>IF(B41&gt;0,(VLOOKUP(J41,'Valve Reference'!$A$2:$K$389,4)),"-")</f>
        <v>Standard</v>
      </c>
      <c r="L41" s="478" t="str">
        <f>IF(B41&gt;0,(VLOOKUP(J41,'Valve Reference'!$A$2:$K$389,5)),"-")</f>
        <v>BR</v>
      </c>
      <c r="M41" s="478" t="str">
        <f>IF(B41&gt;0,(VLOOKUP(J41,'Valve Reference'!$A$2:$K$389,8)),"-")</f>
        <v>Linear</v>
      </c>
      <c r="N41" s="478" t="str">
        <f>IF(B41&gt;0,(VLOOKUP(J41,'Valve Reference'!$A$2:$K$389,10)),"-")</f>
        <v>FxF</v>
      </c>
      <c r="O41" s="479" t="str">
        <f>IF(B41&gt;0,(VLOOKUP(J41,'Valve Reference'!$A$2:$K$389,11)),"-")</f>
        <v>Globe-Powermite</v>
      </c>
      <c r="P41" s="480" t="str">
        <f>IF(B41&gt;0,(VLOOKUP(I41,'Actuator Reference'!$A$2:$H$54,2)),"-")</f>
        <v>SSC81U</v>
      </c>
      <c r="Q41" s="480" t="str">
        <f>IF(B41&gt;0,(VLOOKUP(I41,'Actuator Reference'!$A$2:$H$54,5)),"-")</f>
        <v>Float</v>
      </c>
      <c r="R41" s="480" t="str">
        <f>IF(B41&gt;0,(VLOOKUP(I41,'Actuator Reference'!$A$2:$H$54,6)),"-")</f>
        <v>NSR</v>
      </c>
      <c r="S41" s="480" t="str">
        <f>IF(B41&gt;0,(VLOOKUP(I41,'Actuator Reference'!$A$2:$H$54,7)),"-")</f>
        <v>24V</v>
      </c>
      <c r="T41" s="481" t="str">
        <f>IF(B41&gt;0,(VLOOKUP(I41,'Actuator Reference'!$A$2:$H$54,8)),"-")</f>
        <v>MT-Series</v>
      </c>
      <c r="U41" s="39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5">
        <v>1</v>
      </c>
      <c r="AG41" s="35" t="s">
        <v>1097</v>
      </c>
      <c r="AH41" s="38" t="str">
        <f t="shared" si="5"/>
        <v>259-02032</v>
      </c>
      <c r="AI41" s="594" t="str">
        <f t="shared" si="1"/>
        <v>=0</v>
      </c>
      <c r="AJ41" s="595" t="s">
        <v>1339</v>
      </c>
      <c r="AK41" s="592">
        <v>4</v>
      </c>
      <c r="AL41" s="592" t="s">
        <v>1338</v>
      </c>
      <c r="AM41" s="38"/>
      <c r="AN41" s="38"/>
      <c r="AO41" s="38"/>
      <c r="AP41" s="38"/>
      <c r="AQ41" s="38"/>
      <c r="AR41" s="38"/>
      <c r="AS41" s="38"/>
      <c r="AT41" s="38"/>
      <c r="AU41" s="38"/>
      <c r="AV41" s="40"/>
      <c r="AW41" s="38"/>
      <c r="AX41" s="38"/>
      <c r="AY41" s="38"/>
      <c r="AZ41" s="38"/>
      <c r="BA41" s="38"/>
      <c r="BB41" s="38"/>
    </row>
    <row r="42" spans="1:54" ht="15" customHeight="1">
      <c r="A42" s="469">
        <f>'Box Schedule'!A47</f>
        <v>0</v>
      </c>
      <c r="B42" s="634">
        <v>1.71</v>
      </c>
      <c r="C42" s="483" t="str">
        <f>IF((B42&gt;0),(VLOOKUP(J42,'Valve Reference'!$A$2:$K$389,3)),"-")</f>
        <v>0.5</v>
      </c>
      <c r="D42" s="471" t="s">
        <v>577</v>
      </c>
      <c r="E42" s="484">
        <f>IF((B42&gt;0),('Vlookup Tables'!$B$37),"-")</f>
        <v>5</v>
      </c>
      <c r="F42" s="585">
        <f t="shared" si="2"/>
        <v>0.76473524830492801</v>
      </c>
      <c r="G42" s="485">
        <f>IF((B42&gt;0),(VLOOKUP($B42,'Vlookup Tables'!$B$23:$F$33,2,TRUE)),"-")</f>
        <v>1</v>
      </c>
      <c r="H42" s="586">
        <f t="shared" si="3"/>
        <v>2.9241000000000001</v>
      </c>
      <c r="I42" s="476">
        <f>IF((B42&gt;0),('Vlookup Tables'!$B$35),"-")</f>
        <v>259</v>
      </c>
      <c r="J42" s="477" t="str">
        <f>IF(B42&gt;0,(IF(D42="2-Way",VLOOKUP($G42,'Vlookup Tables'!$C$23:$F$33,2,FALSE),VLOOKUP($G42,'Vlookup Tables'!$C$23:$F$33,3,FALSE))),"-")</f>
        <v>02034</v>
      </c>
      <c r="K42" s="478" t="str">
        <f>IF(B42&gt;0,(VLOOKUP(J42,'Valve Reference'!$A$2:$K$389,4)),"-")</f>
        <v>Standard</v>
      </c>
      <c r="L42" s="478" t="str">
        <f>IF(B42&gt;0,(VLOOKUP(J42,'Valve Reference'!$A$2:$K$389,5)),"-")</f>
        <v>BR</v>
      </c>
      <c r="M42" s="478" t="str">
        <f>IF(B42&gt;0,(VLOOKUP(J42,'Valve Reference'!$A$2:$K$389,8)),"-")</f>
        <v>Linear</v>
      </c>
      <c r="N42" s="478" t="str">
        <f>IF(B42&gt;0,(VLOOKUP(J42,'Valve Reference'!$A$2:$K$389,10)),"-")</f>
        <v>FxF</v>
      </c>
      <c r="O42" s="479" t="str">
        <f>IF(B42&gt;0,(VLOOKUP(J42,'Valve Reference'!$A$2:$K$389,11)),"-")</f>
        <v>Globe-Powermite</v>
      </c>
      <c r="P42" s="480" t="str">
        <f>IF(B42&gt;0,(VLOOKUP(I42,'Actuator Reference'!$A$2:$H$54,2)),"-")</f>
        <v>SSC81U</v>
      </c>
      <c r="Q42" s="480" t="str">
        <f>IF(B42&gt;0,(VLOOKUP(I42,'Actuator Reference'!$A$2:$H$54,5)),"-")</f>
        <v>Float</v>
      </c>
      <c r="R42" s="480" t="str">
        <f>IF(B42&gt;0,(VLOOKUP(I42,'Actuator Reference'!$A$2:$H$54,6)),"-")</f>
        <v>NSR</v>
      </c>
      <c r="S42" s="480" t="str">
        <f>IF(B42&gt;0,(VLOOKUP(I42,'Actuator Reference'!$A$2:$H$54,7)),"-")</f>
        <v>24V</v>
      </c>
      <c r="T42" s="481" t="str">
        <f>IF(B42&gt;0,(VLOOKUP(I42,'Actuator Reference'!$A$2:$H$54,8)),"-")</f>
        <v>MT-Series</v>
      </c>
      <c r="U42" s="39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5">
        <v>1</v>
      </c>
      <c r="AG42" s="35" t="s">
        <v>1097</v>
      </c>
      <c r="AH42" s="38" t="str">
        <f t="shared" si="5"/>
        <v>259-02034</v>
      </c>
      <c r="AI42" s="594" t="str">
        <f t="shared" si="1"/>
        <v>=0</v>
      </c>
      <c r="AJ42" s="595" t="s">
        <v>1339</v>
      </c>
      <c r="AK42" s="592">
        <v>4</v>
      </c>
      <c r="AL42" s="592" t="s">
        <v>1338</v>
      </c>
      <c r="AM42" s="38"/>
      <c r="AN42" s="38"/>
      <c r="AO42" s="38"/>
      <c r="AP42" s="38"/>
      <c r="AQ42" s="38"/>
      <c r="AR42" s="38"/>
      <c r="AS42" s="38"/>
      <c r="AT42" s="38"/>
      <c r="AU42" s="38"/>
      <c r="AV42" s="40"/>
      <c r="AW42" s="38"/>
      <c r="AX42" s="38"/>
      <c r="AY42" s="38"/>
      <c r="AZ42" s="38"/>
      <c r="BA42" s="38"/>
      <c r="BB42" s="38"/>
    </row>
    <row r="43" spans="1:54" ht="15" customHeight="1">
      <c r="A43" s="469">
        <f>'Box Schedule'!A48</f>
        <v>0</v>
      </c>
      <c r="B43" s="634">
        <v>0.78</v>
      </c>
      <c r="C43" s="483" t="str">
        <f>IF((B43&gt;0),(VLOOKUP(J43,'Valve Reference'!$A$2:$K$389,3)),"-")</f>
        <v>0.5</v>
      </c>
      <c r="D43" s="471" t="s">
        <v>577</v>
      </c>
      <c r="E43" s="484">
        <f>IF((B43&gt;0),('Vlookup Tables'!$B$37),"-")</f>
        <v>5</v>
      </c>
      <c r="F43" s="585">
        <f t="shared" si="2"/>
        <v>0.34882660448996716</v>
      </c>
      <c r="G43" s="485">
        <f>IF((B43&gt;0),(VLOOKUP($B43,'Vlookup Tables'!$B$23:$F$33,2,TRUE)),"-")</f>
        <v>0.4</v>
      </c>
      <c r="H43" s="586">
        <f t="shared" si="3"/>
        <v>3.8024999999999993</v>
      </c>
      <c r="I43" s="476">
        <f>IF((B43&gt;0),('Vlookup Tables'!$B$35),"-")</f>
        <v>259</v>
      </c>
      <c r="J43" s="477" t="str">
        <f>IF(B43&gt;0,(IF(D43="2-Way",VLOOKUP($G43,'Vlookup Tables'!$C$23:$F$33,2,FALSE),VLOOKUP($G43,'Vlookup Tables'!$C$23:$F$33,3,FALSE))),"-")</f>
        <v>02030</v>
      </c>
      <c r="K43" s="478" t="str">
        <f>IF(B43&gt;0,(VLOOKUP(J43,'Valve Reference'!$A$2:$K$389,4)),"-")</f>
        <v>Standard</v>
      </c>
      <c r="L43" s="478" t="str">
        <f>IF(B43&gt;0,(VLOOKUP(J43,'Valve Reference'!$A$2:$K$389,5)),"-")</f>
        <v>BR</v>
      </c>
      <c r="M43" s="478" t="str">
        <f>IF(B43&gt;0,(VLOOKUP(J43,'Valve Reference'!$A$2:$K$389,8)),"-")</f>
        <v>Linear</v>
      </c>
      <c r="N43" s="478" t="str">
        <f>IF(B43&gt;0,(VLOOKUP(J43,'Valve Reference'!$A$2:$K$389,10)),"-")</f>
        <v>FxF</v>
      </c>
      <c r="O43" s="479" t="str">
        <f>IF(B43&gt;0,(VLOOKUP(J43,'Valve Reference'!$A$2:$K$389,11)),"-")</f>
        <v>Globe-Powermite</v>
      </c>
      <c r="P43" s="480" t="str">
        <f>IF(B43&gt;0,(VLOOKUP(I43,'Actuator Reference'!$A$2:$H$54,2)),"-")</f>
        <v>SSC81U</v>
      </c>
      <c r="Q43" s="480" t="str">
        <f>IF(B43&gt;0,(VLOOKUP(I43,'Actuator Reference'!$A$2:$H$54,5)),"-")</f>
        <v>Float</v>
      </c>
      <c r="R43" s="480" t="str">
        <f>IF(B43&gt;0,(VLOOKUP(I43,'Actuator Reference'!$A$2:$H$54,6)),"-")</f>
        <v>NSR</v>
      </c>
      <c r="S43" s="480" t="str">
        <f>IF(B43&gt;0,(VLOOKUP(I43,'Actuator Reference'!$A$2:$H$54,7)),"-")</f>
        <v>24V</v>
      </c>
      <c r="T43" s="481" t="str">
        <f>IF(B43&gt;0,(VLOOKUP(I43,'Actuator Reference'!$A$2:$H$54,8)),"-")</f>
        <v>MT-Series</v>
      </c>
      <c r="U43" s="39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5">
        <v>1</v>
      </c>
      <c r="AG43" s="35" t="s">
        <v>1097</v>
      </c>
      <c r="AH43" s="38" t="str">
        <f t="shared" si="5"/>
        <v>259-02030</v>
      </c>
      <c r="AI43" s="594" t="str">
        <f t="shared" si="1"/>
        <v>=0</v>
      </c>
      <c r="AJ43" s="595" t="s">
        <v>1339</v>
      </c>
      <c r="AK43" s="592">
        <v>4</v>
      </c>
      <c r="AL43" s="592" t="s">
        <v>1338</v>
      </c>
      <c r="AM43" s="38"/>
      <c r="AN43" s="38"/>
      <c r="AO43" s="38"/>
      <c r="AP43" s="38"/>
      <c r="AQ43" s="38"/>
      <c r="AR43" s="38"/>
      <c r="AS43" s="38"/>
      <c r="AT43" s="38"/>
      <c r="AU43" s="38"/>
      <c r="AV43" s="40"/>
      <c r="AW43" s="38"/>
      <c r="AX43" s="38"/>
      <c r="AY43" s="38"/>
      <c r="AZ43" s="38"/>
      <c r="BA43" s="38"/>
      <c r="BB43" s="38"/>
    </row>
    <row r="44" spans="1:54" ht="15" customHeight="1">
      <c r="A44" s="469">
        <f>'Box Schedule'!A49</f>
        <v>0</v>
      </c>
      <c r="B44" s="634">
        <v>1.91</v>
      </c>
      <c r="C44" s="483" t="str">
        <f>IF((B44&gt;0),(VLOOKUP(J44,'Valve Reference'!$A$2:$K$389,3)),"-")</f>
        <v>0.5</v>
      </c>
      <c r="D44" s="471" t="s">
        <v>577</v>
      </c>
      <c r="E44" s="484">
        <f>IF((B44&gt;0),('Vlookup Tables'!$B$37),"-")</f>
        <v>5</v>
      </c>
      <c r="F44" s="585">
        <f t="shared" si="2"/>
        <v>0.85417796740491958</v>
      </c>
      <c r="G44" s="485">
        <f>IF((B44&gt;0),(VLOOKUP($B44,'Vlookup Tables'!$B$23:$F$33,2,TRUE)),"-")</f>
        <v>1</v>
      </c>
      <c r="H44" s="586">
        <f t="shared" si="3"/>
        <v>3.6481000000000003</v>
      </c>
      <c r="I44" s="476">
        <f>IF((B44&gt;0),('Vlookup Tables'!$B$35),"-")</f>
        <v>259</v>
      </c>
      <c r="J44" s="477" t="str">
        <f>IF(B44&gt;0,(IF(D44="2-Way",VLOOKUP($G44,'Vlookup Tables'!$C$23:$F$33,2,FALSE),VLOOKUP($G44,'Vlookup Tables'!$C$23:$F$33,3,FALSE))),"-")</f>
        <v>02034</v>
      </c>
      <c r="K44" s="478" t="str">
        <f>IF(B44&gt;0,(VLOOKUP(J44,'Valve Reference'!$A$2:$K$389,4)),"-")</f>
        <v>Standard</v>
      </c>
      <c r="L44" s="478" t="str">
        <f>IF(B44&gt;0,(VLOOKUP(J44,'Valve Reference'!$A$2:$K$389,5)),"-")</f>
        <v>BR</v>
      </c>
      <c r="M44" s="478" t="str">
        <f>IF(B44&gt;0,(VLOOKUP(J44,'Valve Reference'!$A$2:$K$389,8)),"-")</f>
        <v>Linear</v>
      </c>
      <c r="N44" s="478" t="str">
        <f>IF(B44&gt;0,(VLOOKUP(J44,'Valve Reference'!$A$2:$K$389,10)),"-")</f>
        <v>FxF</v>
      </c>
      <c r="O44" s="479" t="str">
        <f>IF(B44&gt;0,(VLOOKUP(J44,'Valve Reference'!$A$2:$K$389,11)),"-")</f>
        <v>Globe-Powermite</v>
      </c>
      <c r="P44" s="480" t="str">
        <f>IF(B44&gt;0,(VLOOKUP(I44,'Actuator Reference'!$A$2:$H$54,2)),"-")</f>
        <v>SSC81U</v>
      </c>
      <c r="Q44" s="480" t="str">
        <f>IF(B44&gt;0,(VLOOKUP(I44,'Actuator Reference'!$A$2:$H$54,5)),"-")</f>
        <v>Float</v>
      </c>
      <c r="R44" s="480" t="str">
        <f>IF(B44&gt;0,(VLOOKUP(I44,'Actuator Reference'!$A$2:$H$54,6)),"-")</f>
        <v>NSR</v>
      </c>
      <c r="S44" s="480" t="str">
        <f>IF(B44&gt;0,(VLOOKUP(I44,'Actuator Reference'!$A$2:$H$54,7)),"-")</f>
        <v>24V</v>
      </c>
      <c r="T44" s="481" t="str">
        <f>IF(B44&gt;0,(VLOOKUP(I44,'Actuator Reference'!$A$2:$H$54,8)),"-")</f>
        <v>MT-Series</v>
      </c>
      <c r="U44" s="39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5">
        <v>1</v>
      </c>
      <c r="AG44" s="35" t="s">
        <v>1097</v>
      </c>
      <c r="AH44" s="38" t="str">
        <f t="shared" si="5"/>
        <v>259-02034</v>
      </c>
      <c r="AI44" s="594" t="str">
        <f t="shared" si="1"/>
        <v>=0</v>
      </c>
      <c r="AJ44" s="595" t="s">
        <v>1339</v>
      </c>
      <c r="AK44" s="592">
        <v>4</v>
      </c>
      <c r="AL44" s="592" t="s">
        <v>1338</v>
      </c>
      <c r="AM44" s="38"/>
      <c r="AN44" s="38"/>
      <c r="AO44" s="38"/>
      <c r="AP44" s="38"/>
      <c r="AQ44" s="38"/>
      <c r="AR44" s="38"/>
      <c r="AS44" s="38"/>
      <c r="AT44" s="38"/>
      <c r="AU44" s="38"/>
      <c r="AV44" s="40"/>
      <c r="AW44" s="38"/>
      <c r="AX44" s="38"/>
      <c r="AY44" s="38"/>
      <c r="AZ44" s="38"/>
      <c r="BA44" s="38"/>
      <c r="BB44" s="38"/>
    </row>
    <row r="45" spans="1:54" ht="15" customHeight="1">
      <c r="A45" s="469">
        <f>'Box Schedule'!A50</f>
        <v>0</v>
      </c>
      <c r="B45" s="634">
        <v>0.73</v>
      </c>
      <c r="C45" s="483" t="str">
        <f>IF((B45&gt;0),(VLOOKUP(J45,'Valve Reference'!$A$2:$K$389,3)),"-")</f>
        <v>0.5</v>
      </c>
      <c r="D45" s="471" t="s">
        <v>577</v>
      </c>
      <c r="E45" s="484">
        <f>IF((B45&gt;0),('Vlookup Tables'!$B$37),"-")</f>
        <v>5</v>
      </c>
      <c r="F45" s="585">
        <f t="shared" si="2"/>
        <v>0.32646592471496927</v>
      </c>
      <c r="G45" s="485">
        <f>IF((B45&gt;0),(VLOOKUP($B45,'Vlookup Tables'!$B$23:$F$33,2,TRUE)),"-")</f>
        <v>0.4</v>
      </c>
      <c r="H45" s="586">
        <f t="shared" si="3"/>
        <v>3.3306249999999995</v>
      </c>
      <c r="I45" s="476">
        <f>IF((B45&gt;0),('Vlookup Tables'!$B$35),"-")</f>
        <v>259</v>
      </c>
      <c r="J45" s="477" t="str">
        <f>IF(B45&gt;0,(IF(D45="2-Way",VLOOKUP($G45,'Vlookup Tables'!$C$23:$F$33,2,FALSE),VLOOKUP($G45,'Vlookup Tables'!$C$23:$F$33,3,FALSE))),"-")</f>
        <v>02030</v>
      </c>
      <c r="K45" s="478" t="str">
        <f>IF(B45&gt;0,(VLOOKUP(J45,'Valve Reference'!$A$2:$K$389,4)),"-")</f>
        <v>Standard</v>
      </c>
      <c r="L45" s="478" t="str">
        <f>IF(B45&gt;0,(VLOOKUP(J45,'Valve Reference'!$A$2:$K$389,5)),"-")</f>
        <v>BR</v>
      </c>
      <c r="M45" s="478" t="str">
        <f>IF(B45&gt;0,(VLOOKUP(J45,'Valve Reference'!$A$2:$K$389,8)),"-")</f>
        <v>Linear</v>
      </c>
      <c r="N45" s="478" t="str">
        <f>IF(B45&gt;0,(VLOOKUP(J45,'Valve Reference'!$A$2:$K$389,10)),"-")</f>
        <v>FxF</v>
      </c>
      <c r="O45" s="479" t="str">
        <f>IF(B45&gt;0,(VLOOKUP(J45,'Valve Reference'!$A$2:$K$389,11)),"-")</f>
        <v>Globe-Powermite</v>
      </c>
      <c r="P45" s="480" t="str">
        <f>IF(B45&gt;0,(VLOOKUP(I45,'Actuator Reference'!$A$2:$H$54,2)),"-")</f>
        <v>SSC81U</v>
      </c>
      <c r="Q45" s="480" t="str">
        <f>IF(B45&gt;0,(VLOOKUP(I45,'Actuator Reference'!$A$2:$H$54,5)),"-")</f>
        <v>Float</v>
      </c>
      <c r="R45" s="480" t="str">
        <f>IF(B45&gt;0,(VLOOKUP(I45,'Actuator Reference'!$A$2:$H$54,6)),"-")</f>
        <v>NSR</v>
      </c>
      <c r="S45" s="480" t="str">
        <f>IF(B45&gt;0,(VLOOKUP(I45,'Actuator Reference'!$A$2:$H$54,7)),"-")</f>
        <v>24V</v>
      </c>
      <c r="T45" s="481" t="str">
        <f>IF(B45&gt;0,(VLOOKUP(I45,'Actuator Reference'!$A$2:$H$54,8)),"-")</f>
        <v>MT-Series</v>
      </c>
      <c r="U45" s="39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5">
        <v>1</v>
      </c>
      <c r="AG45" s="35" t="s">
        <v>1097</v>
      </c>
      <c r="AH45" s="38" t="str">
        <f t="shared" si="5"/>
        <v>259-02030</v>
      </c>
      <c r="AI45" s="594" t="str">
        <f t="shared" si="1"/>
        <v>=0</v>
      </c>
      <c r="AJ45" s="595" t="s">
        <v>1339</v>
      </c>
      <c r="AK45" s="592">
        <v>4</v>
      </c>
      <c r="AL45" s="592" t="s">
        <v>1338</v>
      </c>
      <c r="AM45" s="38"/>
      <c r="AN45" s="38"/>
      <c r="AO45" s="38"/>
      <c r="AP45" s="38"/>
      <c r="AQ45" s="38"/>
      <c r="AR45" s="38"/>
      <c r="AS45" s="38"/>
      <c r="AT45" s="38"/>
      <c r="AU45" s="38"/>
      <c r="AV45" s="40"/>
      <c r="AW45" s="38"/>
      <c r="AX45" s="38"/>
      <c r="AY45" s="38"/>
      <c r="AZ45" s="38"/>
      <c r="BA45" s="38"/>
      <c r="BB45" s="38"/>
    </row>
    <row r="46" spans="1:54" ht="15" customHeight="1">
      <c r="A46" s="469">
        <f>'Box Schedule'!A51</f>
        <v>0</v>
      </c>
      <c r="B46" s="482">
        <f>'Box Schedule'!AV51</f>
        <v>0</v>
      </c>
      <c r="C46" s="483" t="str">
        <f>IF((B46&gt;0),(VLOOKUP(J46,'Valve Reference'!$A$2:$K$389,3)),"-")</f>
        <v>-</v>
      </c>
      <c r="D46" s="471" t="s">
        <v>577</v>
      </c>
      <c r="E46" s="484" t="str">
        <f>IF((B46&gt;0),('Vlookup Tables'!$B$37),"-")</f>
        <v>-</v>
      </c>
      <c r="F46" s="585" t="str">
        <f t="shared" si="2"/>
        <v>-</v>
      </c>
      <c r="G46" s="485" t="str">
        <f>IF((B46&gt;0),(VLOOKUP($B46,'Vlookup Tables'!$B$23:$F$33,2,TRUE)),"-")</f>
        <v>-</v>
      </c>
      <c r="H46" s="586" t="str">
        <f t="shared" si="3"/>
        <v>-</v>
      </c>
      <c r="I46" s="476" t="str">
        <f>IF((B46&gt;0),('Vlookup Tables'!$B$35),"-")</f>
        <v>-</v>
      </c>
      <c r="J46" s="477" t="str">
        <f>IF(B46&gt;0,(IF(D46="2-Way",VLOOKUP($G46,'Vlookup Tables'!$C$23:$F$33,2,FALSE),VLOOKUP($G46,'Vlookup Tables'!$C$23:$F$33,3,FALSE))),"-")</f>
        <v>-</v>
      </c>
      <c r="K46" s="478" t="str">
        <f>IF(B46&gt;0,(VLOOKUP(J46,'Valve Reference'!$A$2:$K$389,4)),"-")</f>
        <v>-</v>
      </c>
      <c r="L46" s="478" t="str">
        <f>IF(B46&gt;0,(VLOOKUP(J46,'Valve Reference'!$A$2:$K$389,5)),"-")</f>
        <v>-</v>
      </c>
      <c r="M46" s="478" t="str">
        <f>IF(B46&gt;0,(VLOOKUP(J46,'Valve Reference'!$A$2:$K$389,8)),"-")</f>
        <v>-</v>
      </c>
      <c r="N46" s="478" t="str">
        <f>IF(B46&gt;0,(VLOOKUP(J46,'Valve Reference'!$A$2:$K$389,10)),"-")</f>
        <v>-</v>
      </c>
      <c r="O46" s="479" t="str">
        <f>IF(B46&gt;0,(VLOOKUP(J46,'Valve Reference'!$A$2:$K$389,11)),"-")</f>
        <v>-</v>
      </c>
      <c r="P46" s="480" t="str">
        <f>IF(B46&gt;0,(VLOOKUP(I46,'Actuator Reference'!$A$2:$H$54,2)),"-")</f>
        <v>-</v>
      </c>
      <c r="Q46" s="480" t="str">
        <f>IF(B46&gt;0,(VLOOKUP(I46,'Actuator Reference'!$A$2:$H$54,5)),"-")</f>
        <v>-</v>
      </c>
      <c r="R46" s="480" t="str">
        <f>IF(B46&gt;0,(VLOOKUP(I46,'Actuator Reference'!$A$2:$H$54,6)),"-")</f>
        <v>-</v>
      </c>
      <c r="S46" s="480" t="str">
        <f>IF(B46&gt;0,(VLOOKUP(I46,'Actuator Reference'!$A$2:$H$54,7)),"-")</f>
        <v>-</v>
      </c>
      <c r="T46" s="481" t="str">
        <f>IF(B46&gt;0,(VLOOKUP(I46,'Actuator Reference'!$A$2:$H$54,8)),"-")</f>
        <v>-</v>
      </c>
      <c r="U46" s="39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5">
        <v>1</v>
      </c>
      <c r="AG46" s="35" t="s">
        <v>1097</v>
      </c>
      <c r="AH46" s="38" t="str">
        <f t="shared" si="5"/>
        <v>---</v>
      </c>
      <c r="AI46" s="594" t="str">
        <f t="shared" si="1"/>
        <v>=0</v>
      </c>
      <c r="AJ46" s="595" t="s">
        <v>1339</v>
      </c>
      <c r="AK46" s="592">
        <v>4</v>
      </c>
      <c r="AL46" s="592" t="s">
        <v>1338</v>
      </c>
      <c r="AM46" s="38"/>
      <c r="AN46" s="38"/>
      <c r="AO46" s="38"/>
      <c r="AP46" s="38"/>
      <c r="AQ46" s="38"/>
      <c r="AR46" s="38"/>
      <c r="AS46" s="38"/>
      <c r="AT46" s="38"/>
      <c r="AU46" s="38"/>
      <c r="AV46" s="40"/>
      <c r="AW46" s="38"/>
      <c r="AX46" s="38"/>
      <c r="AY46" s="38"/>
      <c r="AZ46" s="38"/>
      <c r="BA46" s="38"/>
      <c r="BB46" s="38"/>
    </row>
    <row r="47" spans="1:54" ht="15" customHeight="1">
      <c r="A47" s="469">
        <f>'Box Schedule'!A52</f>
        <v>0</v>
      </c>
      <c r="B47" s="482">
        <f>'Box Schedule'!AV52</f>
        <v>0</v>
      </c>
      <c r="C47" s="483" t="str">
        <f>IF((B47&gt;0),(VLOOKUP(J47,'Valve Reference'!$A$2:$K$389,3)),"-")</f>
        <v>-</v>
      </c>
      <c r="D47" s="471" t="s">
        <v>577</v>
      </c>
      <c r="E47" s="484" t="str">
        <f>IF((B47&gt;0),('Vlookup Tables'!$B$37),"-")</f>
        <v>-</v>
      </c>
      <c r="F47" s="585" t="str">
        <f t="shared" si="2"/>
        <v>-</v>
      </c>
      <c r="G47" s="485" t="str">
        <f>IF((B47&gt;0),(VLOOKUP($B47,'Vlookup Tables'!$B$23:$F$33,2,TRUE)),"-")</f>
        <v>-</v>
      </c>
      <c r="H47" s="586" t="str">
        <f t="shared" si="3"/>
        <v>-</v>
      </c>
      <c r="I47" s="476" t="str">
        <f>IF((B47&gt;0),('Vlookup Tables'!$B$35),"-")</f>
        <v>-</v>
      </c>
      <c r="J47" s="477" t="str">
        <f>IF(B47&gt;0,(IF(D47="2-Way",VLOOKUP($G47,'Vlookup Tables'!$C$23:$F$33,2,FALSE),VLOOKUP($G47,'Vlookup Tables'!$C$23:$F$33,3,FALSE))),"-")</f>
        <v>-</v>
      </c>
      <c r="K47" s="478" t="str">
        <f>IF(B47&gt;0,(VLOOKUP(J47,'Valve Reference'!$A$2:$K$389,4)),"-")</f>
        <v>-</v>
      </c>
      <c r="L47" s="478" t="str">
        <f>IF(B47&gt;0,(VLOOKUP(J47,'Valve Reference'!$A$2:$K$389,5)),"-")</f>
        <v>-</v>
      </c>
      <c r="M47" s="478" t="str">
        <f>IF(B47&gt;0,(VLOOKUP(J47,'Valve Reference'!$A$2:$K$389,8)),"-")</f>
        <v>-</v>
      </c>
      <c r="N47" s="478" t="str">
        <f>IF(B47&gt;0,(VLOOKUP(J47,'Valve Reference'!$A$2:$K$389,10)),"-")</f>
        <v>-</v>
      </c>
      <c r="O47" s="479" t="str">
        <f>IF(B47&gt;0,(VLOOKUP(J47,'Valve Reference'!$A$2:$K$389,11)),"-")</f>
        <v>-</v>
      </c>
      <c r="P47" s="480" t="str">
        <f>IF(B47&gt;0,(VLOOKUP(I47,'Actuator Reference'!$A$2:$H$54,2)),"-")</f>
        <v>-</v>
      </c>
      <c r="Q47" s="480" t="str">
        <f>IF(B47&gt;0,(VLOOKUP(I47,'Actuator Reference'!$A$2:$H$54,5)),"-")</f>
        <v>-</v>
      </c>
      <c r="R47" s="480" t="str">
        <f>IF(B47&gt;0,(VLOOKUP(I47,'Actuator Reference'!$A$2:$H$54,6)),"-")</f>
        <v>-</v>
      </c>
      <c r="S47" s="480" t="str">
        <f>IF(B47&gt;0,(VLOOKUP(I47,'Actuator Reference'!$A$2:$H$54,7)),"-")</f>
        <v>-</v>
      </c>
      <c r="T47" s="481" t="str">
        <f>IF(B47&gt;0,(VLOOKUP(I47,'Actuator Reference'!$A$2:$H$54,8)),"-")</f>
        <v>-</v>
      </c>
      <c r="U47" s="39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5">
        <v>1</v>
      </c>
      <c r="AG47" s="35" t="s">
        <v>1097</v>
      </c>
      <c r="AH47" s="38" t="str">
        <f t="shared" si="5"/>
        <v>---</v>
      </c>
      <c r="AI47" s="594" t="str">
        <f t="shared" si="1"/>
        <v>=0</v>
      </c>
      <c r="AJ47" s="595" t="s">
        <v>1339</v>
      </c>
      <c r="AK47" s="592">
        <v>4</v>
      </c>
      <c r="AL47" s="592" t="s">
        <v>1338</v>
      </c>
      <c r="AM47" s="38"/>
      <c r="AN47" s="38"/>
      <c r="AO47" s="38"/>
      <c r="AP47" s="38"/>
      <c r="AQ47" s="38"/>
      <c r="AR47" s="38"/>
      <c r="AS47" s="38"/>
      <c r="AT47" s="38"/>
      <c r="AU47" s="38"/>
      <c r="AV47" s="40"/>
      <c r="AW47" s="38"/>
      <c r="AX47" s="38"/>
      <c r="AY47" s="38"/>
      <c r="AZ47" s="38"/>
      <c r="BA47" s="38"/>
      <c r="BB47" s="38"/>
    </row>
    <row r="48" spans="1:54" ht="15" customHeight="1">
      <c r="A48" s="469">
        <f>'Box Schedule'!A53</f>
        <v>0</v>
      </c>
      <c r="B48" s="482">
        <f>'Box Schedule'!AV53</f>
        <v>0</v>
      </c>
      <c r="C48" s="483" t="str">
        <f>IF((B48&gt;0),(VLOOKUP(J48,'Valve Reference'!$A$2:$K$389,3)),"-")</f>
        <v>-</v>
      </c>
      <c r="D48" s="471" t="s">
        <v>577</v>
      </c>
      <c r="E48" s="484" t="str">
        <f>IF((B48&gt;0),('Vlookup Tables'!$B$37),"-")</f>
        <v>-</v>
      </c>
      <c r="F48" s="585" t="str">
        <f t="shared" si="2"/>
        <v>-</v>
      </c>
      <c r="G48" s="485" t="str">
        <f>IF((B48&gt;0),(VLOOKUP($B48,'Vlookup Tables'!$B$23:$F$33,2,TRUE)),"-")</f>
        <v>-</v>
      </c>
      <c r="H48" s="586" t="str">
        <f t="shared" si="3"/>
        <v>-</v>
      </c>
      <c r="I48" s="476" t="str">
        <f>IF((B48&gt;0),('Vlookup Tables'!$B$35),"-")</f>
        <v>-</v>
      </c>
      <c r="J48" s="477" t="str">
        <f>IF(B48&gt;0,(IF(D48="2-Way",VLOOKUP($G48,'Vlookup Tables'!$C$23:$F$33,2,FALSE),VLOOKUP($G48,'Vlookup Tables'!$C$23:$F$33,3,FALSE))),"-")</f>
        <v>-</v>
      </c>
      <c r="K48" s="478" t="str">
        <f>IF(B48&gt;0,(VLOOKUP(J48,'Valve Reference'!$A$2:$K$389,4)),"-")</f>
        <v>-</v>
      </c>
      <c r="L48" s="478" t="str">
        <f>IF(B48&gt;0,(VLOOKUP(J48,'Valve Reference'!$A$2:$K$389,5)),"-")</f>
        <v>-</v>
      </c>
      <c r="M48" s="478" t="str">
        <f>IF(B48&gt;0,(VLOOKUP(J48,'Valve Reference'!$A$2:$K$389,8)),"-")</f>
        <v>-</v>
      </c>
      <c r="N48" s="478" t="str">
        <f>IF(B48&gt;0,(VLOOKUP(J48,'Valve Reference'!$A$2:$K$389,10)),"-")</f>
        <v>-</v>
      </c>
      <c r="O48" s="479" t="str">
        <f>IF(B48&gt;0,(VLOOKUP(J48,'Valve Reference'!$A$2:$K$389,11)),"-")</f>
        <v>-</v>
      </c>
      <c r="P48" s="480" t="str">
        <f>IF(B48&gt;0,(VLOOKUP(I48,'Actuator Reference'!$A$2:$H$54,2)),"-")</f>
        <v>-</v>
      </c>
      <c r="Q48" s="480" t="str">
        <f>IF(B48&gt;0,(VLOOKUP(I48,'Actuator Reference'!$A$2:$H$54,5)),"-")</f>
        <v>-</v>
      </c>
      <c r="R48" s="480" t="str">
        <f>IF(B48&gt;0,(VLOOKUP(I48,'Actuator Reference'!$A$2:$H$54,6)),"-")</f>
        <v>-</v>
      </c>
      <c r="S48" s="480" t="str">
        <f>IF(B48&gt;0,(VLOOKUP(I48,'Actuator Reference'!$A$2:$H$54,7)),"-")</f>
        <v>-</v>
      </c>
      <c r="T48" s="481" t="str">
        <f>IF(B48&gt;0,(VLOOKUP(I48,'Actuator Reference'!$A$2:$H$54,8)),"-")</f>
        <v>-</v>
      </c>
      <c r="U48" s="39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5">
        <v>1</v>
      </c>
      <c r="AG48" s="35" t="s">
        <v>1097</v>
      </c>
      <c r="AH48" s="38" t="str">
        <f t="shared" si="5"/>
        <v>---</v>
      </c>
      <c r="AI48" s="594" t="str">
        <f t="shared" si="1"/>
        <v>=0</v>
      </c>
      <c r="AJ48" s="595" t="s">
        <v>1339</v>
      </c>
      <c r="AK48" s="592">
        <v>4</v>
      </c>
      <c r="AL48" s="592" t="s">
        <v>1338</v>
      </c>
      <c r="AM48" s="38"/>
      <c r="AN48" s="38"/>
      <c r="AO48" s="38"/>
      <c r="AP48" s="38"/>
      <c r="AQ48" s="38"/>
      <c r="AR48" s="38"/>
      <c r="AS48" s="38"/>
      <c r="AT48" s="38"/>
      <c r="AU48" s="38"/>
      <c r="AV48" s="40"/>
      <c r="AW48" s="38"/>
      <c r="AX48" s="38"/>
      <c r="AY48" s="38"/>
      <c r="AZ48" s="38"/>
      <c r="BA48" s="38"/>
      <c r="BB48" s="38"/>
    </row>
    <row r="49" spans="1:54" ht="15" customHeight="1">
      <c r="A49" s="469">
        <f>'Box Schedule'!A54</f>
        <v>0</v>
      </c>
      <c r="B49" s="482">
        <f>'Box Schedule'!AV54</f>
        <v>0</v>
      </c>
      <c r="C49" s="483" t="str">
        <f>IF((B49&gt;0),(VLOOKUP(J49,'Valve Reference'!$A$2:$K$389,3)),"-")</f>
        <v>-</v>
      </c>
      <c r="D49" s="471" t="s">
        <v>577</v>
      </c>
      <c r="E49" s="484" t="str">
        <f>IF((B49&gt;0),('Vlookup Tables'!$B$37),"-")</f>
        <v>-</v>
      </c>
      <c r="F49" s="585" t="str">
        <f t="shared" si="2"/>
        <v>-</v>
      </c>
      <c r="G49" s="485" t="str">
        <f>IF((B49&gt;0),(VLOOKUP($B49,'Vlookup Tables'!$B$23:$F$33,2,TRUE)),"-")</f>
        <v>-</v>
      </c>
      <c r="H49" s="586" t="str">
        <f t="shared" si="3"/>
        <v>-</v>
      </c>
      <c r="I49" s="476" t="str">
        <f>IF((B49&gt;0),('Vlookup Tables'!$B$35),"-")</f>
        <v>-</v>
      </c>
      <c r="J49" s="477" t="str">
        <f>IF(B49&gt;0,(IF(D49="2-Way",VLOOKUP($G49,'Vlookup Tables'!$C$23:$F$33,2,FALSE),VLOOKUP($G49,'Vlookup Tables'!$C$23:$F$33,3,FALSE))),"-")</f>
        <v>-</v>
      </c>
      <c r="K49" s="478" t="str">
        <f>IF(B49&gt;0,(VLOOKUP(J49,'Valve Reference'!$A$2:$K$389,4)),"-")</f>
        <v>-</v>
      </c>
      <c r="L49" s="478" t="str">
        <f>IF(B49&gt;0,(VLOOKUP(J49,'Valve Reference'!$A$2:$K$389,5)),"-")</f>
        <v>-</v>
      </c>
      <c r="M49" s="478" t="str">
        <f>IF(B49&gt;0,(VLOOKUP(J49,'Valve Reference'!$A$2:$K$389,8)),"-")</f>
        <v>-</v>
      </c>
      <c r="N49" s="478" t="str">
        <f>IF(B49&gt;0,(VLOOKUP(J49,'Valve Reference'!$A$2:$K$389,10)),"-")</f>
        <v>-</v>
      </c>
      <c r="O49" s="479" t="str">
        <f>IF(B49&gt;0,(VLOOKUP(J49,'Valve Reference'!$A$2:$K$389,11)),"-")</f>
        <v>-</v>
      </c>
      <c r="P49" s="480" t="str">
        <f>IF(B49&gt;0,(VLOOKUP(I49,'Actuator Reference'!$A$2:$H$54,2)),"-")</f>
        <v>-</v>
      </c>
      <c r="Q49" s="480" t="str">
        <f>IF(B49&gt;0,(VLOOKUP(I49,'Actuator Reference'!$A$2:$H$54,5)),"-")</f>
        <v>-</v>
      </c>
      <c r="R49" s="480" t="str">
        <f>IF(B49&gt;0,(VLOOKUP(I49,'Actuator Reference'!$A$2:$H$54,6)),"-")</f>
        <v>-</v>
      </c>
      <c r="S49" s="480" t="str">
        <f>IF(B49&gt;0,(VLOOKUP(I49,'Actuator Reference'!$A$2:$H$54,7)),"-")</f>
        <v>-</v>
      </c>
      <c r="T49" s="481" t="str">
        <f>IF(B49&gt;0,(VLOOKUP(I49,'Actuator Reference'!$A$2:$H$54,8)),"-")</f>
        <v>-</v>
      </c>
      <c r="U49" s="39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5">
        <v>1</v>
      </c>
      <c r="AG49" s="35" t="s">
        <v>1097</v>
      </c>
      <c r="AH49" s="38" t="str">
        <f t="shared" si="5"/>
        <v>---</v>
      </c>
      <c r="AI49" s="594" t="str">
        <f t="shared" si="1"/>
        <v>=0</v>
      </c>
      <c r="AJ49" s="595" t="s">
        <v>1339</v>
      </c>
      <c r="AK49" s="592">
        <v>4</v>
      </c>
      <c r="AL49" s="592" t="s">
        <v>1338</v>
      </c>
      <c r="AM49" s="38"/>
      <c r="AN49" s="38"/>
      <c r="AO49" s="38"/>
      <c r="AP49" s="38"/>
      <c r="AQ49" s="38"/>
      <c r="AR49" s="38"/>
      <c r="AS49" s="38"/>
      <c r="AT49" s="38"/>
      <c r="AU49" s="38"/>
      <c r="AV49" s="40"/>
      <c r="AW49" s="38"/>
      <c r="AX49" s="38"/>
      <c r="AY49" s="38"/>
      <c r="AZ49" s="38"/>
      <c r="BA49" s="38"/>
      <c r="BB49" s="38"/>
    </row>
    <row r="50" spans="1:54" ht="15" customHeight="1">
      <c r="A50" s="469">
        <f>'Box Schedule'!A55</f>
        <v>0</v>
      </c>
      <c r="B50" s="482">
        <f>'Box Schedule'!AV55</f>
        <v>0</v>
      </c>
      <c r="C50" s="483" t="str">
        <f>IF((B50&gt;0),(VLOOKUP(J50,'Valve Reference'!$A$2:$K$389,3)),"-")</f>
        <v>-</v>
      </c>
      <c r="D50" s="471" t="s">
        <v>577</v>
      </c>
      <c r="E50" s="484" t="str">
        <f>IF((B50&gt;0),('Vlookup Tables'!$B$37),"-")</f>
        <v>-</v>
      </c>
      <c r="F50" s="585" t="str">
        <f t="shared" si="2"/>
        <v>-</v>
      </c>
      <c r="G50" s="485" t="str">
        <f>IF((B50&gt;0),(VLOOKUP($B50,'Vlookup Tables'!$B$23:$F$33,2,TRUE)),"-")</f>
        <v>-</v>
      </c>
      <c r="H50" s="586" t="str">
        <f t="shared" si="3"/>
        <v>-</v>
      </c>
      <c r="I50" s="476" t="str">
        <f>IF((B50&gt;0),('Vlookup Tables'!$B$35),"-")</f>
        <v>-</v>
      </c>
      <c r="J50" s="477" t="str">
        <f>IF(B50&gt;0,(IF(D50="2-Way",VLOOKUP($G50,'Vlookup Tables'!$C$23:$F$33,2,FALSE),VLOOKUP($G50,'Vlookup Tables'!$C$23:$F$33,3,FALSE))),"-")</f>
        <v>-</v>
      </c>
      <c r="K50" s="478" t="str">
        <f>IF(B50&gt;0,(VLOOKUP(J50,'Valve Reference'!$A$2:$K$389,4)),"-")</f>
        <v>-</v>
      </c>
      <c r="L50" s="478" t="str">
        <f>IF(B50&gt;0,(VLOOKUP(J50,'Valve Reference'!$A$2:$K$389,5)),"-")</f>
        <v>-</v>
      </c>
      <c r="M50" s="478" t="str">
        <f>IF(B50&gt;0,(VLOOKUP(J50,'Valve Reference'!$A$2:$K$389,8)),"-")</f>
        <v>-</v>
      </c>
      <c r="N50" s="478" t="str">
        <f>IF(B50&gt;0,(VLOOKUP(J50,'Valve Reference'!$A$2:$K$389,10)),"-")</f>
        <v>-</v>
      </c>
      <c r="O50" s="479" t="str">
        <f>IF(B50&gt;0,(VLOOKUP(J50,'Valve Reference'!$A$2:$K$389,11)),"-")</f>
        <v>-</v>
      </c>
      <c r="P50" s="480" t="str">
        <f>IF(B50&gt;0,(VLOOKUP(I50,'Actuator Reference'!$A$2:$H$54,2)),"-")</f>
        <v>-</v>
      </c>
      <c r="Q50" s="480" t="str">
        <f>IF(B50&gt;0,(VLOOKUP(I50,'Actuator Reference'!$A$2:$H$54,5)),"-")</f>
        <v>-</v>
      </c>
      <c r="R50" s="480" t="str">
        <f>IF(B50&gt;0,(VLOOKUP(I50,'Actuator Reference'!$A$2:$H$54,6)),"-")</f>
        <v>-</v>
      </c>
      <c r="S50" s="480" t="str">
        <f>IF(B50&gt;0,(VLOOKUP(I50,'Actuator Reference'!$A$2:$H$54,7)),"-")</f>
        <v>-</v>
      </c>
      <c r="T50" s="481" t="str">
        <f>IF(B50&gt;0,(VLOOKUP(I50,'Actuator Reference'!$A$2:$H$54,8)),"-")</f>
        <v>-</v>
      </c>
      <c r="U50" s="39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5">
        <v>1</v>
      </c>
      <c r="AG50" s="35" t="s">
        <v>1097</v>
      </c>
      <c r="AH50" s="38" t="str">
        <f t="shared" si="5"/>
        <v>---</v>
      </c>
      <c r="AI50" s="594" t="str">
        <f t="shared" si="1"/>
        <v>=0</v>
      </c>
      <c r="AJ50" s="595" t="s">
        <v>1339</v>
      </c>
      <c r="AK50" s="592">
        <v>4</v>
      </c>
      <c r="AL50" s="592" t="s">
        <v>1338</v>
      </c>
      <c r="AM50" s="38"/>
      <c r="AN50" s="38"/>
      <c r="AO50" s="38"/>
      <c r="AP50" s="38"/>
      <c r="AQ50" s="38"/>
      <c r="AR50" s="38"/>
      <c r="AS50" s="38"/>
      <c r="AT50" s="38"/>
      <c r="AU50" s="38"/>
      <c r="AV50" s="40"/>
      <c r="AW50" s="38"/>
      <c r="AX50" s="38"/>
      <c r="AY50" s="38"/>
      <c r="AZ50" s="38"/>
      <c r="BA50" s="38"/>
      <c r="BB50" s="38"/>
    </row>
    <row r="51" spans="1:54" ht="15" customHeight="1">
      <c r="A51" s="469">
        <f>'Box Schedule'!A56</f>
        <v>0</v>
      </c>
      <c r="B51" s="482">
        <f>'Box Schedule'!AV56</f>
        <v>0</v>
      </c>
      <c r="C51" s="483" t="str">
        <f>IF((B51&gt;0),(VLOOKUP(J51,'Valve Reference'!$A$2:$K$389,3)),"-")</f>
        <v>-</v>
      </c>
      <c r="D51" s="471" t="s">
        <v>577</v>
      </c>
      <c r="E51" s="484" t="str">
        <f>IF((B51&gt;0),('Vlookup Tables'!$B$37),"-")</f>
        <v>-</v>
      </c>
      <c r="F51" s="585" t="str">
        <f t="shared" si="2"/>
        <v>-</v>
      </c>
      <c r="G51" s="485" t="str">
        <f>IF((B51&gt;0),(VLOOKUP($B51,'Vlookup Tables'!$B$23:$F$33,2,TRUE)),"-")</f>
        <v>-</v>
      </c>
      <c r="H51" s="586" t="str">
        <f t="shared" si="3"/>
        <v>-</v>
      </c>
      <c r="I51" s="476" t="str">
        <f>IF((B51&gt;0),('Vlookup Tables'!$B$35),"-")</f>
        <v>-</v>
      </c>
      <c r="J51" s="477" t="str">
        <f>IF(B51&gt;0,(IF(D51="2-Way",VLOOKUP($G51,'Vlookup Tables'!$C$23:$F$33,2,FALSE),VLOOKUP($G51,'Vlookup Tables'!$C$23:$F$33,3,FALSE))),"-")</f>
        <v>-</v>
      </c>
      <c r="K51" s="478" t="str">
        <f>IF(B51&gt;0,(VLOOKUP(J51,'Valve Reference'!$A$2:$K$389,4)),"-")</f>
        <v>-</v>
      </c>
      <c r="L51" s="478" t="str">
        <f>IF(B51&gt;0,(VLOOKUP(J51,'Valve Reference'!$A$2:$K$389,5)),"-")</f>
        <v>-</v>
      </c>
      <c r="M51" s="478" t="str">
        <f>IF(B51&gt;0,(VLOOKUP(J51,'Valve Reference'!$A$2:$K$389,8)),"-")</f>
        <v>-</v>
      </c>
      <c r="N51" s="478" t="str">
        <f>IF(B51&gt;0,(VLOOKUP(J51,'Valve Reference'!$A$2:$K$389,10)),"-")</f>
        <v>-</v>
      </c>
      <c r="O51" s="479" t="str">
        <f>IF(B51&gt;0,(VLOOKUP(J51,'Valve Reference'!$A$2:$K$389,11)),"-")</f>
        <v>-</v>
      </c>
      <c r="P51" s="480" t="str">
        <f>IF(B51&gt;0,(VLOOKUP(I51,'Actuator Reference'!$A$2:$H$54,2)),"-")</f>
        <v>-</v>
      </c>
      <c r="Q51" s="480" t="str">
        <f>IF(B51&gt;0,(VLOOKUP(I51,'Actuator Reference'!$A$2:$H$54,5)),"-")</f>
        <v>-</v>
      </c>
      <c r="R51" s="480" t="str">
        <f>IF(B51&gt;0,(VLOOKUP(I51,'Actuator Reference'!$A$2:$H$54,6)),"-")</f>
        <v>-</v>
      </c>
      <c r="S51" s="480" t="str">
        <f>IF(B51&gt;0,(VLOOKUP(I51,'Actuator Reference'!$A$2:$H$54,7)),"-")</f>
        <v>-</v>
      </c>
      <c r="T51" s="481" t="str">
        <f>IF(B51&gt;0,(VLOOKUP(I51,'Actuator Reference'!$A$2:$H$54,8)),"-")</f>
        <v>-</v>
      </c>
      <c r="U51" s="39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5">
        <v>1</v>
      </c>
      <c r="AG51" s="35" t="s">
        <v>1097</v>
      </c>
      <c r="AH51" s="38" t="str">
        <f t="shared" si="5"/>
        <v>---</v>
      </c>
      <c r="AI51" s="594" t="str">
        <f t="shared" si="1"/>
        <v>=0</v>
      </c>
      <c r="AJ51" s="595" t="s">
        <v>1339</v>
      </c>
      <c r="AK51" s="592">
        <v>4</v>
      </c>
      <c r="AL51" s="592" t="s">
        <v>1338</v>
      </c>
      <c r="AM51" s="38"/>
      <c r="AN51" s="38"/>
      <c r="AO51" s="38"/>
      <c r="AP51" s="38"/>
      <c r="AQ51" s="38"/>
      <c r="AR51" s="38"/>
      <c r="AS51" s="38"/>
      <c r="AT51" s="38"/>
      <c r="AU51" s="38"/>
      <c r="AV51" s="40"/>
      <c r="AW51" s="38"/>
      <c r="AX51" s="38"/>
      <c r="AY51" s="38"/>
      <c r="AZ51" s="38"/>
      <c r="BA51" s="38"/>
      <c r="BB51" s="38"/>
    </row>
    <row r="52" spans="1:54" ht="15" customHeight="1">
      <c r="A52" s="469">
        <f>'Box Schedule'!A57</f>
        <v>0</v>
      </c>
      <c r="B52" s="482">
        <f>'Box Schedule'!AV57</f>
        <v>0</v>
      </c>
      <c r="C52" s="483" t="str">
        <f>IF((B52&gt;0),(VLOOKUP(J52,'Valve Reference'!$A$2:$K$389,3)),"-")</f>
        <v>-</v>
      </c>
      <c r="D52" s="471" t="s">
        <v>577</v>
      </c>
      <c r="E52" s="484" t="str">
        <f>IF((B52&gt;0),('Vlookup Tables'!$B$37),"-")</f>
        <v>-</v>
      </c>
      <c r="F52" s="585" t="str">
        <f t="shared" si="2"/>
        <v>-</v>
      </c>
      <c r="G52" s="485" t="str">
        <f>IF((B52&gt;0),(VLOOKUP($B52,'Vlookup Tables'!$B$23:$F$33,2,TRUE)),"-")</f>
        <v>-</v>
      </c>
      <c r="H52" s="586" t="str">
        <f t="shared" si="3"/>
        <v>-</v>
      </c>
      <c r="I52" s="476" t="str">
        <f>IF((B52&gt;0),('Vlookup Tables'!$B$35),"-")</f>
        <v>-</v>
      </c>
      <c r="J52" s="477" t="str">
        <f>IF(B52&gt;0,(IF(D52="2-Way",VLOOKUP($G52,'Vlookup Tables'!$C$23:$F$33,2,FALSE),VLOOKUP($G52,'Vlookup Tables'!$C$23:$F$33,3,FALSE))),"-")</f>
        <v>-</v>
      </c>
      <c r="K52" s="478" t="str">
        <f>IF(B52&gt;0,(VLOOKUP(J52,'Valve Reference'!$A$2:$K$389,4)),"-")</f>
        <v>-</v>
      </c>
      <c r="L52" s="478" t="str">
        <f>IF(B52&gt;0,(VLOOKUP(J52,'Valve Reference'!$A$2:$K$389,5)),"-")</f>
        <v>-</v>
      </c>
      <c r="M52" s="478" t="str">
        <f>IF(B52&gt;0,(VLOOKUP(J52,'Valve Reference'!$A$2:$K$389,8)),"-")</f>
        <v>-</v>
      </c>
      <c r="N52" s="478" t="str">
        <f>IF(B52&gt;0,(VLOOKUP(J52,'Valve Reference'!$A$2:$K$389,10)),"-")</f>
        <v>-</v>
      </c>
      <c r="O52" s="479" t="str">
        <f>IF(B52&gt;0,(VLOOKUP(J52,'Valve Reference'!$A$2:$K$389,11)),"-")</f>
        <v>-</v>
      </c>
      <c r="P52" s="480" t="str">
        <f>IF(B52&gt;0,(VLOOKUP(I52,'Actuator Reference'!$A$2:$H$54,2)),"-")</f>
        <v>-</v>
      </c>
      <c r="Q52" s="480" t="str">
        <f>IF(B52&gt;0,(VLOOKUP(I52,'Actuator Reference'!$A$2:$H$54,5)),"-")</f>
        <v>-</v>
      </c>
      <c r="R52" s="480" t="str">
        <f>IF(B52&gt;0,(VLOOKUP(I52,'Actuator Reference'!$A$2:$H$54,6)),"-")</f>
        <v>-</v>
      </c>
      <c r="S52" s="480" t="str">
        <f>IF(B52&gt;0,(VLOOKUP(I52,'Actuator Reference'!$A$2:$H$54,7)),"-")</f>
        <v>-</v>
      </c>
      <c r="T52" s="481" t="str">
        <f>IF(B52&gt;0,(VLOOKUP(I52,'Actuator Reference'!$A$2:$H$54,8)),"-")</f>
        <v>-</v>
      </c>
      <c r="U52" s="39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5">
        <v>1</v>
      </c>
      <c r="AG52" s="35" t="s">
        <v>1097</v>
      </c>
      <c r="AH52" s="38" t="str">
        <f t="shared" si="5"/>
        <v>---</v>
      </c>
      <c r="AI52" s="594" t="str">
        <f t="shared" si="1"/>
        <v>=0</v>
      </c>
      <c r="AJ52" s="595" t="s">
        <v>1339</v>
      </c>
      <c r="AK52" s="592">
        <v>4</v>
      </c>
      <c r="AL52" s="592" t="s">
        <v>1338</v>
      </c>
      <c r="AM52" s="38"/>
      <c r="AN52" s="38"/>
      <c r="AO52" s="38"/>
      <c r="AP52" s="38"/>
      <c r="AQ52" s="38"/>
      <c r="AR52" s="38"/>
      <c r="AS52" s="38"/>
      <c r="AT52" s="38"/>
      <c r="AU52" s="38"/>
      <c r="AV52" s="40"/>
      <c r="AW52" s="38"/>
      <c r="AX52" s="38"/>
      <c r="AY52" s="38"/>
      <c r="AZ52" s="38"/>
      <c r="BA52" s="38"/>
      <c r="BB52" s="38"/>
    </row>
    <row r="53" spans="1:54" ht="15" customHeight="1">
      <c r="A53" s="469">
        <f>'Box Schedule'!A58</f>
        <v>0</v>
      </c>
      <c r="B53" s="482">
        <f>'Box Schedule'!AV58</f>
        <v>0</v>
      </c>
      <c r="C53" s="483" t="str">
        <f>IF((B53&gt;0),(VLOOKUP(J53,'Valve Reference'!$A$2:$K$389,3)),"-")</f>
        <v>-</v>
      </c>
      <c r="D53" s="471" t="s">
        <v>577</v>
      </c>
      <c r="E53" s="484" t="str">
        <f>IF((B53&gt;0),('Vlookup Tables'!$B$37),"-")</f>
        <v>-</v>
      </c>
      <c r="F53" s="585" t="str">
        <f t="shared" si="2"/>
        <v>-</v>
      </c>
      <c r="G53" s="485" t="str">
        <f>IF((B53&gt;0),(VLOOKUP($B53,'Vlookup Tables'!$B$23:$F$33,2,TRUE)),"-")</f>
        <v>-</v>
      </c>
      <c r="H53" s="586" t="str">
        <f t="shared" si="3"/>
        <v>-</v>
      </c>
      <c r="I53" s="476" t="str">
        <f>IF((B53&gt;0),('Vlookup Tables'!$B$35),"-")</f>
        <v>-</v>
      </c>
      <c r="J53" s="477" t="str">
        <f>IF(B53&gt;0,(IF(D53="2-Way",VLOOKUP($G53,'Vlookup Tables'!$C$23:$F$33,2,FALSE),VLOOKUP($G53,'Vlookup Tables'!$C$23:$F$33,3,FALSE))),"-")</f>
        <v>-</v>
      </c>
      <c r="K53" s="478" t="str">
        <f>IF(B53&gt;0,(VLOOKUP(J53,'Valve Reference'!$A$2:$K$389,4)),"-")</f>
        <v>-</v>
      </c>
      <c r="L53" s="478" t="str">
        <f>IF(B53&gt;0,(VLOOKUP(J53,'Valve Reference'!$A$2:$K$389,5)),"-")</f>
        <v>-</v>
      </c>
      <c r="M53" s="478" t="str">
        <f>IF(B53&gt;0,(VLOOKUP(J53,'Valve Reference'!$A$2:$K$389,8)),"-")</f>
        <v>-</v>
      </c>
      <c r="N53" s="478" t="str">
        <f>IF(B53&gt;0,(VLOOKUP(J53,'Valve Reference'!$A$2:$K$389,10)),"-")</f>
        <v>-</v>
      </c>
      <c r="O53" s="479" t="str">
        <f>IF(B53&gt;0,(VLOOKUP(J53,'Valve Reference'!$A$2:$K$389,11)),"-")</f>
        <v>-</v>
      </c>
      <c r="P53" s="480" t="str">
        <f>IF(B53&gt;0,(VLOOKUP(I53,'Actuator Reference'!$A$2:$H$54,2)),"-")</f>
        <v>-</v>
      </c>
      <c r="Q53" s="480" t="str">
        <f>IF(B53&gt;0,(VLOOKUP(I53,'Actuator Reference'!$A$2:$H$54,5)),"-")</f>
        <v>-</v>
      </c>
      <c r="R53" s="480" t="str">
        <f>IF(B53&gt;0,(VLOOKUP(I53,'Actuator Reference'!$A$2:$H$54,6)),"-")</f>
        <v>-</v>
      </c>
      <c r="S53" s="480" t="str">
        <f>IF(B53&gt;0,(VLOOKUP(I53,'Actuator Reference'!$A$2:$H$54,7)),"-")</f>
        <v>-</v>
      </c>
      <c r="T53" s="481" t="str">
        <f>IF(B53&gt;0,(VLOOKUP(I53,'Actuator Reference'!$A$2:$H$54,8)),"-")</f>
        <v>-</v>
      </c>
      <c r="U53" s="39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5">
        <v>1</v>
      </c>
      <c r="AG53" s="35" t="s">
        <v>1097</v>
      </c>
      <c r="AH53" s="38" t="str">
        <f t="shared" si="5"/>
        <v>---</v>
      </c>
      <c r="AI53" s="594" t="str">
        <f t="shared" si="1"/>
        <v>=0</v>
      </c>
      <c r="AJ53" s="595" t="s">
        <v>1339</v>
      </c>
      <c r="AK53" s="592">
        <v>4</v>
      </c>
      <c r="AL53" s="592" t="s">
        <v>1338</v>
      </c>
      <c r="AM53" s="38"/>
      <c r="AN53" s="38"/>
      <c r="AO53" s="38"/>
      <c r="AP53" s="38"/>
      <c r="AQ53" s="38"/>
      <c r="AR53" s="38"/>
      <c r="AS53" s="38"/>
      <c r="AT53" s="38"/>
      <c r="AU53" s="38"/>
      <c r="AV53" s="40"/>
      <c r="AW53" s="38"/>
      <c r="AX53" s="38"/>
      <c r="AY53" s="38"/>
      <c r="AZ53" s="38"/>
      <c r="BA53" s="38"/>
      <c r="BB53" s="38"/>
    </row>
    <row r="54" spans="1:54" ht="15" customHeight="1">
      <c r="A54" s="469">
        <f>'Box Schedule'!A59</f>
        <v>0</v>
      </c>
      <c r="B54" s="482">
        <f>'Box Schedule'!AV59</f>
        <v>0</v>
      </c>
      <c r="C54" s="483" t="str">
        <f>IF((B54&gt;0),(VLOOKUP(J54,'Valve Reference'!$A$2:$K$389,3)),"-")</f>
        <v>-</v>
      </c>
      <c r="D54" s="471" t="s">
        <v>577</v>
      </c>
      <c r="E54" s="484" t="str">
        <f>IF((B54&gt;0),('Vlookup Tables'!$B$37),"-")</f>
        <v>-</v>
      </c>
      <c r="F54" s="585" t="str">
        <f t="shared" si="2"/>
        <v>-</v>
      </c>
      <c r="G54" s="485" t="str">
        <f>IF((B54&gt;0),(VLOOKUP($B54,'Vlookup Tables'!$B$23:$F$33,2,TRUE)),"-")</f>
        <v>-</v>
      </c>
      <c r="H54" s="586" t="str">
        <f t="shared" si="3"/>
        <v>-</v>
      </c>
      <c r="I54" s="476" t="str">
        <f>IF((B54&gt;0),('Vlookup Tables'!$B$35),"-")</f>
        <v>-</v>
      </c>
      <c r="J54" s="477" t="str">
        <f>IF(B54&gt;0,(IF(D54="2-Way",VLOOKUP($G54,'Vlookup Tables'!$C$23:$F$33,2,FALSE),VLOOKUP($G54,'Vlookup Tables'!$C$23:$F$33,3,FALSE))),"-")</f>
        <v>-</v>
      </c>
      <c r="K54" s="478" t="str">
        <f>IF(B54&gt;0,(VLOOKUP(J54,'Valve Reference'!$A$2:$K$389,4)),"-")</f>
        <v>-</v>
      </c>
      <c r="L54" s="478" t="str">
        <f>IF(B54&gt;0,(VLOOKUP(J54,'Valve Reference'!$A$2:$K$389,5)),"-")</f>
        <v>-</v>
      </c>
      <c r="M54" s="478" t="str">
        <f>IF(B54&gt;0,(VLOOKUP(J54,'Valve Reference'!$A$2:$K$389,8)),"-")</f>
        <v>-</v>
      </c>
      <c r="N54" s="478" t="str">
        <f>IF(B54&gt;0,(VLOOKUP(J54,'Valve Reference'!$A$2:$K$389,10)),"-")</f>
        <v>-</v>
      </c>
      <c r="O54" s="479" t="str">
        <f>IF(B54&gt;0,(VLOOKUP(J54,'Valve Reference'!$A$2:$K$389,11)),"-")</f>
        <v>-</v>
      </c>
      <c r="P54" s="480" t="str">
        <f>IF(B54&gt;0,(VLOOKUP(I54,'Actuator Reference'!$A$2:$H$54,2)),"-")</f>
        <v>-</v>
      </c>
      <c r="Q54" s="480" t="str">
        <f>IF(B54&gt;0,(VLOOKUP(I54,'Actuator Reference'!$A$2:$H$54,5)),"-")</f>
        <v>-</v>
      </c>
      <c r="R54" s="480" t="str">
        <f>IF(B54&gt;0,(VLOOKUP(I54,'Actuator Reference'!$A$2:$H$54,6)),"-")</f>
        <v>-</v>
      </c>
      <c r="S54" s="480" t="str">
        <f>IF(B54&gt;0,(VLOOKUP(I54,'Actuator Reference'!$A$2:$H$54,7)),"-")</f>
        <v>-</v>
      </c>
      <c r="T54" s="481" t="str">
        <f>IF(B54&gt;0,(VLOOKUP(I54,'Actuator Reference'!$A$2:$H$54,8)),"-")</f>
        <v>-</v>
      </c>
      <c r="U54" s="39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5">
        <v>1</v>
      </c>
      <c r="AG54" s="35" t="s">
        <v>1097</v>
      </c>
      <c r="AH54" s="38" t="str">
        <f t="shared" si="5"/>
        <v>---</v>
      </c>
      <c r="AI54" s="594" t="str">
        <f t="shared" si="1"/>
        <v>=0</v>
      </c>
      <c r="AJ54" s="595" t="s">
        <v>1339</v>
      </c>
      <c r="AK54" s="592">
        <v>4</v>
      </c>
      <c r="AL54" s="592" t="s">
        <v>1338</v>
      </c>
      <c r="AM54" s="38"/>
      <c r="AN54" s="38"/>
      <c r="AO54" s="38"/>
      <c r="AP54" s="38"/>
      <c r="AQ54" s="38"/>
      <c r="AR54" s="38"/>
      <c r="AS54" s="38"/>
      <c r="AT54" s="38"/>
      <c r="AU54" s="38"/>
      <c r="AV54" s="40"/>
      <c r="AW54" s="38"/>
      <c r="AX54" s="38"/>
      <c r="AY54" s="38"/>
      <c r="AZ54" s="38"/>
      <c r="BA54" s="38"/>
      <c r="BB54" s="38"/>
    </row>
    <row r="55" spans="1:54" ht="15" customHeight="1">
      <c r="A55" s="469">
        <f>'Box Schedule'!A60</f>
        <v>0</v>
      </c>
      <c r="B55" s="482">
        <f>'Box Schedule'!AV60</f>
        <v>0</v>
      </c>
      <c r="C55" s="483" t="str">
        <f>IF((B55&gt;0),(VLOOKUP(J55,'Valve Reference'!$A$2:$K$389,3)),"-")</f>
        <v>-</v>
      </c>
      <c r="D55" s="471" t="s">
        <v>577</v>
      </c>
      <c r="E55" s="484" t="str">
        <f>IF((B55&gt;0),('Vlookup Tables'!$B$37),"-")</f>
        <v>-</v>
      </c>
      <c r="F55" s="585" t="str">
        <f t="shared" si="2"/>
        <v>-</v>
      </c>
      <c r="G55" s="485" t="str">
        <f>IF((B55&gt;0),(VLOOKUP($B55,'Vlookup Tables'!$B$23:$F$33,2,TRUE)),"-")</f>
        <v>-</v>
      </c>
      <c r="H55" s="586" t="str">
        <f t="shared" si="3"/>
        <v>-</v>
      </c>
      <c r="I55" s="476" t="str">
        <f>IF((B55&gt;0),('Vlookup Tables'!$B$35),"-")</f>
        <v>-</v>
      </c>
      <c r="J55" s="477" t="str">
        <f>IF(B55&gt;0,(IF(D55="2-Way",VLOOKUP($G55,'Vlookup Tables'!$C$23:$F$33,2,FALSE),VLOOKUP($G55,'Vlookup Tables'!$C$23:$F$33,3,FALSE))),"-")</f>
        <v>-</v>
      </c>
      <c r="K55" s="478" t="str">
        <f>IF(B55&gt;0,(VLOOKUP(J55,'Valve Reference'!$A$2:$K$389,4)),"-")</f>
        <v>-</v>
      </c>
      <c r="L55" s="478" t="str">
        <f>IF(B55&gt;0,(VLOOKUP(J55,'Valve Reference'!$A$2:$K$389,5)),"-")</f>
        <v>-</v>
      </c>
      <c r="M55" s="478" t="str">
        <f>IF(B55&gt;0,(VLOOKUP(J55,'Valve Reference'!$A$2:$K$389,8)),"-")</f>
        <v>-</v>
      </c>
      <c r="N55" s="478" t="str">
        <f>IF(B55&gt;0,(VLOOKUP(J55,'Valve Reference'!$A$2:$K$389,10)),"-")</f>
        <v>-</v>
      </c>
      <c r="O55" s="479" t="str">
        <f>IF(B55&gt;0,(VLOOKUP(J55,'Valve Reference'!$A$2:$K$389,11)),"-")</f>
        <v>-</v>
      </c>
      <c r="P55" s="480" t="str">
        <f>IF(B55&gt;0,(VLOOKUP(I55,'Actuator Reference'!$A$2:$H$54,2)),"-")</f>
        <v>-</v>
      </c>
      <c r="Q55" s="480" t="str">
        <f>IF(B55&gt;0,(VLOOKUP(I55,'Actuator Reference'!$A$2:$H$54,5)),"-")</f>
        <v>-</v>
      </c>
      <c r="R55" s="480" t="str">
        <f>IF(B55&gt;0,(VLOOKUP(I55,'Actuator Reference'!$A$2:$H$54,6)),"-")</f>
        <v>-</v>
      </c>
      <c r="S55" s="480" t="str">
        <f>IF(B55&gt;0,(VLOOKUP(I55,'Actuator Reference'!$A$2:$H$54,7)),"-")</f>
        <v>-</v>
      </c>
      <c r="T55" s="481" t="str">
        <f>IF(B55&gt;0,(VLOOKUP(I55,'Actuator Reference'!$A$2:$H$54,8)),"-")</f>
        <v>-</v>
      </c>
      <c r="U55" s="39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5">
        <v>1</v>
      </c>
      <c r="AG55" s="35" t="s">
        <v>1097</v>
      </c>
      <c r="AH55" s="38" t="str">
        <f t="shared" si="5"/>
        <v>---</v>
      </c>
      <c r="AI55" s="594" t="str">
        <f t="shared" si="1"/>
        <v>=0</v>
      </c>
      <c r="AJ55" s="595" t="s">
        <v>1339</v>
      </c>
      <c r="AK55" s="592">
        <v>4</v>
      </c>
      <c r="AL55" s="592" t="s">
        <v>1338</v>
      </c>
      <c r="AM55" s="38"/>
      <c r="AN55" s="38"/>
      <c r="AO55" s="38"/>
      <c r="AP55" s="38"/>
      <c r="AQ55" s="38"/>
      <c r="AR55" s="38"/>
      <c r="AS55" s="38"/>
      <c r="AT55" s="38"/>
      <c r="AU55" s="38"/>
      <c r="AV55" s="40"/>
      <c r="AW55" s="38"/>
      <c r="AX55" s="38"/>
      <c r="AY55" s="38"/>
      <c r="AZ55" s="38"/>
      <c r="BA55" s="38"/>
      <c r="BB55" s="38"/>
    </row>
    <row r="56" spans="1:54" ht="15" customHeight="1">
      <c r="A56" s="469">
        <f>'Box Schedule'!A61</f>
        <v>0</v>
      </c>
      <c r="B56" s="482">
        <f>'Box Schedule'!AV61</f>
        <v>0</v>
      </c>
      <c r="C56" s="483" t="str">
        <f>IF((B56&gt;0),(VLOOKUP(J56,'Valve Reference'!$A$2:$K$389,3)),"-")</f>
        <v>-</v>
      </c>
      <c r="D56" s="471" t="s">
        <v>577</v>
      </c>
      <c r="E56" s="484" t="str">
        <f>IF((B56&gt;0),('Vlookup Tables'!$B$37),"-")</f>
        <v>-</v>
      </c>
      <c r="F56" s="585" t="str">
        <f t="shared" si="2"/>
        <v>-</v>
      </c>
      <c r="G56" s="485" t="str">
        <f>IF((B56&gt;0),(VLOOKUP($B56,'Vlookup Tables'!$B$23:$F$33,2,TRUE)),"-")</f>
        <v>-</v>
      </c>
      <c r="H56" s="586" t="str">
        <f t="shared" si="3"/>
        <v>-</v>
      </c>
      <c r="I56" s="476" t="str">
        <f>IF((B56&gt;0),('Vlookup Tables'!$B$35),"-")</f>
        <v>-</v>
      </c>
      <c r="J56" s="477" t="str">
        <f>IF(B56&gt;0,(IF(D56="2-Way",VLOOKUP($G56,'Vlookup Tables'!$C$23:$F$33,2,FALSE),VLOOKUP($G56,'Vlookup Tables'!$C$23:$F$33,3,FALSE))),"-")</f>
        <v>-</v>
      </c>
      <c r="K56" s="478" t="str">
        <f>IF(B56&gt;0,(VLOOKUP(J56,'Valve Reference'!$A$2:$K$389,4)),"-")</f>
        <v>-</v>
      </c>
      <c r="L56" s="478" t="str">
        <f>IF(B56&gt;0,(VLOOKUP(J56,'Valve Reference'!$A$2:$K$389,5)),"-")</f>
        <v>-</v>
      </c>
      <c r="M56" s="478" t="str">
        <f>IF(B56&gt;0,(VLOOKUP(J56,'Valve Reference'!$A$2:$K$389,8)),"-")</f>
        <v>-</v>
      </c>
      <c r="N56" s="478" t="str">
        <f>IF(B56&gt;0,(VLOOKUP(J56,'Valve Reference'!$A$2:$K$389,10)),"-")</f>
        <v>-</v>
      </c>
      <c r="O56" s="479" t="str">
        <f>IF(B56&gt;0,(VLOOKUP(J56,'Valve Reference'!$A$2:$K$389,11)),"-")</f>
        <v>-</v>
      </c>
      <c r="P56" s="480" t="str">
        <f>IF(B56&gt;0,(VLOOKUP(I56,'Actuator Reference'!$A$2:$H$54,2)),"-")</f>
        <v>-</v>
      </c>
      <c r="Q56" s="480" t="str">
        <f>IF(B56&gt;0,(VLOOKUP(I56,'Actuator Reference'!$A$2:$H$54,5)),"-")</f>
        <v>-</v>
      </c>
      <c r="R56" s="480" t="str">
        <f>IF(B56&gt;0,(VLOOKUP(I56,'Actuator Reference'!$A$2:$H$54,6)),"-")</f>
        <v>-</v>
      </c>
      <c r="S56" s="480" t="str">
        <f>IF(B56&gt;0,(VLOOKUP(I56,'Actuator Reference'!$A$2:$H$54,7)),"-")</f>
        <v>-</v>
      </c>
      <c r="T56" s="481" t="str">
        <f>IF(B56&gt;0,(VLOOKUP(I56,'Actuator Reference'!$A$2:$H$54,8)),"-")</f>
        <v>-</v>
      </c>
      <c r="U56" s="39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5">
        <v>1</v>
      </c>
      <c r="AG56" s="35" t="s">
        <v>1097</v>
      </c>
      <c r="AH56" s="38" t="str">
        <f t="shared" si="5"/>
        <v>---</v>
      </c>
      <c r="AI56" s="594" t="str">
        <f t="shared" si="1"/>
        <v>=0</v>
      </c>
      <c r="AJ56" s="595" t="s">
        <v>1339</v>
      </c>
      <c r="AK56" s="592">
        <v>4</v>
      </c>
      <c r="AL56" s="592" t="s">
        <v>1338</v>
      </c>
      <c r="AM56" s="38"/>
      <c r="AN56" s="38"/>
      <c r="AO56" s="38"/>
      <c r="AP56" s="38"/>
      <c r="AQ56" s="38"/>
      <c r="AR56" s="38"/>
      <c r="AS56" s="38"/>
      <c r="AT56" s="38"/>
      <c r="AU56" s="38"/>
      <c r="AV56" s="40"/>
      <c r="AW56" s="38"/>
      <c r="AX56" s="38"/>
      <c r="AY56" s="38"/>
      <c r="AZ56" s="38"/>
      <c r="BA56" s="38"/>
      <c r="BB56" s="38"/>
    </row>
    <row r="57" spans="1:54" ht="15" customHeight="1">
      <c r="A57" s="469">
        <f>'Box Schedule'!A62</f>
        <v>0</v>
      </c>
      <c r="B57" s="482">
        <f>'Box Schedule'!AV62</f>
        <v>0</v>
      </c>
      <c r="C57" s="483" t="str">
        <f>IF((B57&gt;0),(VLOOKUP(J57,'Valve Reference'!$A$2:$K$389,3)),"-")</f>
        <v>-</v>
      </c>
      <c r="D57" s="471" t="s">
        <v>577</v>
      </c>
      <c r="E57" s="484" t="str">
        <f>IF((B57&gt;0),('Vlookup Tables'!$B$37),"-")</f>
        <v>-</v>
      </c>
      <c r="F57" s="585" t="str">
        <f t="shared" si="2"/>
        <v>-</v>
      </c>
      <c r="G57" s="485" t="str">
        <f>IF((B57&gt;0),(VLOOKUP($B57,'Vlookup Tables'!$B$23:$F$33,2,TRUE)),"-")</f>
        <v>-</v>
      </c>
      <c r="H57" s="586" t="str">
        <f t="shared" si="3"/>
        <v>-</v>
      </c>
      <c r="I57" s="476" t="str">
        <f>IF((B57&gt;0),('Vlookup Tables'!$B$35),"-")</f>
        <v>-</v>
      </c>
      <c r="J57" s="477" t="str">
        <f>IF(B57&gt;0,(IF(D57="2-Way",VLOOKUP($G57,'Vlookup Tables'!$C$23:$F$33,2,FALSE),VLOOKUP($G57,'Vlookup Tables'!$C$23:$F$33,3,FALSE))),"-")</f>
        <v>-</v>
      </c>
      <c r="K57" s="478" t="str">
        <f>IF(B57&gt;0,(VLOOKUP(J57,'Valve Reference'!$A$2:$K$389,4)),"-")</f>
        <v>-</v>
      </c>
      <c r="L57" s="478" t="str">
        <f>IF(B57&gt;0,(VLOOKUP(J57,'Valve Reference'!$A$2:$K$389,5)),"-")</f>
        <v>-</v>
      </c>
      <c r="M57" s="478" t="str">
        <f>IF(B57&gt;0,(VLOOKUP(J57,'Valve Reference'!$A$2:$K$389,8)),"-")</f>
        <v>-</v>
      </c>
      <c r="N57" s="478" t="str">
        <f>IF(B57&gt;0,(VLOOKUP(J57,'Valve Reference'!$A$2:$K$389,10)),"-")</f>
        <v>-</v>
      </c>
      <c r="O57" s="479" t="str">
        <f>IF(B57&gt;0,(VLOOKUP(J57,'Valve Reference'!$A$2:$K$389,11)),"-")</f>
        <v>-</v>
      </c>
      <c r="P57" s="480" t="str">
        <f>IF(B57&gt;0,(VLOOKUP(I57,'Actuator Reference'!$A$2:$H$54,2)),"-")</f>
        <v>-</v>
      </c>
      <c r="Q57" s="480" t="str">
        <f>IF(B57&gt;0,(VLOOKUP(I57,'Actuator Reference'!$A$2:$H$54,5)),"-")</f>
        <v>-</v>
      </c>
      <c r="R57" s="480" t="str">
        <f>IF(B57&gt;0,(VLOOKUP(I57,'Actuator Reference'!$A$2:$H$54,6)),"-")</f>
        <v>-</v>
      </c>
      <c r="S57" s="480" t="str">
        <f>IF(B57&gt;0,(VLOOKUP(I57,'Actuator Reference'!$A$2:$H$54,7)),"-")</f>
        <v>-</v>
      </c>
      <c r="T57" s="481" t="str">
        <f>IF(B57&gt;0,(VLOOKUP(I57,'Actuator Reference'!$A$2:$H$54,8)),"-")</f>
        <v>-</v>
      </c>
      <c r="U57" s="39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5">
        <v>1</v>
      </c>
      <c r="AG57" s="35" t="s">
        <v>1097</v>
      </c>
      <c r="AH57" s="38" t="str">
        <f t="shared" si="5"/>
        <v>---</v>
      </c>
      <c r="AI57" s="594" t="str">
        <f t="shared" si="1"/>
        <v>=0</v>
      </c>
      <c r="AJ57" s="595" t="s">
        <v>1339</v>
      </c>
      <c r="AK57" s="592">
        <v>4</v>
      </c>
      <c r="AL57" s="592" t="s">
        <v>1338</v>
      </c>
      <c r="AM57" s="38"/>
      <c r="AN57" s="38"/>
      <c r="AO57" s="38"/>
      <c r="AP57" s="38"/>
      <c r="AQ57" s="38"/>
      <c r="AR57" s="38"/>
      <c r="AS57" s="38"/>
      <c r="AT57" s="38"/>
      <c r="AU57" s="38"/>
      <c r="AV57" s="40"/>
      <c r="AW57" s="38"/>
      <c r="AX57" s="38"/>
      <c r="AY57" s="38"/>
      <c r="AZ57" s="38"/>
      <c r="BA57" s="38"/>
      <c r="BB57" s="38"/>
    </row>
    <row r="58" spans="1:54" ht="15" customHeight="1">
      <c r="A58" s="469">
        <f>'Box Schedule'!A63</f>
        <v>0</v>
      </c>
      <c r="B58" s="482">
        <f>'Box Schedule'!AV63</f>
        <v>0</v>
      </c>
      <c r="C58" s="483" t="str">
        <f>IF((B58&gt;0),(VLOOKUP(J58,'Valve Reference'!$A$2:$K$389,3)),"-")</f>
        <v>-</v>
      </c>
      <c r="D58" s="471" t="s">
        <v>577</v>
      </c>
      <c r="E58" s="484" t="str">
        <f>IF((B58&gt;0),('Vlookup Tables'!$B$37),"-")</f>
        <v>-</v>
      </c>
      <c r="F58" s="585" t="str">
        <f t="shared" si="2"/>
        <v>-</v>
      </c>
      <c r="G58" s="485" t="str">
        <f>IF((B58&gt;0),(VLOOKUP($B58,'Vlookup Tables'!$B$23:$F$33,2,TRUE)),"-")</f>
        <v>-</v>
      </c>
      <c r="H58" s="586" t="str">
        <f t="shared" si="3"/>
        <v>-</v>
      </c>
      <c r="I58" s="476" t="str">
        <f>IF((B58&gt;0),('Vlookup Tables'!$B$35),"-")</f>
        <v>-</v>
      </c>
      <c r="J58" s="477" t="str">
        <f>IF(B58&gt;0,(IF(D58="2-Way",VLOOKUP($G58,'Vlookup Tables'!$C$23:$F$33,2,FALSE),VLOOKUP($G58,'Vlookup Tables'!$C$23:$F$33,3,FALSE))),"-")</f>
        <v>-</v>
      </c>
      <c r="K58" s="478" t="str">
        <f>IF(B58&gt;0,(VLOOKUP(J58,'Valve Reference'!$A$2:$K$389,4)),"-")</f>
        <v>-</v>
      </c>
      <c r="L58" s="478" t="str">
        <f>IF(B58&gt;0,(VLOOKUP(J58,'Valve Reference'!$A$2:$K$389,5)),"-")</f>
        <v>-</v>
      </c>
      <c r="M58" s="478" t="str">
        <f>IF(B58&gt;0,(VLOOKUP(J58,'Valve Reference'!$A$2:$K$389,8)),"-")</f>
        <v>-</v>
      </c>
      <c r="N58" s="478" t="str">
        <f>IF(B58&gt;0,(VLOOKUP(J58,'Valve Reference'!$A$2:$K$389,10)),"-")</f>
        <v>-</v>
      </c>
      <c r="O58" s="479" t="str">
        <f>IF(B58&gt;0,(VLOOKUP(J58,'Valve Reference'!$A$2:$K$389,11)),"-")</f>
        <v>-</v>
      </c>
      <c r="P58" s="480" t="str">
        <f>IF(B58&gt;0,(VLOOKUP(I58,'Actuator Reference'!$A$2:$H$54,2)),"-")</f>
        <v>-</v>
      </c>
      <c r="Q58" s="480" t="str">
        <f>IF(B58&gt;0,(VLOOKUP(I58,'Actuator Reference'!$A$2:$H$54,5)),"-")</f>
        <v>-</v>
      </c>
      <c r="R58" s="480" t="str">
        <f>IF(B58&gt;0,(VLOOKUP(I58,'Actuator Reference'!$A$2:$H$54,6)),"-")</f>
        <v>-</v>
      </c>
      <c r="S58" s="480" t="str">
        <f>IF(B58&gt;0,(VLOOKUP(I58,'Actuator Reference'!$A$2:$H$54,7)),"-")</f>
        <v>-</v>
      </c>
      <c r="T58" s="481" t="str">
        <f>IF(B58&gt;0,(VLOOKUP(I58,'Actuator Reference'!$A$2:$H$54,8)),"-")</f>
        <v>-</v>
      </c>
      <c r="U58" s="39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5">
        <v>1</v>
      </c>
      <c r="AG58" s="35" t="s">
        <v>1097</v>
      </c>
      <c r="AH58" s="38" t="str">
        <f t="shared" si="5"/>
        <v>---</v>
      </c>
      <c r="AI58" s="594" t="str">
        <f t="shared" si="1"/>
        <v>=0</v>
      </c>
      <c r="AJ58" s="595" t="s">
        <v>1339</v>
      </c>
      <c r="AK58" s="592">
        <v>4</v>
      </c>
      <c r="AL58" s="592" t="s">
        <v>1338</v>
      </c>
      <c r="AM58" s="38"/>
      <c r="AN58" s="38"/>
      <c r="AO58" s="38"/>
      <c r="AP58" s="38"/>
      <c r="AQ58" s="38"/>
      <c r="AR58" s="38"/>
      <c r="AS58" s="38"/>
      <c r="AT58" s="38"/>
      <c r="AU58" s="38"/>
      <c r="AV58" s="40"/>
      <c r="AW58" s="38"/>
      <c r="AX58" s="38"/>
      <c r="AY58" s="38"/>
      <c r="AZ58" s="38"/>
      <c r="BA58" s="38"/>
      <c r="BB58" s="38"/>
    </row>
    <row r="59" spans="1:54" ht="15" customHeight="1">
      <c r="A59" s="469">
        <f>'Box Schedule'!A64</f>
        <v>0</v>
      </c>
      <c r="B59" s="482">
        <f>'Box Schedule'!AV64</f>
        <v>0</v>
      </c>
      <c r="C59" s="483" t="str">
        <f>IF((B59&gt;0),(VLOOKUP(J59,'Valve Reference'!$A$2:$K$389,3)),"-")</f>
        <v>-</v>
      </c>
      <c r="D59" s="471" t="s">
        <v>577</v>
      </c>
      <c r="E59" s="484" t="str">
        <f>IF((B59&gt;0),('Vlookup Tables'!$B$37),"-")</f>
        <v>-</v>
      </c>
      <c r="F59" s="585" t="str">
        <f t="shared" si="2"/>
        <v>-</v>
      </c>
      <c r="G59" s="485" t="str">
        <f>IF((B59&gt;0),(VLOOKUP($B59,'Vlookup Tables'!$B$23:$F$33,2,TRUE)),"-")</f>
        <v>-</v>
      </c>
      <c r="H59" s="586" t="str">
        <f t="shared" si="3"/>
        <v>-</v>
      </c>
      <c r="I59" s="476" t="str">
        <f>IF((B59&gt;0),('Vlookup Tables'!$B$35),"-")</f>
        <v>-</v>
      </c>
      <c r="J59" s="477" t="str">
        <f>IF(B59&gt;0,(IF(D59="2-Way",VLOOKUP($G59,'Vlookup Tables'!$C$23:$F$33,2,FALSE),VLOOKUP($G59,'Vlookup Tables'!$C$23:$F$33,3,FALSE))),"-")</f>
        <v>-</v>
      </c>
      <c r="K59" s="478" t="str">
        <f>IF(B59&gt;0,(VLOOKUP(J59,'Valve Reference'!$A$2:$K$389,4)),"-")</f>
        <v>-</v>
      </c>
      <c r="L59" s="478" t="str">
        <f>IF(B59&gt;0,(VLOOKUP(J59,'Valve Reference'!$A$2:$K$389,5)),"-")</f>
        <v>-</v>
      </c>
      <c r="M59" s="478" t="str">
        <f>IF(B59&gt;0,(VLOOKUP(J59,'Valve Reference'!$A$2:$K$389,8)),"-")</f>
        <v>-</v>
      </c>
      <c r="N59" s="478" t="str">
        <f>IF(B59&gt;0,(VLOOKUP(J59,'Valve Reference'!$A$2:$K$389,10)),"-")</f>
        <v>-</v>
      </c>
      <c r="O59" s="479" t="str">
        <f>IF(B59&gt;0,(VLOOKUP(J59,'Valve Reference'!$A$2:$K$389,11)),"-")</f>
        <v>-</v>
      </c>
      <c r="P59" s="480" t="str">
        <f>IF(B59&gt;0,(VLOOKUP(I59,'Actuator Reference'!$A$2:$H$54,2)),"-")</f>
        <v>-</v>
      </c>
      <c r="Q59" s="480" t="str">
        <f>IF(B59&gt;0,(VLOOKUP(I59,'Actuator Reference'!$A$2:$H$54,5)),"-")</f>
        <v>-</v>
      </c>
      <c r="R59" s="480" t="str">
        <f>IF(B59&gt;0,(VLOOKUP(I59,'Actuator Reference'!$A$2:$H$54,6)),"-")</f>
        <v>-</v>
      </c>
      <c r="S59" s="480" t="str">
        <f>IF(B59&gt;0,(VLOOKUP(I59,'Actuator Reference'!$A$2:$H$54,7)),"-")</f>
        <v>-</v>
      </c>
      <c r="T59" s="481" t="str">
        <f>IF(B59&gt;0,(VLOOKUP(I59,'Actuator Reference'!$A$2:$H$54,8)),"-")</f>
        <v>-</v>
      </c>
      <c r="U59" s="39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5">
        <v>1</v>
      </c>
      <c r="AG59" s="35" t="s">
        <v>1097</v>
      </c>
      <c r="AH59" s="38" t="str">
        <f t="shared" si="5"/>
        <v>---</v>
      </c>
      <c r="AI59" s="594" t="str">
        <f t="shared" si="1"/>
        <v>=0</v>
      </c>
      <c r="AJ59" s="595" t="s">
        <v>1339</v>
      </c>
      <c r="AK59" s="592">
        <v>4</v>
      </c>
      <c r="AL59" s="592" t="s">
        <v>1338</v>
      </c>
      <c r="AM59" s="38"/>
      <c r="AN59" s="38"/>
      <c r="AO59" s="38"/>
      <c r="AP59" s="38"/>
      <c r="AQ59" s="38"/>
      <c r="AR59" s="38"/>
      <c r="AS59" s="38"/>
      <c r="AT59" s="38"/>
      <c r="AU59" s="38"/>
      <c r="AV59" s="40"/>
      <c r="AW59" s="38"/>
      <c r="AX59" s="38"/>
      <c r="AY59" s="38"/>
      <c r="AZ59" s="38"/>
      <c r="BA59" s="38"/>
      <c r="BB59" s="38"/>
    </row>
    <row r="60" spans="1:54" ht="15" customHeight="1">
      <c r="A60" s="469">
        <f>'Box Schedule'!A65</f>
        <v>0</v>
      </c>
      <c r="B60" s="482">
        <f>'Box Schedule'!AV65</f>
        <v>0</v>
      </c>
      <c r="C60" s="483" t="str">
        <f>IF((B60&gt;0),(VLOOKUP(J60,'Valve Reference'!$A$2:$K$389,3)),"-")</f>
        <v>-</v>
      </c>
      <c r="D60" s="471" t="s">
        <v>577</v>
      </c>
      <c r="E60" s="484" t="str">
        <f>IF((B60&gt;0),('Vlookup Tables'!$B$37),"-")</f>
        <v>-</v>
      </c>
      <c r="F60" s="585" t="str">
        <f t="shared" si="2"/>
        <v>-</v>
      </c>
      <c r="G60" s="485" t="str">
        <f>IF((B60&gt;0),(VLOOKUP($B60,'Vlookup Tables'!$B$23:$F$33,2,TRUE)),"-")</f>
        <v>-</v>
      </c>
      <c r="H60" s="586" t="str">
        <f t="shared" si="3"/>
        <v>-</v>
      </c>
      <c r="I60" s="476" t="str">
        <f>IF((B60&gt;0),('Vlookup Tables'!$B$35),"-")</f>
        <v>-</v>
      </c>
      <c r="J60" s="477" t="str">
        <f>IF(B60&gt;0,(IF(D60="2-Way",VLOOKUP($G60,'Vlookup Tables'!$C$23:$F$33,2,FALSE),VLOOKUP($G60,'Vlookup Tables'!$C$23:$F$33,3,FALSE))),"-")</f>
        <v>-</v>
      </c>
      <c r="K60" s="478" t="str">
        <f>IF(B60&gt;0,(VLOOKUP(J60,'Valve Reference'!$A$2:$K$389,4)),"-")</f>
        <v>-</v>
      </c>
      <c r="L60" s="478" t="str">
        <f>IF(B60&gt;0,(VLOOKUP(J60,'Valve Reference'!$A$2:$K$389,5)),"-")</f>
        <v>-</v>
      </c>
      <c r="M60" s="478" t="str">
        <f>IF(B60&gt;0,(VLOOKUP(J60,'Valve Reference'!$A$2:$K$389,8)),"-")</f>
        <v>-</v>
      </c>
      <c r="N60" s="478" t="str">
        <f>IF(B60&gt;0,(VLOOKUP(J60,'Valve Reference'!$A$2:$K$389,10)),"-")</f>
        <v>-</v>
      </c>
      <c r="O60" s="479" t="str">
        <f>IF(B60&gt;0,(VLOOKUP(J60,'Valve Reference'!$A$2:$K$389,11)),"-")</f>
        <v>-</v>
      </c>
      <c r="P60" s="480" t="str">
        <f>IF(B60&gt;0,(VLOOKUP(I60,'Actuator Reference'!$A$2:$H$54,2)),"-")</f>
        <v>-</v>
      </c>
      <c r="Q60" s="480" t="str">
        <f>IF(B60&gt;0,(VLOOKUP(I60,'Actuator Reference'!$A$2:$H$54,5)),"-")</f>
        <v>-</v>
      </c>
      <c r="R60" s="480" t="str">
        <f>IF(B60&gt;0,(VLOOKUP(I60,'Actuator Reference'!$A$2:$H$54,6)),"-")</f>
        <v>-</v>
      </c>
      <c r="S60" s="480" t="str">
        <f>IF(B60&gt;0,(VLOOKUP(I60,'Actuator Reference'!$A$2:$H$54,7)),"-")</f>
        <v>-</v>
      </c>
      <c r="T60" s="481" t="str">
        <f>IF(B60&gt;0,(VLOOKUP(I60,'Actuator Reference'!$A$2:$H$54,8)),"-")</f>
        <v>-</v>
      </c>
      <c r="U60" s="39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5">
        <v>1</v>
      </c>
      <c r="AG60" s="35" t="s">
        <v>1097</v>
      </c>
      <c r="AH60" s="38" t="str">
        <f t="shared" si="5"/>
        <v>---</v>
      </c>
      <c r="AI60" s="594" t="str">
        <f t="shared" si="1"/>
        <v>=0</v>
      </c>
      <c r="AJ60" s="595" t="s">
        <v>1339</v>
      </c>
      <c r="AK60" s="592">
        <v>4</v>
      </c>
      <c r="AL60" s="592" t="s">
        <v>1338</v>
      </c>
      <c r="AM60" s="38"/>
      <c r="AN60" s="38"/>
      <c r="AO60" s="38"/>
      <c r="AP60" s="38"/>
      <c r="AQ60" s="38"/>
      <c r="AR60" s="38"/>
      <c r="AS60" s="38"/>
      <c r="AT60" s="38"/>
      <c r="AU60" s="38"/>
      <c r="AV60" s="40"/>
      <c r="AW60" s="38"/>
      <c r="AX60" s="38"/>
      <c r="AY60" s="38"/>
      <c r="AZ60" s="38"/>
      <c r="BA60" s="38"/>
      <c r="BB60" s="38"/>
    </row>
    <row r="61" spans="1:54" ht="15" customHeight="1">
      <c r="A61" s="469">
        <f>'Box Schedule'!A66</f>
        <v>0</v>
      </c>
      <c r="B61" s="482">
        <f>'Box Schedule'!AV66</f>
        <v>0</v>
      </c>
      <c r="C61" s="483" t="str">
        <f>IF((B61&gt;0),(VLOOKUP(J61,'Valve Reference'!$A$2:$K$389,3)),"-")</f>
        <v>-</v>
      </c>
      <c r="D61" s="471" t="s">
        <v>577</v>
      </c>
      <c r="E61" s="484" t="str">
        <f>IF((B61&gt;0),('Vlookup Tables'!$B$37),"-")</f>
        <v>-</v>
      </c>
      <c r="F61" s="585" t="str">
        <f t="shared" si="2"/>
        <v>-</v>
      </c>
      <c r="G61" s="485" t="str">
        <f>IF((B61&gt;0),(VLOOKUP($B61,'Vlookup Tables'!$B$23:$F$33,2,TRUE)),"-")</f>
        <v>-</v>
      </c>
      <c r="H61" s="586" t="str">
        <f t="shared" si="3"/>
        <v>-</v>
      </c>
      <c r="I61" s="476" t="str">
        <f>IF((B61&gt;0),('Vlookup Tables'!$B$35),"-")</f>
        <v>-</v>
      </c>
      <c r="J61" s="477" t="str">
        <f>IF(B61&gt;0,(IF(D61="2-Way",VLOOKUP($G61,'Vlookup Tables'!$C$23:$F$33,2,FALSE),VLOOKUP($G61,'Vlookup Tables'!$C$23:$F$33,3,FALSE))),"-")</f>
        <v>-</v>
      </c>
      <c r="K61" s="478" t="str">
        <f>IF(B61&gt;0,(VLOOKUP(J61,'Valve Reference'!$A$2:$K$389,4)),"-")</f>
        <v>-</v>
      </c>
      <c r="L61" s="478" t="str">
        <f>IF(B61&gt;0,(VLOOKUP(J61,'Valve Reference'!$A$2:$K$389,5)),"-")</f>
        <v>-</v>
      </c>
      <c r="M61" s="478" t="str">
        <f>IF(B61&gt;0,(VLOOKUP(J61,'Valve Reference'!$A$2:$K$389,8)),"-")</f>
        <v>-</v>
      </c>
      <c r="N61" s="478" t="str">
        <f>IF(B61&gt;0,(VLOOKUP(J61,'Valve Reference'!$A$2:$K$389,10)),"-")</f>
        <v>-</v>
      </c>
      <c r="O61" s="479" t="str">
        <f>IF(B61&gt;0,(VLOOKUP(J61,'Valve Reference'!$A$2:$K$389,11)),"-")</f>
        <v>-</v>
      </c>
      <c r="P61" s="480" t="str">
        <f>IF(B61&gt;0,(VLOOKUP(I61,'Actuator Reference'!$A$2:$H$54,2)),"-")</f>
        <v>-</v>
      </c>
      <c r="Q61" s="480" t="str">
        <f>IF(B61&gt;0,(VLOOKUP(I61,'Actuator Reference'!$A$2:$H$54,5)),"-")</f>
        <v>-</v>
      </c>
      <c r="R61" s="480" t="str">
        <f>IF(B61&gt;0,(VLOOKUP(I61,'Actuator Reference'!$A$2:$H$54,6)),"-")</f>
        <v>-</v>
      </c>
      <c r="S61" s="480" t="str">
        <f>IF(B61&gt;0,(VLOOKUP(I61,'Actuator Reference'!$A$2:$H$54,7)),"-")</f>
        <v>-</v>
      </c>
      <c r="T61" s="481" t="str">
        <f>IF(B61&gt;0,(VLOOKUP(I61,'Actuator Reference'!$A$2:$H$54,8)),"-")</f>
        <v>-</v>
      </c>
      <c r="U61" s="39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5">
        <v>1</v>
      </c>
      <c r="AG61" s="35" t="s">
        <v>1097</v>
      </c>
      <c r="AH61" s="38" t="str">
        <f t="shared" si="5"/>
        <v>---</v>
      </c>
      <c r="AI61" s="594" t="str">
        <f t="shared" si="1"/>
        <v>=0</v>
      </c>
      <c r="AJ61" s="595" t="s">
        <v>1339</v>
      </c>
      <c r="AK61" s="592">
        <v>4</v>
      </c>
      <c r="AL61" s="592" t="s">
        <v>1338</v>
      </c>
      <c r="AM61" s="38"/>
      <c r="AN61" s="38"/>
      <c r="AO61" s="38"/>
      <c r="AP61" s="38"/>
      <c r="AQ61" s="38"/>
      <c r="AR61" s="38"/>
      <c r="AS61" s="38"/>
      <c r="AT61" s="38"/>
      <c r="AU61" s="38"/>
      <c r="AV61" s="40"/>
      <c r="AW61" s="38"/>
      <c r="AX61" s="38"/>
      <c r="AY61" s="38"/>
      <c r="AZ61" s="38"/>
      <c r="BA61" s="38"/>
      <c r="BB61" s="38"/>
    </row>
    <row r="62" spans="1:54" ht="15" customHeight="1">
      <c r="A62" s="469">
        <f>'Box Schedule'!A67</f>
        <v>0</v>
      </c>
      <c r="B62" s="482">
        <f>'Box Schedule'!AV67</f>
        <v>0</v>
      </c>
      <c r="C62" s="483" t="str">
        <f>IF((B62&gt;0),(VLOOKUP(J62,'Valve Reference'!$A$2:$K$389,3)),"-")</f>
        <v>-</v>
      </c>
      <c r="D62" s="471" t="s">
        <v>577</v>
      </c>
      <c r="E62" s="484" t="str">
        <f>IF((B62&gt;0),('Vlookup Tables'!$B$37),"-")</f>
        <v>-</v>
      </c>
      <c r="F62" s="585" t="str">
        <f t="shared" si="2"/>
        <v>-</v>
      </c>
      <c r="G62" s="485" t="str">
        <f>IF((B62&gt;0),(VLOOKUP($B62,'Vlookup Tables'!$B$23:$F$33,2,TRUE)),"-")</f>
        <v>-</v>
      </c>
      <c r="H62" s="586" t="str">
        <f t="shared" si="3"/>
        <v>-</v>
      </c>
      <c r="I62" s="476" t="str">
        <f>IF((B62&gt;0),('Vlookup Tables'!$B$35),"-")</f>
        <v>-</v>
      </c>
      <c r="J62" s="477" t="str">
        <f>IF(B62&gt;0,(IF(D62="2-Way",VLOOKUP($G62,'Vlookup Tables'!$C$23:$F$33,2,FALSE),VLOOKUP($G62,'Vlookup Tables'!$C$23:$F$33,3,FALSE))),"-")</f>
        <v>-</v>
      </c>
      <c r="K62" s="478" t="str">
        <f>IF(B62&gt;0,(VLOOKUP(J62,'Valve Reference'!$A$2:$K$389,4)),"-")</f>
        <v>-</v>
      </c>
      <c r="L62" s="478" t="str">
        <f>IF(B62&gt;0,(VLOOKUP(J62,'Valve Reference'!$A$2:$K$389,5)),"-")</f>
        <v>-</v>
      </c>
      <c r="M62" s="478" t="str">
        <f>IF(B62&gt;0,(VLOOKUP(J62,'Valve Reference'!$A$2:$K$389,8)),"-")</f>
        <v>-</v>
      </c>
      <c r="N62" s="478" t="str">
        <f>IF(B62&gt;0,(VLOOKUP(J62,'Valve Reference'!$A$2:$K$389,10)),"-")</f>
        <v>-</v>
      </c>
      <c r="O62" s="479" t="str">
        <f>IF(B62&gt;0,(VLOOKUP(J62,'Valve Reference'!$A$2:$K$389,11)),"-")</f>
        <v>-</v>
      </c>
      <c r="P62" s="480" t="str">
        <f>IF(B62&gt;0,(VLOOKUP(I62,'Actuator Reference'!$A$2:$H$54,2)),"-")</f>
        <v>-</v>
      </c>
      <c r="Q62" s="480" t="str">
        <f>IF(B62&gt;0,(VLOOKUP(I62,'Actuator Reference'!$A$2:$H$54,5)),"-")</f>
        <v>-</v>
      </c>
      <c r="R62" s="480" t="str">
        <f>IF(B62&gt;0,(VLOOKUP(I62,'Actuator Reference'!$A$2:$H$54,6)),"-")</f>
        <v>-</v>
      </c>
      <c r="S62" s="480" t="str">
        <f>IF(B62&gt;0,(VLOOKUP(I62,'Actuator Reference'!$A$2:$H$54,7)),"-")</f>
        <v>-</v>
      </c>
      <c r="T62" s="481" t="str">
        <f>IF(B62&gt;0,(VLOOKUP(I62,'Actuator Reference'!$A$2:$H$54,8)),"-")</f>
        <v>-</v>
      </c>
      <c r="U62" s="39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5">
        <v>1</v>
      </c>
      <c r="AG62" s="35" t="s">
        <v>1097</v>
      </c>
      <c r="AH62" s="38" t="str">
        <f t="shared" si="5"/>
        <v>---</v>
      </c>
      <c r="AI62" s="594" t="str">
        <f t="shared" si="1"/>
        <v>=0</v>
      </c>
      <c r="AJ62" s="595" t="s">
        <v>1339</v>
      </c>
      <c r="AK62" s="592">
        <v>4</v>
      </c>
      <c r="AL62" s="592" t="s">
        <v>1338</v>
      </c>
      <c r="AM62" s="38"/>
      <c r="AN62" s="38"/>
      <c r="AO62" s="38"/>
      <c r="AP62" s="38"/>
      <c r="AQ62" s="38"/>
      <c r="AR62" s="38"/>
      <c r="AS62" s="38"/>
      <c r="AT62" s="38"/>
      <c r="AU62" s="38"/>
      <c r="AV62" s="40"/>
      <c r="AW62" s="38"/>
      <c r="AX62" s="38"/>
      <c r="AY62" s="38"/>
      <c r="AZ62" s="38"/>
      <c r="BA62" s="38"/>
      <c r="BB62" s="38"/>
    </row>
    <row r="63" spans="1:54" ht="15" customHeight="1">
      <c r="A63" s="469">
        <f>'Box Schedule'!A68</f>
        <v>0</v>
      </c>
      <c r="B63" s="482">
        <f>'Box Schedule'!AV68</f>
        <v>0</v>
      </c>
      <c r="C63" s="483" t="str">
        <f>IF((B63&gt;0),(VLOOKUP(J63,'Valve Reference'!$A$2:$K$389,3)),"-")</f>
        <v>-</v>
      </c>
      <c r="D63" s="471" t="s">
        <v>577</v>
      </c>
      <c r="E63" s="484" t="str">
        <f>IF((B63&gt;0),('Vlookup Tables'!$B$37),"-")</f>
        <v>-</v>
      </c>
      <c r="F63" s="585" t="str">
        <f t="shared" si="2"/>
        <v>-</v>
      </c>
      <c r="G63" s="485" t="str">
        <f>IF((B63&gt;0),(VLOOKUP($B63,'Vlookup Tables'!$B$23:$F$33,2,TRUE)),"-")</f>
        <v>-</v>
      </c>
      <c r="H63" s="586" t="str">
        <f t="shared" si="3"/>
        <v>-</v>
      </c>
      <c r="I63" s="476" t="str">
        <f>IF((B63&gt;0),('Vlookup Tables'!$B$35),"-")</f>
        <v>-</v>
      </c>
      <c r="J63" s="477" t="str">
        <f>IF(B63&gt;0,(IF(D63="2-Way",VLOOKUP($G63,'Vlookup Tables'!$C$23:$F$33,2,FALSE),VLOOKUP($G63,'Vlookup Tables'!$C$23:$F$33,3,FALSE))),"-")</f>
        <v>-</v>
      </c>
      <c r="K63" s="478" t="str">
        <f>IF(B63&gt;0,(VLOOKUP(J63,'Valve Reference'!$A$2:$K$389,4)),"-")</f>
        <v>-</v>
      </c>
      <c r="L63" s="478" t="str">
        <f>IF(B63&gt;0,(VLOOKUP(J63,'Valve Reference'!$A$2:$K$389,5)),"-")</f>
        <v>-</v>
      </c>
      <c r="M63" s="478" t="str">
        <f>IF(B63&gt;0,(VLOOKUP(J63,'Valve Reference'!$A$2:$K$389,8)),"-")</f>
        <v>-</v>
      </c>
      <c r="N63" s="478" t="str">
        <f>IF(B63&gt;0,(VLOOKUP(J63,'Valve Reference'!$A$2:$K$389,10)),"-")</f>
        <v>-</v>
      </c>
      <c r="O63" s="479" t="str">
        <f>IF(B63&gt;0,(VLOOKUP(J63,'Valve Reference'!$A$2:$K$389,11)),"-")</f>
        <v>-</v>
      </c>
      <c r="P63" s="480" t="str">
        <f>IF(B63&gt;0,(VLOOKUP(I63,'Actuator Reference'!$A$2:$H$54,2)),"-")</f>
        <v>-</v>
      </c>
      <c r="Q63" s="480" t="str">
        <f>IF(B63&gt;0,(VLOOKUP(I63,'Actuator Reference'!$A$2:$H$54,5)),"-")</f>
        <v>-</v>
      </c>
      <c r="R63" s="480" t="str">
        <f>IF(B63&gt;0,(VLOOKUP(I63,'Actuator Reference'!$A$2:$H$54,6)),"-")</f>
        <v>-</v>
      </c>
      <c r="S63" s="480" t="str">
        <f>IF(B63&gt;0,(VLOOKUP(I63,'Actuator Reference'!$A$2:$H$54,7)),"-")</f>
        <v>-</v>
      </c>
      <c r="T63" s="481" t="str">
        <f>IF(B63&gt;0,(VLOOKUP(I63,'Actuator Reference'!$A$2:$H$54,8)),"-")</f>
        <v>-</v>
      </c>
      <c r="U63" s="39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5">
        <v>1</v>
      </c>
      <c r="AG63" s="35" t="s">
        <v>1097</v>
      </c>
      <c r="AH63" s="38" t="str">
        <f t="shared" si="5"/>
        <v>---</v>
      </c>
      <c r="AI63" s="594" t="str">
        <f t="shared" si="1"/>
        <v>=0</v>
      </c>
      <c r="AJ63" s="595" t="s">
        <v>1339</v>
      </c>
      <c r="AK63" s="592">
        <v>4</v>
      </c>
      <c r="AL63" s="592" t="s">
        <v>1338</v>
      </c>
      <c r="AM63" s="38"/>
      <c r="AN63" s="38"/>
      <c r="AO63" s="38"/>
      <c r="AP63" s="38"/>
      <c r="AQ63" s="38"/>
      <c r="AR63" s="38"/>
      <c r="AS63" s="38"/>
      <c r="AT63" s="38"/>
      <c r="AU63" s="38"/>
      <c r="AV63" s="40"/>
      <c r="AW63" s="38"/>
      <c r="AX63" s="38"/>
      <c r="AY63" s="38"/>
      <c r="AZ63" s="38"/>
      <c r="BA63" s="38"/>
      <c r="BB63" s="38"/>
    </row>
    <row r="64" spans="1:54" ht="15" customHeight="1">
      <c r="A64" s="469">
        <f>'Box Schedule'!A69</f>
        <v>0</v>
      </c>
      <c r="B64" s="482">
        <f>'Box Schedule'!AV69</f>
        <v>0</v>
      </c>
      <c r="C64" s="483" t="str">
        <f>IF((B64&gt;0),(VLOOKUP(J64,'Valve Reference'!$A$2:$K$389,3)),"-")</f>
        <v>-</v>
      </c>
      <c r="D64" s="471" t="s">
        <v>577</v>
      </c>
      <c r="E64" s="484" t="str">
        <f>IF((B64&gt;0),('Vlookup Tables'!$B$37),"-")</f>
        <v>-</v>
      </c>
      <c r="F64" s="585" t="str">
        <f t="shared" si="2"/>
        <v>-</v>
      </c>
      <c r="G64" s="485" t="str">
        <f>IF((B64&gt;0),(VLOOKUP($B64,'Vlookup Tables'!$B$23:$F$33,2,TRUE)),"-")</f>
        <v>-</v>
      </c>
      <c r="H64" s="586" t="str">
        <f t="shared" si="3"/>
        <v>-</v>
      </c>
      <c r="I64" s="476" t="str">
        <f>IF((B64&gt;0),('Vlookup Tables'!$B$35),"-")</f>
        <v>-</v>
      </c>
      <c r="J64" s="477" t="str">
        <f>IF(B64&gt;0,(IF(D64="2-Way",VLOOKUP($G64,'Vlookup Tables'!$C$23:$F$33,2,FALSE),VLOOKUP($G64,'Vlookup Tables'!$C$23:$F$33,3,FALSE))),"-")</f>
        <v>-</v>
      </c>
      <c r="K64" s="478" t="str">
        <f>IF(B64&gt;0,(VLOOKUP(J64,'Valve Reference'!$A$2:$K$389,4)),"-")</f>
        <v>-</v>
      </c>
      <c r="L64" s="478" t="str">
        <f>IF(B64&gt;0,(VLOOKUP(J64,'Valve Reference'!$A$2:$K$389,5)),"-")</f>
        <v>-</v>
      </c>
      <c r="M64" s="478" t="str">
        <f>IF(B64&gt;0,(VLOOKUP(J64,'Valve Reference'!$A$2:$K$389,8)),"-")</f>
        <v>-</v>
      </c>
      <c r="N64" s="478" t="str">
        <f>IF(B64&gt;0,(VLOOKUP(J64,'Valve Reference'!$A$2:$K$389,10)),"-")</f>
        <v>-</v>
      </c>
      <c r="O64" s="479" t="str">
        <f>IF(B64&gt;0,(VLOOKUP(J64,'Valve Reference'!$A$2:$K$389,11)),"-")</f>
        <v>-</v>
      </c>
      <c r="P64" s="480" t="str">
        <f>IF(B64&gt;0,(VLOOKUP(I64,'Actuator Reference'!$A$2:$H$54,2)),"-")</f>
        <v>-</v>
      </c>
      <c r="Q64" s="480" t="str">
        <f>IF(B64&gt;0,(VLOOKUP(I64,'Actuator Reference'!$A$2:$H$54,5)),"-")</f>
        <v>-</v>
      </c>
      <c r="R64" s="480" t="str">
        <f>IF(B64&gt;0,(VLOOKUP(I64,'Actuator Reference'!$A$2:$H$54,6)),"-")</f>
        <v>-</v>
      </c>
      <c r="S64" s="480" t="str">
        <f>IF(B64&gt;0,(VLOOKUP(I64,'Actuator Reference'!$A$2:$H$54,7)),"-")</f>
        <v>-</v>
      </c>
      <c r="T64" s="481" t="str">
        <f>IF(B64&gt;0,(VLOOKUP(I64,'Actuator Reference'!$A$2:$H$54,8)),"-")</f>
        <v>-</v>
      </c>
      <c r="U64" s="39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5">
        <v>1</v>
      </c>
      <c r="AG64" s="35" t="s">
        <v>1097</v>
      </c>
      <c r="AH64" s="38" t="str">
        <f t="shared" si="5"/>
        <v>---</v>
      </c>
      <c r="AI64" s="594" t="str">
        <f t="shared" si="1"/>
        <v>=0</v>
      </c>
      <c r="AJ64" s="595" t="s">
        <v>1339</v>
      </c>
      <c r="AK64" s="592">
        <v>4</v>
      </c>
      <c r="AL64" s="592" t="s">
        <v>1338</v>
      </c>
      <c r="AM64" s="38"/>
      <c r="AN64" s="38"/>
      <c r="AO64" s="38"/>
      <c r="AP64" s="38"/>
      <c r="AQ64" s="38"/>
      <c r="AR64" s="38"/>
      <c r="AS64" s="38"/>
      <c r="AT64" s="38"/>
      <c r="AU64" s="38"/>
      <c r="AV64" s="40"/>
      <c r="AW64" s="38"/>
      <c r="AX64" s="38"/>
      <c r="AY64" s="38"/>
      <c r="AZ64" s="38"/>
      <c r="BA64" s="38"/>
      <c r="BB64" s="38"/>
    </row>
    <row r="65" spans="1:54" ht="15" customHeight="1">
      <c r="A65" s="469">
        <f>'Box Schedule'!A70</f>
        <v>0</v>
      </c>
      <c r="B65" s="482">
        <f>'Box Schedule'!AV70</f>
        <v>0</v>
      </c>
      <c r="C65" s="483" t="str">
        <f>IF((B65&gt;0),(VLOOKUP(J65,'Valve Reference'!$A$2:$K$389,3)),"-")</f>
        <v>-</v>
      </c>
      <c r="D65" s="471" t="s">
        <v>577</v>
      </c>
      <c r="E65" s="484" t="str">
        <f>IF((B65&gt;0),('Vlookup Tables'!$B$37),"-")</f>
        <v>-</v>
      </c>
      <c r="F65" s="585" t="str">
        <f t="shared" si="2"/>
        <v>-</v>
      </c>
      <c r="G65" s="485" t="str">
        <f>IF((B65&gt;0),(VLOOKUP($B65,'Vlookup Tables'!$B$23:$F$33,2,TRUE)),"-")</f>
        <v>-</v>
      </c>
      <c r="H65" s="586" t="str">
        <f t="shared" si="3"/>
        <v>-</v>
      </c>
      <c r="I65" s="476" t="str">
        <f>IF((B65&gt;0),('Vlookup Tables'!$B$35),"-")</f>
        <v>-</v>
      </c>
      <c r="J65" s="477" t="str">
        <f>IF(B65&gt;0,(IF(D65="2-Way",VLOOKUP($G65,'Vlookup Tables'!$C$23:$F$33,2,FALSE),VLOOKUP($G65,'Vlookup Tables'!$C$23:$F$33,3,FALSE))),"-")</f>
        <v>-</v>
      </c>
      <c r="K65" s="478" t="str">
        <f>IF(B65&gt;0,(VLOOKUP(J65,'Valve Reference'!$A$2:$K$389,4)),"-")</f>
        <v>-</v>
      </c>
      <c r="L65" s="478" t="str">
        <f>IF(B65&gt;0,(VLOOKUP(J65,'Valve Reference'!$A$2:$K$389,5)),"-")</f>
        <v>-</v>
      </c>
      <c r="M65" s="478" t="str">
        <f>IF(B65&gt;0,(VLOOKUP(J65,'Valve Reference'!$A$2:$K$389,8)),"-")</f>
        <v>-</v>
      </c>
      <c r="N65" s="478" t="str">
        <f>IF(B65&gt;0,(VLOOKUP(J65,'Valve Reference'!$A$2:$K$389,10)),"-")</f>
        <v>-</v>
      </c>
      <c r="O65" s="479" t="str">
        <f>IF(B65&gt;0,(VLOOKUP(J65,'Valve Reference'!$A$2:$K$389,11)),"-")</f>
        <v>-</v>
      </c>
      <c r="P65" s="480" t="str">
        <f>IF(B65&gt;0,(VLOOKUP(I65,'Actuator Reference'!$A$2:$H$54,2)),"-")</f>
        <v>-</v>
      </c>
      <c r="Q65" s="480" t="str">
        <f>IF(B65&gt;0,(VLOOKUP(I65,'Actuator Reference'!$A$2:$H$54,5)),"-")</f>
        <v>-</v>
      </c>
      <c r="R65" s="480" t="str">
        <f>IF(B65&gt;0,(VLOOKUP(I65,'Actuator Reference'!$A$2:$H$54,6)),"-")</f>
        <v>-</v>
      </c>
      <c r="S65" s="480" t="str">
        <f>IF(B65&gt;0,(VLOOKUP(I65,'Actuator Reference'!$A$2:$H$54,7)),"-")</f>
        <v>-</v>
      </c>
      <c r="T65" s="481" t="str">
        <f>IF(B65&gt;0,(VLOOKUP(I65,'Actuator Reference'!$A$2:$H$54,8)),"-")</f>
        <v>-</v>
      </c>
      <c r="U65" s="39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5">
        <v>1</v>
      </c>
      <c r="AG65" s="35" t="s">
        <v>1097</v>
      </c>
      <c r="AH65" s="38" t="str">
        <f t="shared" si="5"/>
        <v>---</v>
      </c>
      <c r="AI65" s="594" t="str">
        <f t="shared" si="1"/>
        <v>=0</v>
      </c>
      <c r="AJ65" s="595" t="s">
        <v>1339</v>
      </c>
      <c r="AK65" s="592">
        <v>4</v>
      </c>
      <c r="AL65" s="592" t="s">
        <v>1338</v>
      </c>
      <c r="AM65" s="38"/>
      <c r="AN65" s="38"/>
      <c r="AO65" s="38"/>
      <c r="AP65" s="38"/>
      <c r="AQ65" s="38"/>
      <c r="AR65" s="38"/>
      <c r="AS65" s="38"/>
      <c r="AT65" s="38"/>
      <c r="AU65" s="38"/>
      <c r="AV65" s="40"/>
      <c r="AW65" s="38"/>
      <c r="AX65" s="38"/>
      <c r="AY65" s="38"/>
      <c r="AZ65" s="38"/>
      <c r="BA65" s="38"/>
      <c r="BB65" s="38"/>
    </row>
    <row r="66" spans="1:54" ht="15" customHeight="1">
      <c r="A66" s="469">
        <f>'Box Schedule'!A71</f>
        <v>0</v>
      </c>
      <c r="B66" s="482">
        <f>'Box Schedule'!AV71</f>
        <v>0</v>
      </c>
      <c r="C66" s="483" t="str">
        <f>IF((B66&gt;0),(VLOOKUP(J66,'Valve Reference'!$A$2:$K$389,3)),"-")</f>
        <v>-</v>
      </c>
      <c r="D66" s="471" t="s">
        <v>577</v>
      </c>
      <c r="E66" s="484" t="str">
        <f>IF((B66&gt;0),('Vlookup Tables'!$B$37),"-")</f>
        <v>-</v>
      </c>
      <c r="F66" s="585" t="str">
        <f t="shared" si="2"/>
        <v>-</v>
      </c>
      <c r="G66" s="485" t="str">
        <f>IF((B66&gt;0),(VLOOKUP($B66,'Vlookup Tables'!$B$23:$F$33,2,TRUE)),"-")</f>
        <v>-</v>
      </c>
      <c r="H66" s="586" t="str">
        <f t="shared" si="3"/>
        <v>-</v>
      </c>
      <c r="I66" s="476" t="str">
        <f>IF((B66&gt;0),('Vlookup Tables'!$B$35),"-")</f>
        <v>-</v>
      </c>
      <c r="J66" s="477" t="str">
        <f>IF(B66&gt;0,(IF(D66="2-Way",VLOOKUP($G66,'Vlookup Tables'!$C$23:$F$33,2,FALSE),VLOOKUP($G66,'Vlookup Tables'!$C$23:$F$33,3,FALSE))),"-")</f>
        <v>-</v>
      </c>
      <c r="K66" s="478" t="str">
        <f>IF(B66&gt;0,(VLOOKUP(J66,'Valve Reference'!$A$2:$K$389,4)),"-")</f>
        <v>-</v>
      </c>
      <c r="L66" s="478" t="str">
        <f>IF(B66&gt;0,(VLOOKUP(J66,'Valve Reference'!$A$2:$K$389,5)),"-")</f>
        <v>-</v>
      </c>
      <c r="M66" s="478" t="str">
        <f>IF(B66&gt;0,(VLOOKUP(J66,'Valve Reference'!$A$2:$K$389,8)),"-")</f>
        <v>-</v>
      </c>
      <c r="N66" s="478" t="str">
        <f>IF(B66&gt;0,(VLOOKUP(J66,'Valve Reference'!$A$2:$K$389,10)),"-")</f>
        <v>-</v>
      </c>
      <c r="O66" s="479" t="str">
        <f>IF(B66&gt;0,(VLOOKUP(J66,'Valve Reference'!$A$2:$K$389,11)),"-")</f>
        <v>-</v>
      </c>
      <c r="P66" s="480" t="str">
        <f>IF(B66&gt;0,(VLOOKUP(I66,'Actuator Reference'!$A$2:$H$54,2)),"-")</f>
        <v>-</v>
      </c>
      <c r="Q66" s="480" t="str">
        <f>IF(B66&gt;0,(VLOOKUP(I66,'Actuator Reference'!$A$2:$H$54,5)),"-")</f>
        <v>-</v>
      </c>
      <c r="R66" s="480" t="str">
        <f>IF(B66&gt;0,(VLOOKUP(I66,'Actuator Reference'!$A$2:$H$54,6)),"-")</f>
        <v>-</v>
      </c>
      <c r="S66" s="480" t="str">
        <f>IF(B66&gt;0,(VLOOKUP(I66,'Actuator Reference'!$A$2:$H$54,7)),"-")</f>
        <v>-</v>
      </c>
      <c r="T66" s="481" t="str">
        <f>IF(B66&gt;0,(VLOOKUP(I66,'Actuator Reference'!$A$2:$H$54,8)),"-")</f>
        <v>-</v>
      </c>
      <c r="U66" s="39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5">
        <v>1</v>
      </c>
      <c r="AG66" s="35" t="s">
        <v>1097</v>
      </c>
      <c r="AH66" s="38" t="str">
        <f t="shared" si="5"/>
        <v>---</v>
      </c>
      <c r="AI66" s="594" t="str">
        <f t="shared" si="1"/>
        <v>=0</v>
      </c>
      <c r="AJ66" s="595" t="s">
        <v>1339</v>
      </c>
      <c r="AK66" s="592">
        <v>4</v>
      </c>
      <c r="AL66" s="592" t="s">
        <v>1338</v>
      </c>
      <c r="AM66" s="38"/>
      <c r="AN66" s="38"/>
      <c r="AO66" s="38"/>
      <c r="AP66" s="38"/>
      <c r="AQ66" s="38"/>
      <c r="AR66" s="38"/>
      <c r="AS66" s="38"/>
      <c r="AT66" s="38"/>
      <c r="AU66" s="38"/>
      <c r="AV66" s="40"/>
      <c r="AW66" s="38"/>
      <c r="AX66" s="38"/>
      <c r="AY66" s="38"/>
      <c r="AZ66" s="38"/>
      <c r="BA66" s="38"/>
      <c r="BB66" s="38"/>
    </row>
    <row r="67" spans="1:54" ht="15" customHeight="1">
      <c r="A67" s="469">
        <f>'Box Schedule'!A72</f>
        <v>0</v>
      </c>
      <c r="B67" s="482">
        <f>'Box Schedule'!AV72</f>
        <v>0</v>
      </c>
      <c r="C67" s="483" t="str">
        <f>IF((B67&gt;0),(VLOOKUP(J67,'Valve Reference'!$A$2:$K$389,3)),"-")</f>
        <v>-</v>
      </c>
      <c r="D67" s="471" t="s">
        <v>577</v>
      </c>
      <c r="E67" s="484" t="str">
        <f>IF((B67&gt;0),('Vlookup Tables'!$B$37),"-")</f>
        <v>-</v>
      </c>
      <c r="F67" s="585" t="str">
        <f t="shared" si="2"/>
        <v>-</v>
      </c>
      <c r="G67" s="485" t="str">
        <f>IF((B67&gt;0),(VLOOKUP($B67,'Vlookup Tables'!$B$23:$F$33,2,TRUE)),"-")</f>
        <v>-</v>
      </c>
      <c r="H67" s="586" t="str">
        <f t="shared" si="3"/>
        <v>-</v>
      </c>
      <c r="I67" s="476" t="str">
        <f>IF((B67&gt;0),('Vlookup Tables'!$B$35),"-")</f>
        <v>-</v>
      </c>
      <c r="J67" s="477" t="str">
        <f>IF(B67&gt;0,(IF(D67="2-Way",VLOOKUP($G67,'Vlookup Tables'!$C$23:$F$33,2,FALSE),VLOOKUP($G67,'Vlookup Tables'!$C$23:$F$33,3,FALSE))),"-")</f>
        <v>-</v>
      </c>
      <c r="K67" s="478" t="str">
        <f>IF(B67&gt;0,(VLOOKUP(J67,'Valve Reference'!$A$2:$K$389,4)),"-")</f>
        <v>-</v>
      </c>
      <c r="L67" s="478" t="str">
        <f>IF(B67&gt;0,(VLOOKUP(J67,'Valve Reference'!$A$2:$K$389,5)),"-")</f>
        <v>-</v>
      </c>
      <c r="M67" s="478" t="str">
        <f>IF(B67&gt;0,(VLOOKUP(J67,'Valve Reference'!$A$2:$K$389,8)),"-")</f>
        <v>-</v>
      </c>
      <c r="N67" s="478" t="str">
        <f>IF(B67&gt;0,(VLOOKUP(J67,'Valve Reference'!$A$2:$K$389,10)),"-")</f>
        <v>-</v>
      </c>
      <c r="O67" s="479" t="str">
        <f>IF(B67&gt;0,(VLOOKUP(J67,'Valve Reference'!$A$2:$K$389,11)),"-")</f>
        <v>-</v>
      </c>
      <c r="P67" s="480" t="str">
        <f>IF(B67&gt;0,(VLOOKUP(I67,'Actuator Reference'!$A$2:$H$54,2)),"-")</f>
        <v>-</v>
      </c>
      <c r="Q67" s="480" t="str">
        <f>IF(B67&gt;0,(VLOOKUP(I67,'Actuator Reference'!$A$2:$H$54,5)),"-")</f>
        <v>-</v>
      </c>
      <c r="R67" s="480" t="str">
        <f>IF(B67&gt;0,(VLOOKUP(I67,'Actuator Reference'!$A$2:$H$54,6)),"-")</f>
        <v>-</v>
      </c>
      <c r="S67" s="480" t="str">
        <f>IF(B67&gt;0,(VLOOKUP(I67,'Actuator Reference'!$A$2:$H$54,7)),"-")</f>
        <v>-</v>
      </c>
      <c r="T67" s="481" t="str">
        <f>IF(B67&gt;0,(VLOOKUP(I67,'Actuator Reference'!$A$2:$H$54,8)),"-")</f>
        <v>-</v>
      </c>
      <c r="U67" s="39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5">
        <v>1</v>
      </c>
      <c r="AG67" s="35" t="s">
        <v>1097</v>
      </c>
      <c r="AH67" s="38" t="str">
        <f t="shared" si="5"/>
        <v>---</v>
      </c>
      <c r="AI67" s="594" t="str">
        <f t="shared" si="1"/>
        <v>=0</v>
      </c>
      <c r="AJ67" s="595" t="s">
        <v>1339</v>
      </c>
      <c r="AK67" s="592">
        <v>4</v>
      </c>
      <c r="AL67" s="592" t="s">
        <v>1338</v>
      </c>
      <c r="AM67" s="38"/>
      <c r="AN67" s="38"/>
      <c r="AO67" s="38"/>
      <c r="AP67" s="38"/>
      <c r="AQ67" s="38"/>
      <c r="AR67" s="38"/>
      <c r="AS67" s="38"/>
      <c r="AT67" s="38"/>
      <c r="AU67" s="38"/>
      <c r="AV67" s="40"/>
      <c r="AW67" s="38"/>
      <c r="AX67" s="38"/>
      <c r="AY67" s="38"/>
      <c r="AZ67" s="38"/>
      <c r="BA67" s="38"/>
      <c r="BB67" s="38"/>
    </row>
    <row r="68" spans="1:54" ht="15" customHeight="1">
      <c r="A68" s="469">
        <f>'Box Schedule'!A73</f>
        <v>0</v>
      </c>
      <c r="B68" s="482">
        <f>'Box Schedule'!AV73</f>
        <v>0</v>
      </c>
      <c r="C68" s="483" t="str">
        <f>IF((B68&gt;0),(VLOOKUP(J68,'Valve Reference'!$A$2:$K$389,3)),"-")</f>
        <v>-</v>
      </c>
      <c r="D68" s="471" t="s">
        <v>577</v>
      </c>
      <c r="E68" s="484" t="str">
        <f>IF((B68&gt;0),('Vlookup Tables'!$B$37),"-")</f>
        <v>-</v>
      </c>
      <c r="F68" s="585" t="str">
        <f t="shared" si="2"/>
        <v>-</v>
      </c>
      <c r="G68" s="485" t="str">
        <f>IF((B68&gt;0),(VLOOKUP($B68,'Vlookup Tables'!$B$23:$F$33,2,TRUE)),"-")</f>
        <v>-</v>
      </c>
      <c r="H68" s="586" t="str">
        <f t="shared" si="3"/>
        <v>-</v>
      </c>
      <c r="I68" s="476" t="str">
        <f>IF((B68&gt;0),('Vlookup Tables'!$B$35),"-")</f>
        <v>-</v>
      </c>
      <c r="J68" s="477" t="str">
        <f>IF(B68&gt;0,(IF(D68="2-Way",VLOOKUP($G68,'Vlookup Tables'!$C$23:$F$33,2,FALSE),VLOOKUP($G68,'Vlookup Tables'!$C$23:$F$33,3,FALSE))),"-")</f>
        <v>-</v>
      </c>
      <c r="K68" s="478" t="str">
        <f>IF(B68&gt;0,(VLOOKUP(J68,'Valve Reference'!$A$2:$K$389,4)),"-")</f>
        <v>-</v>
      </c>
      <c r="L68" s="478" t="str">
        <f>IF(B68&gt;0,(VLOOKUP(J68,'Valve Reference'!$A$2:$K$389,5)),"-")</f>
        <v>-</v>
      </c>
      <c r="M68" s="478" t="str">
        <f>IF(B68&gt;0,(VLOOKUP(J68,'Valve Reference'!$A$2:$K$389,8)),"-")</f>
        <v>-</v>
      </c>
      <c r="N68" s="478" t="str">
        <f>IF(B68&gt;0,(VLOOKUP(J68,'Valve Reference'!$A$2:$K$389,10)),"-")</f>
        <v>-</v>
      </c>
      <c r="O68" s="479" t="str">
        <f>IF(B68&gt;0,(VLOOKUP(J68,'Valve Reference'!$A$2:$K$389,11)),"-")</f>
        <v>-</v>
      </c>
      <c r="P68" s="480" t="str">
        <f>IF(B68&gt;0,(VLOOKUP(I68,'Actuator Reference'!$A$2:$H$54,2)),"-")</f>
        <v>-</v>
      </c>
      <c r="Q68" s="480" t="str">
        <f>IF(B68&gt;0,(VLOOKUP(I68,'Actuator Reference'!$A$2:$H$54,5)),"-")</f>
        <v>-</v>
      </c>
      <c r="R68" s="480" t="str">
        <f>IF(B68&gt;0,(VLOOKUP(I68,'Actuator Reference'!$A$2:$H$54,6)),"-")</f>
        <v>-</v>
      </c>
      <c r="S68" s="480" t="str">
        <f>IF(B68&gt;0,(VLOOKUP(I68,'Actuator Reference'!$A$2:$H$54,7)),"-")</f>
        <v>-</v>
      </c>
      <c r="T68" s="481" t="str">
        <f>IF(B68&gt;0,(VLOOKUP(I68,'Actuator Reference'!$A$2:$H$54,8)),"-")</f>
        <v>-</v>
      </c>
      <c r="U68" s="39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5">
        <v>1</v>
      </c>
      <c r="AG68" s="35" t="s">
        <v>1097</v>
      </c>
      <c r="AH68" s="38" t="str">
        <f t="shared" si="5"/>
        <v>---</v>
      </c>
      <c r="AI68" s="594" t="str">
        <f t="shared" si="1"/>
        <v>=0</v>
      </c>
      <c r="AJ68" s="595" t="s">
        <v>1339</v>
      </c>
      <c r="AK68" s="592">
        <v>4</v>
      </c>
      <c r="AL68" s="592" t="s">
        <v>1338</v>
      </c>
      <c r="AM68" s="38"/>
      <c r="AN68" s="38"/>
      <c r="AO68" s="38"/>
      <c r="AP68" s="38"/>
      <c r="AQ68" s="38"/>
      <c r="AR68" s="38"/>
      <c r="AS68" s="38"/>
      <c r="AT68" s="38"/>
      <c r="AU68" s="38"/>
      <c r="AV68" s="40"/>
      <c r="AW68" s="38"/>
      <c r="AX68" s="38"/>
      <c r="AY68" s="38"/>
      <c r="AZ68" s="38"/>
      <c r="BA68" s="38"/>
      <c r="BB68" s="38"/>
    </row>
    <row r="69" spans="1:54" ht="15" customHeight="1">
      <c r="A69" s="469">
        <f>'Box Schedule'!A74</f>
        <v>0</v>
      </c>
      <c r="B69" s="482">
        <f>'Box Schedule'!AV74</f>
        <v>0</v>
      </c>
      <c r="C69" s="483" t="str">
        <f>IF((B69&gt;0),(VLOOKUP(J69,'Valve Reference'!$A$2:$K$389,3)),"-")</f>
        <v>-</v>
      </c>
      <c r="D69" s="471" t="s">
        <v>577</v>
      </c>
      <c r="E69" s="484" t="str">
        <f>IF((B69&gt;0),('Vlookup Tables'!$B$37),"-")</f>
        <v>-</v>
      </c>
      <c r="F69" s="585" t="str">
        <f t="shared" si="2"/>
        <v>-</v>
      </c>
      <c r="G69" s="485" t="str">
        <f>IF((B69&gt;0),(VLOOKUP($B69,'Vlookup Tables'!$B$23:$F$33,2,TRUE)),"-")</f>
        <v>-</v>
      </c>
      <c r="H69" s="586" t="str">
        <f t="shared" si="3"/>
        <v>-</v>
      </c>
      <c r="I69" s="476" t="str">
        <f>IF((B69&gt;0),('Vlookup Tables'!$B$35),"-")</f>
        <v>-</v>
      </c>
      <c r="J69" s="477" t="str">
        <f>IF(B69&gt;0,(IF(D69="2-Way",VLOOKUP($G69,'Vlookup Tables'!$C$23:$F$33,2,FALSE),VLOOKUP($G69,'Vlookup Tables'!$C$23:$F$33,3,FALSE))),"-")</f>
        <v>-</v>
      </c>
      <c r="K69" s="478" t="str">
        <f>IF(B69&gt;0,(VLOOKUP(J69,'Valve Reference'!$A$2:$K$389,4)),"-")</f>
        <v>-</v>
      </c>
      <c r="L69" s="478" t="str">
        <f>IF(B69&gt;0,(VLOOKUP(J69,'Valve Reference'!$A$2:$K$389,5)),"-")</f>
        <v>-</v>
      </c>
      <c r="M69" s="478" t="str">
        <f>IF(B69&gt;0,(VLOOKUP(J69,'Valve Reference'!$A$2:$K$389,8)),"-")</f>
        <v>-</v>
      </c>
      <c r="N69" s="478" t="str">
        <f>IF(B69&gt;0,(VLOOKUP(J69,'Valve Reference'!$A$2:$K$389,10)),"-")</f>
        <v>-</v>
      </c>
      <c r="O69" s="479" t="str">
        <f>IF(B69&gt;0,(VLOOKUP(J69,'Valve Reference'!$A$2:$K$389,11)),"-")</f>
        <v>-</v>
      </c>
      <c r="P69" s="480" t="str">
        <f>IF(B69&gt;0,(VLOOKUP(I69,'Actuator Reference'!$A$2:$H$54,2)),"-")</f>
        <v>-</v>
      </c>
      <c r="Q69" s="480" t="str">
        <f>IF(B69&gt;0,(VLOOKUP(I69,'Actuator Reference'!$A$2:$H$54,5)),"-")</f>
        <v>-</v>
      </c>
      <c r="R69" s="480" t="str">
        <f>IF(B69&gt;0,(VLOOKUP(I69,'Actuator Reference'!$A$2:$H$54,6)),"-")</f>
        <v>-</v>
      </c>
      <c r="S69" s="480" t="str">
        <f>IF(B69&gt;0,(VLOOKUP(I69,'Actuator Reference'!$A$2:$H$54,7)),"-")</f>
        <v>-</v>
      </c>
      <c r="T69" s="481" t="str">
        <f>IF(B69&gt;0,(VLOOKUP(I69,'Actuator Reference'!$A$2:$H$54,8)),"-")</f>
        <v>-</v>
      </c>
      <c r="U69" s="39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5">
        <v>1</v>
      </c>
      <c r="AG69" s="35" t="s">
        <v>1097</v>
      </c>
      <c r="AH69" s="38" t="str">
        <f t="shared" si="5"/>
        <v>---</v>
      </c>
      <c r="AI69" s="594" t="str">
        <f t="shared" ref="AI69:AI132" si="6">CONCATENATE("=",A69)</f>
        <v>=0</v>
      </c>
      <c r="AJ69" s="595" t="s">
        <v>1339</v>
      </c>
      <c r="AK69" s="592">
        <v>4</v>
      </c>
      <c r="AL69" s="592" t="s">
        <v>1338</v>
      </c>
      <c r="AM69" s="38"/>
      <c r="AN69" s="38"/>
      <c r="AO69" s="38"/>
      <c r="AP69" s="38"/>
      <c r="AQ69" s="38"/>
      <c r="AR69" s="38"/>
      <c r="AS69" s="38"/>
      <c r="AT69" s="38"/>
      <c r="AU69" s="38"/>
      <c r="AV69" s="40"/>
      <c r="AW69" s="38"/>
      <c r="AX69" s="38"/>
      <c r="AY69" s="38"/>
      <c r="AZ69" s="38"/>
      <c r="BA69" s="38"/>
      <c r="BB69" s="38"/>
    </row>
    <row r="70" spans="1:54" ht="15" customHeight="1">
      <c r="A70" s="469">
        <f>'Box Schedule'!A75</f>
        <v>0</v>
      </c>
      <c r="B70" s="482">
        <f>'Box Schedule'!AV75</f>
        <v>0</v>
      </c>
      <c r="C70" s="483" t="str">
        <f>IF((B70&gt;0),(VLOOKUP(J70,'Valve Reference'!$A$2:$K$389,3)),"-")</f>
        <v>-</v>
      </c>
      <c r="D70" s="471" t="s">
        <v>577</v>
      </c>
      <c r="E70" s="484" t="str">
        <f>IF((B70&gt;0),('Vlookup Tables'!$B$37),"-")</f>
        <v>-</v>
      </c>
      <c r="F70" s="585" t="str">
        <f t="shared" ref="F70:F133" si="7">IF((B70&gt;0),(B70/SQRT(E70)),"-")</f>
        <v>-</v>
      </c>
      <c r="G70" s="485" t="str">
        <f>IF((B70&gt;0),(VLOOKUP($B70,'Vlookup Tables'!$B$23:$F$33,2,TRUE)),"-")</f>
        <v>-</v>
      </c>
      <c r="H70" s="586" t="str">
        <f t="shared" ref="H70:H133" si="8">IF((B70&gt;0),(1/((G70/B70)^2)),"-")</f>
        <v>-</v>
      </c>
      <c r="I70" s="476" t="str">
        <f>IF((B70&gt;0),('Vlookup Tables'!$B$35),"-")</f>
        <v>-</v>
      </c>
      <c r="J70" s="477" t="str">
        <f>IF(B70&gt;0,(IF(D70="2-Way",VLOOKUP($G70,'Vlookup Tables'!$C$23:$F$33,2,FALSE),VLOOKUP($G70,'Vlookup Tables'!$C$23:$F$33,3,FALSE))),"-")</f>
        <v>-</v>
      </c>
      <c r="K70" s="478" t="str">
        <f>IF(B70&gt;0,(VLOOKUP(J70,'Valve Reference'!$A$2:$K$389,4)),"-")</f>
        <v>-</v>
      </c>
      <c r="L70" s="478" t="str">
        <f>IF(B70&gt;0,(VLOOKUP(J70,'Valve Reference'!$A$2:$K$389,5)),"-")</f>
        <v>-</v>
      </c>
      <c r="M70" s="478" t="str">
        <f>IF(B70&gt;0,(VLOOKUP(J70,'Valve Reference'!$A$2:$K$389,8)),"-")</f>
        <v>-</v>
      </c>
      <c r="N70" s="478" t="str">
        <f>IF(B70&gt;0,(VLOOKUP(J70,'Valve Reference'!$A$2:$K$389,10)),"-")</f>
        <v>-</v>
      </c>
      <c r="O70" s="479" t="str">
        <f>IF(B70&gt;0,(VLOOKUP(J70,'Valve Reference'!$A$2:$K$389,11)),"-")</f>
        <v>-</v>
      </c>
      <c r="P70" s="480" t="str">
        <f>IF(B70&gt;0,(VLOOKUP(I70,'Actuator Reference'!$A$2:$H$54,2)),"-")</f>
        <v>-</v>
      </c>
      <c r="Q70" s="480" t="str">
        <f>IF(B70&gt;0,(VLOOKUP(I70,'Actuator Reference'!$A$2:$H$54,5)),"-")</f>
        <v>-</v>
      </c>
      <c r="R70" s="480" t="str">
        <f>IF(B70&gt;0,(VLOOKUP(I70,'Actuator Reference'!$A$2:$H$54,6)),"-")</f>
        <v>-</v>
      </c>
      <c r="S70" s="480" t="str">
        <f>IF(B70&gt;0,(VLOOKUP(I70,'Actuator Reference'!$A$2:$H$54,7)),"-")</f>
        <v>-</v>
      </c>
      <c r="T70" s="481" t="str">
        <f>IF(B70&gt;0,(VLOOKUP(I70,'Actuator Reference'!$A$2:$H$54,8)),"-")</f>
        <v>-</v>
      </c>
      <c r="U70" s="39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5">
        <v>1</v>
      </c>
      <c r="AG70" s="35" t="s">
        <v>1097</v>
      </c>
      <c r="AH70" s="38" t="str">
        <f t="shared" si="5"/>
        <v>---</v>
      </c>
      <c r="AI70" s="594" t="str">
        <f t="shared" si="6"/>
        <v>=0</v>
      </c>
      <c r="AJ70" s="595" t="s">
        <v>1339</v>
      </c>
      <c r="AK70" s="592">
        <v>4</v>
      </c>
      <c r="AL70" s="592" t="s">
        <v>1338</v>
      </c>
      <c r="AM70" s="38"/>
      <c r="AN70" s="38"/>
      <c r="AO70" s="38"/>
      <c r="AP70" s="38"/>
      <c r="AQ70" s="38"/>
      <c r="AR70" s="38"/>
      <c r="AS70" s="38"/>
      <c r="AT70" s="38"/>
      <c r="AU70" s="38"/>
      <c r="AV70" s="40"/>
      <c r="AW70" s="38"/>
      <c r="AX70" s="38"/>
      <c r="AY70" s="38"/>
      <c r="AZ70" s="38"/>
      <c r="BA70" s="38"/>
      <c r="BB70" s="38"/>
    </row>
    <row r="71" spans="1:54" ht="15" customHeight="1">
      <c r="A71" s="469">
        <f>'Box Schedule'!A76</f>
        <v>0</v>
      </c>
      <c r="B71" s="482">
        <f>'Box Schedule'!AV76</f>
        <v>0</v>
      </c>
      <c r="C71" s="483" t="str">
        <f>IF((B71&gt;0),(VLOOKUP(J71,'Valve Reference'!$A$2:$K$389,3)),"-")</f>
        <v>-</v>
      </c>
      <c r="D71" s="471" t="s">
        <v>577</v>
      </c>
      <c r="E71" s="484" t="str">
        <f>IF((B71&gt;0),('Vlookup Tables'!$B$37),"-")</f>
        <v>-</v>
      </c>
      <c r="F71" s="585" t="str">
        <f t="shared" si="7"/>
        <v>-</v>
      </c>
      <c r="G71" s="485" t="str">
        <f>IF((B71&gt;0),(VLOOKUP($B71,'Vlookup Tables'!$B$23:$F$33,2,TRUE)),"-")</f>
        <v>-</v>
      </c>
      <c r="H71" s="586" t="str">
        <f t="shared" si="8"/>
        <v>-</v>
      </c>
      <c r="I71" s="476" t="str">
        <f>IF((B71&gt;0),('Vlookup Tables'!$B$35),"-")</f>
        <v>-</v>
      </c>
      <c r="J71" s="477" t="str">
        <f>IF(B71&gt;0,(IF(D71="2-Way",VLOOKUP($G71,'Vlookup Tables'!$C$23:$F$33,2,FALSE),VLOOKUP($G71,'Vlookup Tables'!$C$23:$F$33,3,FALSE))),"-")</f>
        <v>-</v>
      </c>
      <c r="K71" s="478" t="str">
        <f>IF(B71&gt;0,(VLOOKUP(J71,'Valve Reference'!$A$2:$K$389,4)),"-")</f>
        <v>-</v>
      </c>
      <c r="L71" s="478" t="str">
        <f>IF(B71&gt;0,(VLOOKUP(J71,'Valve Reference'!$A$2:$K$389,5)),"-")</f>
        <v>-</v>
      </c>
      <c r="M71" s="478" t="str">
        <f>IF(B71&gt;0,(VLOOKUP(J71,'Valve Reference'!$A$2:$K$389,8)),"-")</f>
        <v>-</v>
      </c>
      <c r="N71" s="478" t="str">
        <f>IF(B71&gt;0,(VLOOKUP(J71,'Valve Reference'!$A$2:$K$389,10)),"-")</f>
        <v>-</v>
      </c>
      <c r="O71" s="479" t="str">
        <f>IF(B71&gt;0,(VLOOKUP(J71,'Valve Reference'!$A$2:$K$389,11)),"-")</f>
        <v>-</v>
      </c>
      <c r="P71" s="480" t="str">
        <f>IF(B71&gt;0,(VLOOKUP(I71,'Actuator Reference'!$A$2:$H$54,2)),"-")</f>
        <v>-</v>
      </c>
      <c r="Q71" s="480" t="str">
        <f>IF(B71&gt;0,(VLOOKUP(I71,'Actuator Reference'!$A$2:$H$54,5)),"-")</f>
        <v>-</v>
      </c>
      <c r="R71" s="480" t="str">
        <f>IF(B71&gt;0,(VLOOKUP(I71,'Actuator Reference'!$A$2:$H$54,6)),"-")</f>
        <v>-</v>
      </c>
      <c r="S71" s="480" t="str">
        <f>IF(B71&gt;0,(VLOOKUP(I71,'Actuator Reference'!$A$2:$H$54,7)),"-")</f>
        <v>-</v>
      </c>
      <c r="T71" s="481" t="str">
        <f>IF(B71&gt;0,(VLOOKUP(I71,'Actuator Reference'!$A$2:$H$54,8)),"-")</f>
        <v>-</v>
      </c>
      <c r="U71" s="39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5">
        <v>1</v>
      </c>
      <c r="AG71" s="35" t="s">
        <v>1097</v>
      </c>
      <c r="AH71" s="38" t="str">
        <f t="shared" si="5"/>
        <v>---</v>
      </c>
      <c r="AI71" s="594" t="str">
        <f t="shared" si="6"/>
        <v>=0</v>
      </c>
      <c r="AJ71" s="595" t="s">
        <v>1339</v>
      </c>
      <c r="AK71" s="592">
        <v>4</v>
      </c>
      <c r="AL71" s="592" t="s">
        <v>1338</v>
      </c>
      <c r="AM71" s="38"/>
      <c r="AN71" s="38"/>
      <c r="AO71" s="38"/>
      <c r="AP71" s="38"/>
      <c r="AQ71" s="38"/>
      <c r="AR71" s="38"/>
      <c r="AS71" s="38"/>
      <c r="AT71" s="38"/>
      <c r="AU71" s="38"/>
      <c r="AV71" s="40"/>
      <c r="AW71" s="38"/>
      <c r="AX71" s="38"/>
      <c r="AY71" s="38"/>
      <c r="AZ71" s="38"/>
      <c r="BA71" s="38"/>
      <c r="BB71" s="38"/>
    </row>
    <row r="72" spans="1:54" ht="15" customHeight="1">
      <c r="A72" s="469">
        <f>'Box Schedule'!A77</f>
        <v>0</v>
      </c>
      <c r="B72" s="482">
        <f>'Box Schedule'!AV77</f>
        <v>0</v>
      </c>
      <c r="C72" s="483" t="str">
        <f>IF((B72&gt;0),(VLOOKUP(J72,'Valve Reference'!$A$2:$K$389,3)),"-")</f>
        <v>-</v>
      </c>
      <c r="D72" s="471" t="s">
        <v>577</v>
      </c>
      <c r="E72" s="484" t="str">
        <f>IF((B72&gt;0),('Vlookup Tables'!$B$37),"-")</f>
        <v>-</v>
      </c>
      <c r="F72" s="585" t="str">
        <f t="shared" si="7"/>
        <v>-</v>
      </c>
      <c r="G72" s="485" t="str">
        <f>IF((B72&gt;0),(VLOOKUP($B72,'Vlookup Tables'!$B$23:$F$33,2,TRUE)),"-")</f>
        <v>-</v>
      </c>
      <c r="H72" s="586" t="str">
        <f t="shared" si="8"/>
        <v>-</v>
      </c>
      <c r="I72" s="476" t="str">
        <f>IF((B72&gt;0),('Vlookup Tables'!$B$35),"-")</f>
        <v>-</v>
      </c>
      <c r="J72" s="477" t="str">
        <f>IF(B72&gt;0,(IF(D72="2-Way",VLOOKUP($G72,'Vlookup Tables'!$C$23:$F$33,2,FALSE),VLOOKUP($G72,'Vlookup Tables'!$C$23:$F$33,3,FALSE))),"-")</f>
        <v>-</v>
      </c>
      <c r="K72" s="478" t="str">
        <f>IF(B72&gt;0,(VLOOKUP(J72,'Valve Reference'!$A$2:$K$389,4)),"-")</f>
        <v>-</v>
      </c>
      <c r="L72" s="478" t="str">
        <f>IF(B72&gt;0,(VLOOKUP(J72,'Valve Reference'!$A$2:$K$389,5)),"-")</f>
        <v>-</v>
      </c>
      <c r="M72" s="478" t="str">
        <f>IF(B72&gt;0,(VLOOKUP(J72,'Valve Reference'!$A$2:$K$389,8)),"-")</f>
        <v>-</v>
      </c>
      <c r="N72" s="478" t="str">
        <f>IF(B72&gt;0,(VLOOKUP(J72,'Valve Reference'!$A$2:$K$389,10)),"-")</f>
        <v>-</v>
      </c>
      <c r="O72" s="479" t="str">
        <f>IF(B72&gt;0,(VLOOKUP(J72,'Valve Reference'!$A$2:$K$389,11)),"-")</f>
        <v>-</v>
      </c>
      <c r="P72" s="480" t="str">
        <f>IF(B72&gt;0,(VLOOKUP(I72,'Actuator Reference'!$A$2:$H$54,2)),"-")</f>
        <v>-</v>
      </c>
      <c r="Q72" s="480" t="str">
        <f>IF(B72&gt;0,(VLOOKUP(I72,'Actuator Reference'!$A$2:$H$54,5)),"-")</f>
        <v>-</v>
      </c>
      <c r="R72" s="480" t="str">
        <f>IF(B72&gt;0,(VLOOKUP(I72,'Actuator Reference'!$A$2:$H$54,6)),"-")</f>
        <v>-</v>
      </c>
      <c r="S72" s="480" t="str">
        <f>IF(B72&gt;0,(VLOOKUP(I72,'Actuator Reference'!$A$2:$H$54,7)),"-")</f>
        <v>-</v>
      </c>
      <c r="T72" s="481" t="str">
        <f>IF(B72&gt;0,(VLOOKUP(I72,'Actuator Reference'!$A$2:$H$54,8)),"-")</f>
        <v>-</v>
      </c>
      <c r="U72" s="39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5">
        <v>1</v>
      </c>
      <c r="AG72" s="35" t="s">
        <v>1097</v>
      </c>
      <c r="AH72" s="38" t="str">
        <f t="shared" si="5"/>
        <v>---</v>
      </c>
      <c r="AI72" s="594" t="str">
        <f t="shared" si="6"/>
        <v>=0</v>
      </c>
      <c r="AJ72" s="595" t="s">
        <v>1339</v>
      </c>
      <c r="AK72" s="592">
        <v>4</v>
      </c>
      <c r="AL72" s="592" t="s">
        <v>1338</v>
      </c>
      <c r="AM72" s="38"/>
      <c r="AN72" s="38"/>
      <c r="AO72" s="38"/>
      <c r="AP72" s="38"/>
      <c r="AQ72" s="38"/>
      <c r="AR72" s="38"/>
      <c r="AS72" s="38"/>
      <c r="AT72" s="38"/>
      <c r="AU72" s="38"/>
      <c r="AV72" s="40"/>
      <c r="AW72" s="38"/>
      <c r="AX72" s="38"/>
      <c r="AY72" s="38"/>
      <c r="AZ72" s="38"/>
      <c r="BA72" s="38"/>
      <c r="BB72" s="38"/>
    </row>
    <row r="73" spans="1:54" ht="15" customHeight="1">
      <c r="A73" s="469">
        <f>'Box Schedule'!A78</f>
        <v>0</v>
      </c>
      <c r="B73" s="482">
        <f>'Box Schedule'!AV78</f>
        <v>0</v>
      </c>
      <c r="C73" s="483" t="str">
        <f>IF((B73&gt;0),(VLOOKUP(J73,'Valve Reference'!$A$2:$K$389,3)),"-")</f>
        <v>-</v>
      </c>
      <c r="D73" s="471" t="s">
        <v>577</v>
      </c>
      <c r="E73" s="484" t="str">
        <f>IF((B73&gt;0),('Vlookup Tables'!$B$37),"-")</f>
        <v>-</v>
      </c>
      <c r="F73" s="585" t="str">
        <f t="shared" si="7"/>
        <v>-</v>
      </c>
      <c r="G73" s="485" t="str">
        <f>IF((B73&gt;0),(VLOOKUP($B73,'Vlookup Tables'!$B$23:$F$33,2,TRUE)),"-")</f>
        <v>-</v>
      </c>
      <c r="H73" s="586" t="str">
        <f t="shared" si="8"/>
        <v>-</v>
      </c>
      <c r="I73" s="476" t="str">
        <f>IF((B73&gt;0),('Vlookup Tables'!$B$35),"-")</f>
        <v>-</v>
      </c>
      <c r="J73" s="477" t="str">
        <f>IF(B73&gt;0,(IF(D73="2-Way",VLOOKUP($G73,'Vlookup Tables'!$C$23:$F$33,2,FALSE),VLOOKUP($G73,'Vlookup Tables'!$C$23:$F$33,3,FALSE))),"-")</f>
        <v>-</v>
      </c>
      <c r="K73" s="478" t="str">
        <f>IF(B73&gt;0,(VLOOKUP(J73,'Valve Reference'!$A$2:$K$389,4)),"-")</f>
        <v>-</v>
      </c>
      <c r="L73" s="478" t="str">
        <f>IF(B73&gt;0,(VLOOKUP(J73,'Valve Reference'!$A$2:$K$389,5)),"-")</f>
        <v>-</v>
      </c>
      <c r="M73" s="478" t="str">
        <f>IF(B73&gt;0,(VLOOKUP(J73,'Valve Reference'!$A$2:$K$389,8)),"-")</f>
        <v>-</v>
      </c>
      <c r="N73" s="478" t="str">
        <f>IF(B73&gt;0,(VLOOKUP(J73,'Valve Reference'!$A$2:$K$389,10)),"-")</f>
        <v>-</v>
      </c>
      <c r="O73" s="479" t="str">
        <f>IF(B73&gt;0,(VLOOKUP(J73,'Valve Reference'!$A$2:$K$389,11)),"-")</f>
        <v>-</v>
      </c>
      <c r="P73" s="480" t="str">
        <f>IF(B73&gt;0,(VLOOKUP(I73,'Actuator Reference'!$A$2:$H$54,2)),"-")</f>
        <v>-</v>
      </c>
      <c r="Q73" s="480" t="str">
        <f>IF(B73&gt;0,(VLOOKUP(I73,'Actuator Reference'!$A$2:$H$54,5)),"-")</f>
        <v>-</v>
      </c>
      <c r="R73" s="480" t="str">
        <f>IF(B73&gt;0,(VLOOKUP(I73,'Actuator Reference'!$A$2:$H$54,6)),"-")</f>
        <v>-</v>
      </c>
      <c r="S73" s="480" t="str">
        <f>IF(B73&gt;0,(VLOOKUP(I73,'Actuator Reference'!$A$2:$H$54,7)),"-")</f>
        <v>-</v>
      </c>
      <c r="T73" s="481" t="str">
        <f>IF(B73&gt;0,(VLOOKUP(I73,'Actuator Reference'!$A$2:$H$54,8)),"-")</f>
        <v>-</v>
      </c>
      <c r="U73" s="39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5">
        <v>1</v>
      </c>
      <c r="AG73" s="35" t="s">
        <v>1097</v>
      </c>
      <c r="AH73" s="38" t="str">
        <f t="shared" si="5"/>
        <v>---</v>
      </c>
      <c r="AI73" s="594" t="str">
        <f t="shared" si="6"/>
        <v>=0</v>
      </c>
      <c r="AJ73" s="595" t="s">
        <v>1339</v>
      </c>
      <c r="AK73" s="592">
        <v>4</v>
      </c>
      <c r="AL73" s="592" t="s">
        <v>1338</v>
      </c>
      <c r="AM73" s="38"/>
      <c r="AN73" s="38"/>
      <c r="AO73" s="38"/>
      <c r="AP73" s="38"/>
      <c r="AQ73" s="38"/>
      <c r="AR73" s="38"/>
      <c r="AS73" s="38"/>
      <c r="AT73" s="38"/>
      <c r="AU73" s="38"/>
      <c r="AV73" s="40"/>
      <c r="AW73" s="38"/>
      <c r="AX73" s="38"/>
      <c r="AY73" s="38"/>
      <c r="AZ73" s="38"/>
      <c r="BA73" s="38"/>
      <c r="BB73" s="38"/>
    </row>
    <row r="74" spans="1:54" ht="15" customHeight="1">
      <c r="A74" s="469">
        <f>'Box Schedule'!A79</f>
        <v>0</v>
      </c>
      <c r="B74" s="482">
        <f>'Box Schedule'!AV79</f>
        <v>0</v>
      </c>
      <c r="C74" s="483" t="str">
        <f>IF((B74&gt;0),(VLOOKUP(J74,'Valve Reference'!$A$2:$K$389,3)),"-")</f>
        <v>-</v>
      </c>
      <c r="D74" s="471" t="s">
        <v>577</v>
      </c>
      <c r="E74" s="484" t="str">
        <f>IF((B74&gt;0),('Vlookup Tables'!$B$37),"-")</f>
        <v>-</v>
      </c>
      <c r="F74" s="585" t="str">
        <f t="shared" si="7"/>
        <v>-</v>
      </c>
      <c r="G74" s="485" t="str">
        <f>IF((B74&gt;0),(VLOOKUP($B74,'Vlookup Tables'!$B$23:$F$33,2,TRUE)),"-")</f>
        <v>-</v>
      </c>
      <c r="H74" s="586" t="str">
        <f t="shared" si="8"/>
        <v>-</v>
      </c>
      <c r="I74" s="476" t="str">
        <f>IF((B74&gt;0),('Vlookup Tables'!$B$35),"-")</f>
        <v>-</v>
      </c>
      <c r="J74" s="477" t="str">
        <f>IF(B74&gt;0,(IF(D74="2-Way",VLOOKUP($G74,'Vlookup Tables'!$C$23:$F$33,2,FALSE),VLOOKUP($G74,'Vlookup Tables'!$C$23:$F$33,3,FALSE))),"-")</f>
        <v>-</v>
      </c>
      <c r="K74" s="478" t="str">
        <f>IF(B74&gt;0,(VLOOKUP(J74,'Valve Reference'!$A$2:$K$389,4)),"-")</f>
        <v>-</v>
      </c>
      <c r="L74" s="478" t="str">
        <f>IF(B74&gt;0,(VLOOKUP(J74,'Valve Reference'!$A$2:$K$389,5)),"-")</f>
        <v>-</v>
      </c>
      <c r="M74" s="478" t="str">
        <f>IF(B74&gt;0,(VLOOKUP(J74,'Valve Reference'!$A$2:$K$389,8)),"-")</f>
        <v>-</v>
      </c>
      <c r="N74" s="478" t="str">
        <f>IF(B74&gt;0,(VLOOKUP(J74,'Valve Reference'!$A$2:$K$389,10)),"-")</f>
        <v>-</v>
      </c>
      <c r="O74" s="479" t="str">
        <f>IF(B74&gt;0,(VLOOKUP(J74,'Valve Reference'!$A$2:$K$389,11)),"-")</f>
        <v>-</v>
      </c>
      <c r="P74" s="480" t="str">
        <f>IF(B74&gt;0,(VLOOKUP(I74,'Actuator Reference'!$A$2:$H$54,2)),"-")</f>
        <v>-</v>
      </c>
      <c r="Q74" s="480" t="str">
        <f>IF(B74&gt;0,(VLOOKUP(I74,'Actuator Reference'!$A$2:$H$54,5)),"-")</f>
        <v>-</v>
      </c>
      <c r="R74" s="480" t="str">
        <f>IF(B74&gt;0,(VLOOKUP(I74,'Actuator Reference'!$A$2:$H$54,6)),"-")</f>
        <v>-</v>
      </c>
      <c r="S74" s="480" t="str">
        <f>IF(B74&gt;0,(VLOOKUP(I74,'Actuator Reference'!$A$2:$H$54,7)),"-")</f>
        <v>-</v>
      </c>
      <c r="T74" s="481" t="str">
        <f>IF(B74&gt;0,(VLOOKUP(I74,'Actuator Reference'!$A$2:$H$54,8)),"-")</f>
        <v>-</v>
      </c>
      <c r="U74" s="39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5">
        <v>1</v>
      </c>
      <c r="AG74" s="35" t="s">
        <v>1097</v>
      </c>
      <c r="AH74" s="38" t="str">
        <f t="shared" si="5"/>
        <v>---</v>
      </c>
      <c r="AI74" s="594" t="str">
        <f t="shared" si="6"/>
        <v>=0</v>
      </c>
      <c r="AJ74" s="595" t="s">
        <v>1339</v>
      </c>
      <c r="AK74" s="592">
        <v>4</v>
      </c>
      <c r="AL74" s="592" t="s">
        <v>1338</v>
      </c>
      <c r="AM74" s="38"/>
      <c r="AN74" s="38"/>
      <c r="AO74" s="38"/>
      <c r="AP74" s="38"/>
      <c r="AQ74" s="38"/>
      <c r="AR74" s="38"/>
      <c r="AS74" s="38"/>
      <c r="AT74" s="38"/>
      <c r="AU74" s="38"/>
      <c r="AV74" s="40"/>
      <c r="AW74" s="38"/>
      <c r="AX74" s="38"/>
      <c r="AY74" s="38"/>
      <c r="AZ74" s="38"/>
      <c r="BA74" s="38"/>
      <c r="BB74" s="38"/>
    </row>
    <row r="75" spans="1:54" ht="15" customHeight="1">
      <c r="A75" s="469">
        <f>'Box Schedule'!A80</f>
        <v>0</v>
      </c>
      <c r="B75" s="482">
        <f>'Box Schedule'!AV80</f>
        <v>0</v>
      </c>
      <c r="C75" s="483" t="str">
        <f>IF((B75&gt;0),(VLOOKUP(J75,'Valve Reference'!$A$2:$K$389,3)),"-")</f>
        <v>-</v>
      </c>
      <c r="D75" s="471" t="s">
        <v>577</v>
      </c>
      <c r="E75" s="484" t="str">
        <f>IF((B75&gt;0),('Vlookup Tables'!$B$37),"-")</f>
        <v>-</v>
      </c>
      <c r="F75" s="585" t="str">
        <f t="shared" si="7"/>
        <v>-</v>
      </c>
      <c r="G75" s="485" t="str">
        <f>IF((B75&gt;0),(VLOOKUP($B75,'Vlookup Tables'!$B$23:$F$33,2,TRUE)),"-")</f>
        <v>-</v>
      </c>
      <c r="H75" s="586" t="str">
        <f t="shared" si="8"/>
        <v>-</v>
      </c>
      <c r="I75" s="476" t="str">
        <f>IF((B75&gt;0),('Vlookup Tables'!$B$35),"-")</f>
        <v>-</v>
      </c>
      <c r="J75" s="477" t="str">
        <f>IF(B75&gt;0,(IF(D75="2-Way",VLOOKUP($G75,'Vlookup Tables'!$C$23:$F$33,2,FALSE),VLOOKUP($G75,'Vlookup Tables'!$C$23:$F$33,3,FALSE))),"-")</f>
        <v>-</v>
      </c>
      <c r="K75" s="478" t="str">
        <f>IF(B75&gt;0,(VLOOKUP(J75,'Valve Reference'!$A$2:$K$389,4)),"-")</f>
        <v>-</v>
      </c>
      <c r="L75" s="478" t="str">
        <f>IF(B75&gt;0,(VLOOKUP(J75,'Valve Reference'!$A$2:$K$389,5)),"-")</f>
        <v>-</v>
      </c>
      <c r="M75" s="478" t="str">
        <f>IF(B75&gt;0,(VLOOKUP(J75,'Valve Reference'!$A$2:$K$389,8)),"-")</f>
        <v>-</v>
      </c>
      <c r="N75" s="478" t="str">
        <f>IF(B75&gt;0,(VLOOKUP(J75,'Valve Reference'!$A$2:$K$389,10)),"-")</f>
        <v>-</v>
      </c>
      <c r="O75" s="479" t="str">
        <f>IF(B75&gt;0,(VLOOKUP(J75,'Valve Reference'!$A$2:$K$389,11)),"-")</f>
        <v>-</v>
      </c>
      <c r="P75" s="480" t="str">
        <f>IF(B75&gt;0,(VLOOKUP(I75,'Actuator Reference'!$A$2:$H$54,2)),"-")</f>
        <v>-</v>
      </c>
      <c r="Q75" s="480" t="str">
        <f>IF(B75&gt;0,(VLOOKUP(I75,'Actuator Reference'!$A$2:$H$54,5)),"-")</f>
        <v>-</v>
      </c>
      <c r="R75" s="480" t="str">
        <f>IF(B75&gt;0,(VLOOKUP(I75,'Actuator Reference'!$A$2:$H$54,6)),"-")</f>
        <v>-</v>
      </c>
      <c r="S75" s="480" t="str">
        <f>IF(B75&gt;0,(VLOOKUP(I75,'Actuator Reference'!$A$2:$H$54,7)),"-")</f>
        <v>-</v>
      </c>
      <c r="T75" s="481" t="str">
        <f>IF(B75&gt;0,(VLOOKUP(I75,'Actuator Reference'!$A$2:$H$54,8)),"-")</f>
        <v>-</v>
      </c>
      <c r="U75" s="39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5">
        <v>1</v>
      </c>
      <c r="AG75" s="35" t="s">
        <v>1097</v>
      </c>
      <c r="AH75" s="38" t="str">
        <f t="shared" si="5"/>
        <v>---</v>
      </c>
      <c r="AI75" s="594" t="str">
        <f t="shared" si="6"/>
        <v>=0</v>
      </c>
      <c r="AJ75" s="595" t="s">
        <v>1339</v>
      </c>
      <c r="AK75" s="592">
        <v>4</v>
      </c>
      <c r="AL75" s="592" t="s">
        <v>1338</v>
      </c>
      <c r="AM75" s="38"/>
      <c r="AN75" s="38"/>
      <c r="AO75" s="38"/>
      <c r="AP75" s="38"/>
      <c r="AQ75" s="38"/>
      <c r="AR75" s="38"/>
      <c r="AS75" s="38"/>
      <c r="AT75" s="38"/>
      <c r="AU75" s="38"/>
      <c r="AV75" s="40"/>
      <c r="AW75" s="38"/>
      <c r="AX75" s="38"/>
      <c r="AY75" s="38"/>
      <c r="AZ75" s="38"/>
      <c r="BA75" s="38"/>
      <c r="BB75" s="38"/>
    </row>
    <row r="76" spans="1:54" ht="15" customHeight="1">
      <c r="A76" s="469">
        <f>'Box Schedule'!A81</f>
        <v>0</v>
      </c>
      <c r="B76" s="482">
        <f>'Box Schedule'!AV81</f>
        <v>0</v>
      </c>
      <c r="C76" s="483" t="str">
        <f>IF((B76&gt;0),(VLOOKUP(J76,'Valve Reference'!$A$2:$K$389,3)),"-")</f>
        <v>-</v>
      </c>
      <c r="D76" s="471" t="s">
        <v>577</v>
      </c>
      <c r="E76" s="484" t="str">
        <f>IF((B76&gt;0),('Vlookup Tables'!$B$37),"-")</f>
        <v>-</v>
      </c>
      <c r="F76" s="585" t="str">
        <f t="shared" si="7"/>
        <v>-</v>
      </c>
      <c r="G76" s="485" t="str">
        <f>IF((B76&gt;0),(VLOOKUP($B76,'Vlookup Tables'!$B$23:$F$33,2,TRUE)),"-")</f>
        <v>-</v>
      </c>
      <c r="H76" s="586" t="str">
        <f t="shared" si="8"/>
        <v>-</v>
      </c>
      <c r="I76" s="476" t="str">
        <f>IF((B76&gt;0),('Vlookup Tables'!$B$35),"-")</f>
        <v>-</v>
      </c>
      <c r="J76" s="477" t="str">
        <f>IF(B76&gt;0,(IF(D76="2-Way",VLOOKUP($G76,'Vlookup Tables'!$C$23:$F$33,2,FALSE),VLOOKUP($G76,'Vlookup Tables'!$C$23:$F$33,3,FALSE))),"-")</f>
        <v>-</v>
      </c>
      <c r="K76" s="478" t="str">
        <f>IF(B76&gt;0,(VLOOKUP(J76,'Valve Reference'!$A$2:$K$389,4)),"-")</f>
        <v>-</v>
      </c>
      <c r="L76" s="478" t="str">
        <f>IF(B76&gt;0,(VLOOKUP(J76,'Valve Reference'!$A$2:$K$389,5)),"-")</f>
        <v>-</v>
      </c>
      <c r="M76" s="478" t="str">
        <f>IF(B76&gt;0,(VLOOKUP(J76,'Valve Reference'!$A$2:$K$389,8)),"-")</f>
        <v>-</v>
      </c>
      <c r="N76" s="478" t="str">
        <f>IF(B76&gt;0,(VLOOKUP(J76,'Valve Reference'!$A$2:$K$389,10)),"-")</f>
        <v>-</v>
      </c>
      <c r="O76" s="479" t="str">
        <f>IF(B76&gt;0,(VLOOKUP(J76,'Valve Reference'!$A$2:$K$389,11)),"-")</f>
        <v>-</v>
      </c>
      <c r="P76" s="480" t="str">
        <f>IF(B76&gt;0,(VLOOKUP(I76,'Actuator Reference'!$A$2:$H$54,2)),"-")</f>
        <v>-</v>
      </c>
      <c r="Q76" s="480" t="str">
        <f>IF(B76&gt;0,(VLOOKUP(I76,'Actuator Reference'!$A$2:$H$54,5)),"-")</f>
        <v>-</v>
      </c>
      <c r="R76" s="480" t="str">
        <f>IF(B76&gt;0,(VLOOKUP(I76,'Actuator Reference'!$A$2:$H$54,6)),"-")</f>
        <v>-</v>
      </c>
      <c r="S76" s="480" t="str">
        <f>IF(B76&gt;0,(VLOOKUP(I76,'Actuator Reference'!$A$2:$H$54,7)),"-")</f>
        <v>-</v>
      </c>
      <c r="T76" s="481" t="str">
        <f>IF(B76&gt;0,(VLOOKUP(I76,'Actuator Reference'!$A$2:$H$54,8)),"-")</f>
        <v>-</v>
      </c>
      <c r="U76" s="39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5">
        <v>1</v>
      </c>
      <c r="AG76" s="35" t="s">
        <v>1097</v>
      </c>
      <c r="AH76" s="38" t="str">
        <f t="shared" si="5"/>
        <v>---</v>
      </c>
      <c r="AI76" s="594" t="str">
        <f t="shared" si="6"/>
        <v>=0</v>
      </c>
      <c r="AJ76" s="595" t="s">
        <v>1339</v>
      </c>
      <c r="AK76" s="592">
        <v>4</v>
      </c>
      <c r="AL76" s="592" t="s">
        <v>1338</v>
      </c>
      <c r="AM76" s="38"/>
      <c r="AN76" s="38"/>
      <c r="AO76" s="38"/>
      <c r="AP76" s="38"/>
      <c r="AQ76" s="38"/>
      <c r="AR76" s="38"/>
      <c r="AS76" s="38"/>
      <c r="AT76" s="38"/>
      <c r="AU76" s="38"/>
      <c r="AV76" s="40"/>
      <c r="AW76" s="38"/>
      <c r="AX76" s="38"/>
      <c r="AY76" s="38"/>
      <c r="AZ76" s="38"/>
      <c r="BA76" s="38"/>
      <c r="BB76" s="38"/>
    </row>
    <row r="77" spans="1:54" ht="15" customHeight="1">
      <c r="A77" s="469">
        <f>'Box Schedule'!A82</f>
        <v>0</v>
      </c>
      <c r="B77" s="482">
        <f>'Box Schedule'!AV82</f>
        <v>0</v>
      </c>
      <c r="C77" s="483" t="str">
        <f>IF((B77&gt;0),(VLOOKUP(J77,'Valve Reference'!$A$2:$K$389,3)),"-")</f>
        <v>-</v>
      </c>
      <c r="D77" s="471" t="s">
        <v>577</v>
      </c>
      <c r="E77" s="484" t="str">
        <f>IF((B77&gt;0),('Vlookup Tables'!$B$37),"-")</f>
        <v>-</v>
      </c>
      <c r="F77" s="585" t="str">
        <f t="shared" si="7"/>
        <v>-</v>
      </c>
      <c r="G77" s="485" t="str">
        <f>IF((B77&gt;0),(VLOOKUP($B77,'Vlookup Tables'!$B$23:$F$33,2,TRUE)),"-")</f>
        <v>-</v>
      </c>
      <c r="H77" s="586" t="str">
        <f t="shared" si="8"/>
        <v>-</v>
      </c>
      <c r="I77" s="476" t="str">
        <f>IF((B77&gt;0),('Vlookup Tables'!$B$35),"-")</f>
        <v>-</v>
      </c>
      <c r="J77" s="477" t="str">
        <f>IF(B77&gt;0,(IF(D77="2-Way",VLOOKUP($G77,'Vlookup Tables'!$C$23:$F$33,2,FALSE),VLOOKUP($G77,'Vlookup Tables'!$C$23:$F$33,3,FALSE))),"-")</f>
        <v>-</v>
      </c>
      <c r="K77" s="478" t="str">
        <f>IF(B77&gt;0,(VLOOKUP(J77,'Valve Reference'!$A$2:$K$389,4)),"-")</f>
        <v>-</v>
      </c>
      <c r="L77" s="478" t="str">
        <f>IF(B77&gt;0,(VLOOKUP(J77,'Valve Reference'!$A$2:$K$389,5)),"-")</f>
        <v>-</v>
      </c>
      <c r="M77" s="478" t="str">
        <f>IF(B77&gt;0,(VLOOKUP(J77,'Valve Reference'!$A$2:$K$389,8)),"-")</f>
        <v>-</v>
      </c>
      <c r="N77" s="478" t="str">
        <f>IF(B77&gt;0,(VLOOKUP(J77,'Valve Reference'!$A$2:$K$389,10)),"-")</f>
        <v>-</v>
      </c>
      <c r="O77" s="479" t="str">
        <f>IF(B77&gt;0,(VLOOKUP(J77,'Valve Reference'!$A$2:$K$389,11)),"-")</f>
        <v>-</v>
      </c>
      <c r="P77" s="480" t="str">
        <f>IF(B77&gt;0,(VLOOKUP(I77,'Actuator Reference'!$A$2:$H$54,2)),"-")</f>
        <v>-</v>
      </c>
      <c r="Q77" s="480" t="str">
        <f>IF(B77&gt;0,(VLOOKUP(I77,'Actuator Reference'!$A$2:$H$54,5)),"-")</f>
        <v>-</v>
      </c>
      <c r="R77" s="480" t="str">
        <f>IF(B77&gt;0,(VLOOKUP(I77,'Actuator Reference'!$A$2:$H$54,6)),"-")</f>
        <v>-</v>
      </c>
      <c r="S77" s="480" t="str">
        <f>IF(B77&gt;0,(VLOOKUP(I77,'Actuator Reference'!$A$2:$H$54,7)),"-")</f>
        <v>-</v>
      </c>
      <c r="T77" s="481" t="str">
        <f>IF(B77&gt;0,(VLOOKUP(I77,'Actuator Reference'!$A$2:$H$54,8)),"-")</f>
        <v>-</v>
      </c>
      <c r="U77" s="39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5">
        <v>1</v>
      </c>
      <c r="AG77" s="35" t="s">
        <v>1097</v>
      </c>
      <c r="AH77" s="38" t="str">
        <f t="shared" si="5"/>
        <v>---</v>
      </c>
      <c r="AI77" s="594" t="str">
        <f t="shared" si="6"/>
        <v>=0</v>
      </c>
      <c r="AJ77" s="595" t="s">
        <v>1339</v>
      </c>
      <c r="AK77" s="592">
        <v>4</v>
      </c>
      <c r="AL77" s="592" t="s">
        <v>1338</v>
      </c>
      <c r="AM77" s="38"/>
      <c r="AN77" s="38"/>
      <c r="AO77" s="38"/>
      <c r="AP77" s="38"/>
      <c r="AQ77" s="38"/>
      <c r="AR77" s="38"/>
      <c r="AS77" s="38"/>
      <c r="AT77" s="38"/>
      <c r="AU77" s="38"/>
      <c r="AV77" s="40"/>
      <c r="AW77" s="38"/>
      <c r="AX77" s="38"/>
      <c r="AY77" s="38"/>
      <c r="AZ77" s="38"/>
      <c r="BA77" s="38"/>
      <c r="BB77" s="38"/>
    </row>
    <row r="78" spans="1:54" ht="15" customHeight="1">
      <c r="A78" s="469">
        <f>'Box Schedule'!A83</f>
        <v>0</v>
      </c>
      <c r="B78" s="482">
        <f>'Box Schedule'!AV83</f>
        <v>0</v>
      </c>
      <c r="C78" s="483" t="str">
        <f>IF((B78&gt;0),(VLOOKUP(J78,'Valve Reference'!$A$2:$K$389,3)),"-")</f>
        <v>-</v>
      </c>
      <c r="D78" s="471" t="s">
        <v>577</v>
      </c>
      <c r="E78" s="484" t="str">
        <f>IF((B78&gt;0),('Vlookup Tables'!$B$37),"-")</f>
        <v>-</v>
      </c>
      <c r="F78" s="585" t="str">
        <f t="shared" si="7"/>
        <v>-</v>
      </c>
      <c r="G78" s="485" t="str">
        <f>IF((B78&gt;0),(VLOOKUP($B78,'Vlookup Tables'!$B$23:$F$33,2,TRUE)),"-")</f>
        <v>-</v>
      </c>
      <c r="H78" s="586" t="str">
        <f t="shared" si="8"/>
        <v>-</v>
      </c>
      <c r="I78" s="476" t="str">
        <f>IF((B78&gt;0),('Vlookup Tables'!$B$35),"-")</f>
        <v>-</v>
      </c>
      <c r="J78" s="477" t="str">
        <f>IF(B78&gt;0,(IF(D78="2-Way",VLOOKUP($G78,'Vlookup Tables'!$C$23:$F$33,2,FALSE),VLOOKUP($G78,'Vlookup Tables'!$C$23:$F$33,3,FALSE))),"-")</f>
        <v>-</v>
      </c>
      <c r="K78" s="478" t="str">
        <f>IF(B78&gt;0,(VLOOKUP(J78,'Valve Reference'!$A$2:$K$389,4)),"-")</f>
        <v>-</v>
      </c>
      <c r="L78" s="478" t="str">
        <f>IF(B78&gt;0,(VLOOKUP(J78,'Valve Reference'!$A$2:$K$389,5)),"-")</f>
        <v>-</v>
      </c>
      <c r="M78" s="478" t="str">
        <f>IF(B78&gt;0,(VLOOKUP(J78,'Valve Reference'!$A$2:$K$389,8)),"-")</f>
        <v>-</v>
      </c>
      <c r="N78" s="478" t="str">
        <f>IF(B78&gt;0,(VLOOKUP(J78,'Valve Reference'!$A$2:$K$389,10)),"-")</f>
        <v>-</v>
      </c>
      <c r="O78" s="479" t="str">
        <f>IF(B78&gt;0,(VLOOKUP(J78,'Valve Reference'!$A$2:$K$389,11)),"-")</f>
        <v>-</v>
      </c>
      <c r="P78" s="480" t="str">
        <f>IF(B78&gt;0,(VLOOKUP(I78,'Actuator Reference'!$A$2:$H$54,2)),"-")</f>
        <v>-</v>
      </c>
      <c r="Q78" s="480" t="str">
        <f>IF(B78&gt;0,(VLOOKUP(I78,'Actuator Reference'!$A$2:$H$54,5)),"-")</f>
        <v>-</v>
      </c>
      <c r="R78" s="480" t="str">
        <f>IF(B78&gt;0,(VLOOKUP(I78,'Actuator Reference'!$A$2:$H$54,6)),"-")</f>
        <v>-</v>
      </c>
      <c r="S78" s="480" t="str">
        <f>IF(B78&gt;0,(VLOOKUP(I78,'Actuator Reference'!$A$2:$H$54,7)),"-")</f>
        <v>-</v>
      </c>
      <c r="T78" s="481" t="str">
        <f>IF(B78&gt;0,(VLOOKUP(I78,'Actuator Reference'!$A$2:$H$54,8)),"-")</f>
        <v>-</v>
      </c>
      <c r="U78" s="39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5">
        <v>1</v>
      </c>
      <c r="AG78" s="35" t="s">
        <v>1097</v>
      </c>
      <c r="AH78" s="38" t="str">
        <f t="shared" si="5"/>
        <v>---</v>
      </c>
      <c r="AI78" s="594" t="str">
        <f t="shared" si="6"/>
        <v>=0</v>
      </c>
      <c r="AJ78" s="595" t="s">
        <v>1339</v>
      </c>
      <c r="AK78" s="592">
        <v>4</v>
      </c>
      <c r="AL78" s="592" t="s">
        <v>1338</v>
      </c>
      <c r="AM78" s="38"/>
      <c r="AN78" s="38"/>
      <c r="AO78" s="38"/>
      <c r="AP78" s="38"/>
      <c r="AQ78" s="38"/>
      <c r="AR78" s="38"/>
      <c r="AS78" s="38"/>
      <c r="AT78" s="38"/>
      <c r="AU78" s="38"/>
      <c r="AV78" s="40"/>
      <c r="AW78" s="38"/>
      <c r="AX78" s="38"/>
      <c r="AY78" s="38"/>
      <c r="AZ78" s="38"/>
      <c r="BA78" s="38"/>
      <c r="BB78" s="38"/>
    </row>
    <row r="79" spans="1:54" ht="15" customHeight="1">
      <c r="A79" s="469">
        <f>'Box Schedule'!A84</f>
        <v>0</v>
      </c>
      <c r="B79" s="482">
        <f>'Box Schedule'!AV84</f>
        <v>0</v>
      </c>
      <c r="C79" s="483" t="str">
        <f>IF((B79&gt;0),(VLOOKUP(J79,'Valve Reference'!$A$2:$K$389,3)),"-")</f>
        <v>-</v>
      </c>
      <c r="D79" s="471" t="s">
        <v>577</v>
      </c>
      <c r="E79" s="484" t="str">
        <f>IF((B79&gt;0),('Vlookup Tables'!$B$37),"-")</f>
        <v>-</v>
      </c>
      <c r="F79" s="585" t="str">
        <f t="shared" si="7"/>
        <v>-</v>
      </c>
      <c r="G79" s="485" t="str">
        <f>IF((B79&gt;0),(VLOOKUP($B79,'Vlookup Tables'!$B$23:$F$33,2,TRUE)),"-")</f>
        <v>-</v>
      </c>
      <c r="H79" s="586" t="str">
        <f t="shared" si="8"/>
        <v>-</v>
      </c>
      <c r="I79" s="476" t="str">
        <f>IF((B79&gt;0),('Vlookup Tables'!$B$35),"-")</f>
        <v>-</v>
      </c>
      <c r="J79" s="477" t="str">
        <f>IF(B79&gt;0,(IF(D79="2-Way",VLOOKUP($G79,'Vlookup Tables'!$C$23:$F$33,2,FALSE),VLOOKUP($G79,'Vlookup Tables'!$C$23:$F$33,3,FALSE))),"-")</f>
        <v>-</v>
      </c>
      <c r="K79" s="478" t="str">
        <f>IF(B79&gt;0,(VLOOKUP(J79,'Valve Reference'!$A$2:$K$389,4)),"-")</f>
        <v>-</v>
      </c>
      <c r="L79" s="478" t="str">
        <f>IF(B79&gt;0,(VLOOKUP(J79,'Valve Reference'!$A$2:$K$389,5)),"-")</f>
        <v>-</v>
      </c>
      <c r="M79" s="478" t="str">
        <f>IF(B79&gt;0,(VLOOKUP(J79,'Valve Reference'!$A$2:$K$389,8)),"-")</f>
        <v>-</v>
      </c>
      <c r="N79" s="478" t="str">
        <f>IF(B79&gt;0,(VLOOKUP(J79,'Valve Reference'!$A$2:$K$389,10)),"-")</f>
        <v>-</v>
      </c>
      <c r="O79" s="479" t="str">
        <f>IF(B79&gt;0,(VLOOKUP(J79,'Valve Reference'!$A$2:$K$389,11)),"-")</f>
        <v>-</v>
      </c>
      <c r="P79" s="480" t="str">
        <f>IF(B79&gt;0,(VLOOKUP(I79,'Actuator Reference'!$A$2:$H$54,2)),"-")</f>
        <v>-</v>
      </c>
      <c r="Q79" s="480" t="str">
        <f>IF(B79&gt;0,(VLOOKUP(I79,'Actuator Reference'!$A$2:$H$54,5)),"-")</f>
        <v>-</v>
      </c>
      <c r="R79" s="480" t="str">
        <f>IF(B79&gt;0,(VLOOKUP(I79,'Actuator Reference'!$A$2:$H$54,6)),"-")</f>
        <v>-</v>
      </c>
      <c r="S79" s="480" t="str">
        <f>IF(B79&gt;0,(VLOOKUP(I79,'Actuator Reference'!$A$2:$H$54,7)),"-")</f>
        <v>-</v>
      </c>
      <c r="T79" s="481" t="str">
        <f>IF(B79&gt;0,(VLOOKUP(I79,'Actuator Reference'!$A$2:$H$54,8)),"-")</f>
        <v>-</v>
      </c>
      <c r="U79" s="39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5">
        <v>1</v>
      </c>
      <c r="AG79" s="35" t="s">
        <v>1097</v>
      </c>
      <c r="AH79" s="38" t="str">
        <f t="shared" si="5"/>
        <v>---</v>
      </c>
      <c r="AI79" s="594" t="str">
        <f t="shared" si="6"/>
        <v>=0</v>
      </c>
      <c r="AJ79" s="595" t="s">
        <v>1339</v>
      </c>
      <c r="AK79" s="592">
        <v>4</v>
      </c>
      <c r="AL79" s="592" t="s">
        <v>1338</v>
      </c>
      <c r="AM79" s="38"/>
      <c r="AN79" s="38"/>
      <c r="AO79" s="38"/>
      <c r="AP79" s="38"/>
      <c r="AQ79" s="38"/>
      <c r="AR79" s="38"/>
      <c r="AS79" s="38"/>
      <c r="AT79" s="38"/>
      <c r="AU79" s="38"/>
      <c r="AV79" s="40"/>
      <c r="AW79" s="38"/>
      <c r="AX79" s="38"/>
      <c r="AY79" s="38"/>
      <c r="AZ79" s="38"/>
      <c r="BA79" s="38"/>
      <c r="BB79" s="38"/>
    </row>
    <row r="80" spans="1:54" ht="15" customHeight="1">
      <c r="A80" s="469">
        <f>'Box Schedule'!A85</f>
        <v>0</v>
      </c>
      <c r="B80" s="482">
        <f>'Box Schedule'!AV85</f>
        <v>0</v>
      </c>
      <c r="C80" s="483" t="str">
        <f>IF((B80&gt;0),(VLOOKUP(J80,'Valve Reference'!$A$2:$K$389,3)),"-")</f>
        <v>-</v>
      </c>
      <c r="D80" s="471" t="s">
        <v>577</v>
      </c>
      <c r="E80" s="484" t="str">
        <f>IF((B80&gt;0),('Vlookup Tables'!$B$37),"-")</f>
        <v>-</v>
      </c>
      <c r="F80" s="585" t="str">
        <f t="shared" si="7"/>
        <v>-</v>
      </c>
      <c r="G80" s="485" t="str">
        <f>IF((B80&gt;0),(VLOOKUP($B80,'Vlookup Tables'!$B$23:$F$33,2,TRUE)),"-")</f>
        <v>-</v>
      </c>
      <c r="H80" s="586" t="str">
        <f t="shared" si="8"/>
        <v>-</v>
      </c>
      <c r="I80" s="476" t="str">
        <f>IF((B80&gt;0),('Vlookup Tables'!$B$35),"-")</f>
        <v>-</v>
      </c>
      <c r="J80" s="477" t="str">
        <f>IF(B80&gt;0,(IF(D80="2-Way",VLOOKUP($G80,'Vlookup Tables'!$C$23:$F$33,2,FALSE),VLOOKUP($G80,'Vlookup Tables'!$C$23:$F$33,3,FALSE))),"-")</f>
        <v>-</v>
      </c>
      <c r="K80" s="478" t="str">
        <f>IF(B80&gt;0,(VLOOKUP(J80,'Valve Reference'!$A$2:$K$389,4)),"-")</f>
        <v>-</v>
      </c>
      <c r="L80" s="478" t="str">
        <f>IF(B80&gt;0,(VLOOKUP(J80,'Valve Reference'!$A$2:$K$389,5)),"-")</f>
        <v>-</v>
      </c>
      <c r="M80" s="478" t="str">
        <f>IF(B80&gt;0,(VLOOKUP(J80,'Valve Reference'!$A$2:$K$389,8)),"-")</f>
        <v>-</v>
      </c>
      <c r="N80" s="478" t="str">
        <f>IF(B80&gt;0,(VLOOKUP(J80,'Valve Reference'!$A$2:$K$389,10)),"-")</f>
        <v>-</v>
      </c>
      <c r="O80" s="479" t="str">
        <f>IF(B80&gt;0,(VLOOKUP(J80,'Valve Reference'!$A$2:$K$389,11)),"-")</f>
        <v>-</v>
      </c>
      <c r="P80" s="480" t="str">
        <f>IF(B80&gt;0,(VLOOKUP(I80,'Actuator Reference'!$A$2:$H$54,2)),"-")</f>
        <v>-</v>
      </c>
      <c r="Q80" s="480" t="str">
        <f>IF(B80&gt;0,(VLOOKUP(I80,'Actuator Reference'!$A$2:$H$54,5)),"-")</f>
        <v>-</v>
      </c>
      <c r="R80" s="480" t="str">
        <f>IF(B80&gt;0,(VLOOKUP(I80,'Actuator Reference'!$A$2:$H$54,6)),"-")</f>
        <v>-</v>
      </c>
      <c r="S80" s="480" t="str">
        <f>IF(B80&gt;0,(VLOOKUP(I80,'Actuator Reference'!$A$2:$H$54,7)),"-")</f>
        <v>-</v>
      </c>
      <c r="T80" s="481" t="str">
        <f>IF(B80&gt;0,(VLOOKUP(I80,'Actuator Reference'!$A$2:$H$54,8)),"-")</f>
        <v>-</v>
      </c>
      <c r="U80" s="39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5">
        <v>1</v>
      </c>
      <c r="AG80" s="35" t="s">
        <v>1097</v>
      </c>
      <c r="AH80" s="38" t="str">
        <f t="shared" si="5"/>
        <v>---</v>
      </c>
      <c r="AI80" s="594" t="str">
        <f t="shared" si="6"/>
        <v>=0</v>
      </c>
      <c r="AJ80" s="595" t="s">
        <v>1339</v>
      </c>
      <c r="AK80" s="592">
        <v>4</v>
      </c>
      <c r="AL80" s="592" t="s">
        <v>1338</v>
      </c>
      <c r="AM80" s="38"/>
      <c r="AN80" s="38"/>
      <c r="AO80" s="38"/>
      <c r="AP80" s="38"/>
      <c r="AQ80" s="38"/>
      <c r="AR80" s="38"/>
      <c r="AS80" s="38"/>
      <c r="AT80" s="38"/>
      <c r="AU80" s="38"/>
      <c r="AV80" s="40"/>
      <c r="AW80" s="38"/>
      <c r="AX80" s="38"/>
      <c r="AY80" s="38"/>
      <c r="AZ80" s="38"/>
      <c r="BA80" s="38"/>
      <c r="BB80" s="38"/>
    </row>
    <row r="81" spans="1:54" ht="15" customHeight="1">
      <c r="A81" s="469">
        <f>'Box Schedule'!A86</f>
        <v>0</v>
      </c>
      <c r="B81" s="482">
        <f>'Box Schedule'!AV86</f>
        <v>0</v>
      </c>
      <c r="C81" s="483" t="str">
        <f>IF((B81&gt;0),(VLOOKUP(J81,'Valve Reference'!$A$2:$K$389,3)),"-")</f>
        <v>-</v>
      </c>
      <c r="D81" s="471" t="s">
        <v>577</v>
      </c>
      <c r="E81" s="484" t="str">
        <f>IF((B81&gt;0),('Vlookup Tables'!$B$37),"-")</f>
        <v>-</v>
      </c>
      <c r="F81" s="585" t="str">
        <f t="shared" si="7"/>
        <v>-</v>
      </c>
      <c r="G81" s="485" t="str">
        <f>IF((B81&gt;0),(VLOOKUP($B81,'Vlookup Tables'!$B$23:$F$33,2,TRUE)),"-")</f>
        <v>-</v>
      </c>
      <c r="H81" s="586" t="str">
        <f t="shared" si="8"/>
        <v>-</v>
      </c>
      <c r="I81" s="476" t="str">
        <f>IF((B81&gt;0),('Vlookup Tables'!$B$35),"-")</f>
        <v>-</v>
      </c>
      <c r="J81" s="477" t="str">
        <f>IF(B81&gt;0,(IF(D81="2-Way",VLOOKUP($G81,'Vlookup Tables'!$C$23:$F$33,2,FALSE),VLOOKUP($G81,'Vlookup Tables'!$C$23:$F$33,3,FALSE))),"-")</f>
        <v>-</v>
      </c>
      <c r="K81" s="478" t="str">
        <f>IF(B81&gt;0,(VLOOKUP(J81,'Valve Reference'!$A$2:$K$389,4)),"-")</f>
        <v>-</v>
      </c>
      <c r="L81" s="478" t="str">
        <f>IF(B81&gt;0,(VLOOKUP(J81,'Valve Reference'!$A$2:$K$389,5)),"-")</f>
        <v>-</v>
      </c>
      <c r="M81" s="478" t="str">
        <f>IF(B81&gt;0,(VLOOKUP(J81,'Valve Reference'!$A$2:$K$389,8)),"-")</f>
        <v>-</v>
      </c>
      <c r="N81" s="478" t="str">
        <f>IF(B81&gt;0,(VLOOKUP(J81,'Valve Reference'!$A$2:$K$389,10)),"-")</f>
        <v>-</v>
      </c>
      <c r="O81" s="479" t="str">
        <f>IF(B81&gt;0,(VLOOKUP(J81,'Valve Reference'!$A$2:$K$389,11)),"-")</f>
        <v>-</v>
      </c>
      <c r="P81" s="480" t="str">
        <f>IF(B81&gt;0,(VLOOKUP(I81,'Actuator Reference'!$A$2:$H$54,2)),"-")</f>
        <v>-</v>
      </c>
      <c r="Q81" s="480" t="str">
        <f>IF(B81&gt;0,(VLOOKUP(I81,'Actuator Reference'!$A$2:$H$54,5)),"-")</f>
        <v>-</v>
      </c>
      <c r="R81" s="480" t="str">
        <f>IF(B81&gt;0,(VLOOKUP(I81,'Actuator Reference'!$A$2:$H$54,6)),"-")</f>
        <v>-</v>
      </c>
      <c r="S81" s="480" t="str">
        <f>IF(B81&gt;0,(VLOOKUP(I81,'Actuator Reference'!$A$2:$H$54,7)),"-")</f>
        <v>-</v>
      </c>
      <c r="T81" s="481" t="str">
        <f>IF(B81&gt;0,(VLOOKUP(I81,'Actuator Reference'!$A$2:$H$54,8)),"-")</f>
        <v>-</v>
      </c>
      <c r="U81" s="39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5">
        <v>1</v>
      </c>
      <c r="AG81" s="35" t="s">
        <v>1097</v>
      </c>
      <c r="AH81" s="38" t="str">
        <f t="shared" si="5"/>
        <v>---</v>
      </c>
      <c r="AI81" s="594" t="str">
        <f t="shared" si="6"/>
        <v>=0</v>
      </c>
      <c r="AJ81" s="595" t="s">
        <v>1339</v>
      </c>
      <c r="AK81" s="592">
        <v>4</v>
      </c>
      <c r="AL81" s="592" t="s">
        <v>1338</v>
      </c>
      <c r="AM81" s="38"/>
      <c r="AN81" s="38"/>
      <c r="AO81" s="38"/>
      <c r="AP81" s="38"/>
      <c r="AQ81" s="38"/>
      <c r="AR81" s="38"/>
      <c r="AS81" s="38"/>
      <c r="AT81" s="38"/>
      <c r="AU81" s="38"/>
      <c r="AV81" s="40"/>
      <c r="AW81" s="38"/>
      <c r="AX81" s="38"/>
      <c r="AY81" s="38"/>
      <c r="AZ81" s="38"/>
      <c r="BA81" s="38"/>
      <c r="BB81" s="38"/>
    </row>
    <row r="82" spans="1:54" ht="15" customHeight="1">
      <c r="A82" s="469">
        <f>'Box Schedule'!A87</f>
        <v>0</v>
      </c>
      <c r="B82" s="482">
        <f>'Box Schedule'!AV87</f>
        <v>0</v>
      </c>
      <c r="C82" s="483" t="str">
        <f>IF((B82&gt;0),(VLOOKUP(J82,'Valve Reference'!$A$2:$K$389,3)),"-")</f>
        <v>-</v>
      </c>
      <c r="D82" s="471" t="s">
        <v>577</v>
      </c>
      <c r="E82" s="484" t="str">
        <f>IF((B82&gt;0),('Vlookup Tables'!$B$37),"-")</f>
        <v>-</v>
      </c>
      <c r="F82" s="585" t="str">
        <f t="shared" si="7"/>
        <v>-</v>
      </c>
      <c r="G82" s="485" t="str">
        <f>IF((B82&gt;0),(VLOOKUP($B82,'Vlookup Tables'!$B$23:$F$33,2,TRUE)),"-")</f>
        <v>-</v>
      </c>
      <c r="H82" s="586" t="str">
        <f t="shared" si="8"/>
        <v>-</v>
      </c>
      <c r="I82" s="476" t="str">
        <f>IF((B82&gt;0),('Vlookup Tables'!$B$35),"-")</f>
        <v>-</v>
      </c>
      <c r="J82" s="477" t="str">
        <f>IF(B82&gt;0,(IF(D82="2-Way",VLOOKUP($G82,'Vlookup Tables'!$C$23:$F$33,2,FALSE),VLOOKUP($G82,'Vlookup Tables'!$C$23:$F$33,3,FALSE))),"-")</f>
        <v>-</v>
      </c>
      <c r="K82" s="478" t="str">
        <f>IF(B82&gt;0,(VLOOKUP(J82,'Valve Reference'!$A$2:$K$389,4)),"-")</f>
        <v>-</v>
      </c>
      <c r="L82" s="478" t="str">
        <f>IF(B82&gt;0,(VLOOKUP(J82,'Valve Reference'!$A$2:$K$389,5)),"-")</f>
        <v>-</v>
      </c>
      <c r="M82" s="478" t="str">
        <f>IF(B82&gt;0,(VLOOKUP(J82,'Valve Reference'!$A$2:$K$389,8)),"-")</f>
        <v>-</v>
      </c>
      <c r="N82" s="478" t="str">
        <f>IF(B82&gt;0,(VLOOKUP(J82,'Valve Reference'!$A$2:$K$389,10)),"-")</f>
        <v>-</v>
      </c>
      <c r="O82" s="479" t="str">
        <f>IF(B82&gt;0,(VLOOKUP(J82,'Valve Reference'!$A$2:$K$389,11)),"-")</f>
        <v>-</v>
      </c>
      <c r="P82" s="480" t="str">
        <f>IF(B82&gt;0,(VLOOKUP(I82,'Actuator Reference'!$A$2:$H$54,2)),"-")</f>
        <v>-</v>
      </c>
      <c r="Q82" s="480" t="str">
        <f>IF(B82&gt;0,(VLOOKUP(I82,'Actuator Reference'!$A$2:$H$54,5)),"-")</f>
        <v>-</v>
      </c>
      <c r="R82" s="480" t="str">
        <f>IF(B82&gt;0,(VLOOKUP(I82,'Actuator Reference'!$A$2:$H$54,6)),"-")</f>
        <v>-</v>
      </c>
      <c r="S82" s="480" t="str">
        <f>IF(B82&gt;0,(VLOOKUP(I82,'Actuator Reference'!$A$2:$H$54,7)),"-")</f>
        <v>-</v>
      </c>
      <c r="T82" s="481" t="str">
        <f>IF(B82&gt;0,(VLOOKUP(I82,'Actuator Reference'!$A$2:$H$54,8)),"-")</f>
        <v>-</v>
      </c>
      <c r="U82" s="39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5">
        <v>1</v>
      </c>
      <c r="AG82" s="35" t="s">
        <v>1097</v>
      </c>
      <c r="AH82" s="38" t="str">
        <f t="shared" si="5"/>
        <v>---</v>
      </c>
      <c r="AI82" s="594" t="str">
        <f t="shared" si="6"/>
        <v>=0</v>
      </c>
      <c r="AJ82" s="595" t="s">
        <v>1339</v>
      </c>
      <c r="AK82" s="592">
        <v>4</v>
      </c>
      <c r="AL82" s="592" t="s">
        <v>1338</v>
      </c>
      <c r="AM82" s="38"/>
      <c r="AN82" s="38"/>
      <c r="AO82" s="38"/>
      <c r="AP82" s="38"/>
      <c r="AQ82" s="38"/>
      <c r="AR82" s="38"/>
      <c r="AS82" s="38"/>
      <c r="AT82" s="38"/>
      <c r="AU82" s="38"/>
      <c r="AV82" s="40"/>
      <c r="AW82" s="38"/>
      <c r="AX82" s="38"/>
      <c r="AY82" s="38"/>
      <c r="AZ82" s="38"/>
      <c r="BA82" s="38"/>
      <c r="BB82" s="38"/>
    </row>
    <row r="83" spans="1:54" ht="15" customHeight="1">
      <c r="A83" s="469">
        <f>'Box Schedule'!A88</f>
        <v>0</v>
      </c>
      <c r="B83" s="482">
        <f>'Box Schedule'!AV88</f>
        <v>0</v>
      </c>
      <c r="C83" s="483" t="str">
        <f>IF((B83&gt;0),(VLOOKUP(J83,'Valve Reference'!$A$2:$K$389,3)),"-")</f>
        <v>-</v>
      </c>
      <c r="D83" s="471" t="s">
        <v>577</v>
      </c>
      <c r="E83" s="484" t="str">
        <f>IF((B83&gt;0),('Vlookup Tables'!$B$37),"-")</f>
        <v>-</v>
      </c>
      <c r="F83" s="585" t="str">
        <f t="shared" si="7"/>
        <v>-</v>
      </c>
      <c r="G83" s="485" t="str">
        <f>IF((B83&gt;0),(VLOOKUP($B83,'Vlookup Tables'!$B$23:$F$33,2,TRUE)),"-")</f>
        <v>-</v>
      </c>
      <c r="H83" s="586" t="str">
        <f t="shared" si="8"/>
        <v>-</v>
      </c>
      <c r="I83" s="476" t="str">
        <f>IF((B83&gt;0),('Vlookup Tables'!$B$35),"-")</f>
        <v>-</v>
      </c>
      <c r="J83" s="477" t="str">
        <f>IF(B83&gt;0,(IF(D83="2-Way",VLOOKUP($G83,'Vlookup Tables'!$C$23:$F$33,2,FALSE),VLOOKUP($G83,'Vlookup Tables'!$C$23:$F$33,3,FALSE))),"-")</f>
        <v>-</v>
      </c>
      <c r="K83" s="478" t="str">
        <f>IF(B83&gt;0,(VLOOKUP(J83,'Valve Reference'!$A$2:$K$389,4)),"-")</f>
        <v>-</v>
      </c>
      <c r="L83" s="478" t="str">
        <f>IF(B83&gt;0,(VLOOKUP(J83,'Valve Reference'!$A$2:$K$389,5)),"-")</f>
        <v>-</v>
      </c>
      <c r="M83" s="478" t="str">
        <f>IF(B83&gt;0,(VLOOKUP(J83,'Valve Reference'!$A$2:$K$389,8)),"-")</f>
        <v>-</v>
      </c>
      <c r="N83" s="478" t="str">
        <f>IF(B83&gt;0,(VLOOKUP(J83,'Valve Reference'!$A$2:$K$389,10)),"-")</f>
        <v>-</v>
      </c>
      <c r="O83" s="479" t="str">
        <f>IF(B83&gt;0,(VLOOKUP(J83,'Valve Reference'!$A$2:$K$389,11)),"-")</f>
        <v>-</v>
      </c>
      <c r="P83" s="480" t="str">
        <f>IF(B83&gt;0,(VLOOKUP(I83,'Actuator Reference'!$A$2:$H$54,2)),"-")</f>
        <v>-</v>
      </c>
      <c r="Q83" s="480" t="str">
        <f>IF(B83&gt;0,(VLOOKUP(I83,'Actuator Reference'!$A$2:$H$54,5)),"-")</f>
        <v>-</v>
      </c>
      <c r="R83" s="480" t="str">
        <f>IF(B83&gt;0,(VLOOKUP(I83,'Actuator Reference'!$A$2:$H$54,6)),"-")</f>
        <v>-</v>
      </c>
      <c r="S83" s="480" t="str">
        <f>IF(B83&gt;0,(VLOOKUP(I83,'Actuator Reference'!$A$2:$H$54,7)),"-")</f>
        <v>-</v>
      </c>
      <c r="T83" s="481" t="str">
        <f>IF(B83&gt;0,(VLOOKUP(I83,'Actuator Reference'!$A$2:$H$54,8)),"-")</f>
        <v>-</v>
      </c>
      <c r="U83" s="39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5">
        <v>1</v>
      </c>
      <c r="AG83" s="35" t="s">
        <v>1097</v>
      </c>
      <c r="AH83" s="38" t="str">
        <f t="shared" si="5"/>
        <v>---</v>
      </c>
      <c r="AI83" s="594" t="str">
        <f t="shared" si="6"/>
        <v>=0</v>
      </c>
      <c r="AJ83" s="595" t="s">
        <v>1339</v>
      </c>
      <c r="AK83" s="592">
        <v>4</v>
      </c>
      <c r="AL83" s="592" t="s">
        <v>1338</v>
      </c>
      <c r="AM83" s="38"/>
      <c r="AN83" s="38"/>
      <c r="AO83" s="38"/>
      <c r="AP83" s="38"/>
      <c r="AQ83" s="38"/>
      <c r="AR83" s="38"/>
      <c r="AS83" s="38"/>
      <c r="AT83" s="38"/>
      <c r="AU83" s="38"/>
      <c r="AV83" s="40"/>
      <c r="AW83" s="38"/>
      <c r="AX83" s="38"/>
      <c r="AY83" s="38"/>
      <c r="AZ83" s="38"/>
      <c r="BA83" s="38"/>
      <c r="BB83" s="38"/>
    </row>
    <row r="84" spans="1:54" ht="15" customHeight="1">
      <c r="A84" s="469">
        <f>'Box Schedule'!A89</f>
        <v>0</v>
      </c>
      <c r="B84" s="482">
        <f>'Box Schedule'!AV89</f>
        <v>0</v>
      </c>
      <c r="C84" s="483" t="str">
        <f>IF((B84&gt;0),(VLOOKUP(J84,'Valve Reference'!$A$2:$K$389,3)),"-")</f>
        <v>-</v>
      </c>
      <c r="D84" s="471" t="s">
        <v>577</v>
      </c>
      <c r="E84" s="484" t="str">
        <f>IF((B84&gt;0),('Vlookup Tables'!$B$37),"-")</f>
        <v>-</v>
      </c>
      <c r="F84" s="585" t="str">
        <f t="shared" si="7"/>
        <v>-</v>
      </c>
      <c r="G84" s="485" t="str">
        <f>IF((B84&gt;0),(VLOOKUP($B84,'Vlookup Tables'!$B$23:$F$33,2,TRUE)),"-")</f>
        <v>-</v>
      </c>
      <c r="H84" s="586" t="str">
        <f t="shared" si="8"/>
        <v>-</v>
      </c>
      <c r="I84" s="476" t="str">
        <f>IF((B84&gt;0),('Vlookup Tables'!$B$35),"-")</f>
        <v>-</v>
      </c>
      <c r="J84" s="477" t="str">
        <f>IF(B84&gt;0,(IF(D84="2-Way",VLOOKUP($G84,'Vlookup Tables'!$C$23:$F$33,2,FALSE),VLOOKUP($G84,'Vlookup Tables'!$C$23:$F$33,3,FALSE))),"-")</f>
        <v>-</v>
      </c>
      <c r="K84" s="478" t="str">
        <f>IF(B84&gt;0,(VLOOKUP(J84,'Valve Reference'!$A$2:$K$389,4)),"-")</f>
        <v>-</v>
      </c>
      <c r="L84" s="478" t="str">
        <f>IF(B84&gt;0,(VLOOKUP(J84,'Valve Reference'!$A$2:$K$389,5)),"-")</f>
        <v>-</v>
      </c>
      <c r="M84" s="478" t="str">
        <f>IF(B84&gt;0,(VLOOKUP(J84,'Valve Reference'!$A$2:$K$389,8)),"-")</f>
        <v>-</v>
      </c>
      <c r="N84" s="478" t="str">
        <f>IF(B84&gt;0,(VLOOKUP(J84,'Valve Reference'!$A$2:$K$389,10)),"-")</f>
        <v>-</v>
      </c>
      <c r="O84" s="479" t="str">
        <f>IF(B84&gt;0,(VLOOKUP(J84,'Valve Reference'!$A$2:$K$389,11)),"-")</f>
        <v>-</v>
      </c>
      <c r="P84" s="480" t="str">
        <f>IF(B84&gt;0,(VLOOKUP(I84,'Actuator Reference'!$A$2:$H$54,2)),"-")</f>
        <v>-</v>
      </c>
      <c r="Q84" s="480" t="str">
        <f>IF(B84&gt;0,(VLOOKUP(I84,'Actuator Reference'!$A$2:$H$54,5)),"-")</f>
        <v>-</v>
      </c>
      <c r="R84" s="480" t="str">
        <f>IF(B84&gt;0,(VLOOKUP(I84,'Actuator Reference'!$A$2:$H$54,6)),"-")</f>
        <v>-</v>
      </c>
      <c r="S84" s="480" t="str">
        <f>IF(B84&gt;0,(VLOOKUP(I84,'Actuator Reference'!$A$2:$H$54,7)),"-")</f>
        <v>-</v>
      </c>
      <c r="T84" s="481" t="str">
        <f>IF(B84&gt;0,(VLOOKUP(I84,'Actuator Reference'!$A$2:$H$54,8)),"-")</f>
        <v>-</v>
      </c>
      <c r="U84" s="39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5">
        <v>1</v>
      </c>
      <c r="AG84" s="35" t="s">
        <v>1097</v>
      </c>
      <c r="AH84" s="38" t="str">
        <f t="shared" si="5"/>
        <v>---</v>
      </c>
      <c r="AI84" s="594" t="str">
        <f t="shared" si="6"/>
        <v>=0</v>
      </c>
      <c r="AJ84" s="595" t="s">
        <v>1339</v>
      </c>
      <c r="AK84" s="593">
        <v>4</v>
      </c>
      <c r="AL84" s="593" t="s">
        <v>1338</v>
      </c>
      <c r="AM84" s="38"/>
      <c r="AN84" s="38"/>
      <c r="AO84" s="38"/>
      <c r="AP84" s="38"/>
      <c r="AQ84" s="38"/>
      <c r="AR84" s="38"/>
      <c r="AS84" s="38"/>
      <c r="AT84" s="38"/>
      <c r="AU84" s="38"/>
      <c r="AV84" s="40"/>
      <c r="AW84" s="38"/>
      <c r="AX84" s="38"/>
      <c r="AY84" s="38"/>
      <c r="AZ84" s="38"/>
      <c r="BA84" s="38"/>
      <c r="BB84" s="38"/>
    </row>
    <row r="85" spans="1:54" ht="15" customHeight="1">
      <c r="A85" s="469">
        <f>'Box Schedule'!A90</f>
        <v>0</v>
      </c>
      <c r="B85" s="482">
        <f>'Box Schedule'!AV90</f>
        <v>0</v>
      </c>
      <c r="C85" s="483" t="str">
        <f>IF((B85&gt;0),(VLOOKUP(J85,'Valve Reference'!$A$2:$K$389,3)),"-")</f>
        <v>-</v>
      </c>
      <c r="D85" s="471" t="s">
        <v>577</v>
      </c>
      <c r="E85" s="484" t="str">
        <f>IF((B85&gt;0),('Vlookup Tables'!$B$37),"-")</f>
        <v>-</v>
      </c>
      <c r="F85" s="585" t="str">
        <f t="shared" si="7"/>
        <v>-</v>
      </c>
      <c r="G85" s="485" t="str">
        <f>IF((B85&gt;0),(VLOOKUP($B85,'Vlookup Tables'!$B$23:$F$33,2,TRUE)),"-")</f>
        <v>-</v>
      </c>
      <c r="H85" s="586" t="str">
        <f t="shared" si="8"/>
        <v>-</v>
      </c>
      <c r="I85" s="476" t="str">
        <f>IF((B85&gt;0),('Vlookup Tables'!$B$35),"-")</f>
        <v>-</v>
      </c>
      <c r="J85" s="477" t="str">
        <f>IF(B85&gt;0,(IF(D85="2-Way",VLOOKUP($G85,'Vlookup Tables'!$C$23:$F$33,2,FALSE),VLOOKUP($G85,'Vlookup Tables'!$C$23:$F$33,3,FALSE))),"-")</f>
        <v>-</v>
      </c>
      <c r="K85" s="478" t="str">
        <f>IF(B85&gt;0,(VLOOKUP(J85,'Valve Reference'!$A$2:$K$389,4)),"-")</f>
        <v>-</v>
      </c>
      <c r="L85" s="478" t="str">
        <f>IF(B85&gt;0,(VLOOKUP(J85,'Valve Reference'!$A$2:$K$389,5)),"-")</f>
        <v>-</v>
      </c>
      <c r="M85" s="478" t="str">
        <f>IF(B85&gt;0,(VLOOKUP(J85,'Valve Reference'!$A$2:$K$389,8)),"-")</f>
        <v>-</v>
      </c>
      <c r="N85" s="478" t="str">
        <f>IF(B85&gt;0,(VLOOKUP(J85,'Valve Reference'!$A$2:$K$389,10)),"-")</f>
        <v>-</v>
      </c>
      <c r="O85" s="479" t="str">
        <f>IF(B85&gt;0,(VLOOKUP(J85,'Valve Reference'!$A$2:$K$389,11)),"-")</f>
        <v>-</v>
      </c>
      <c r="P85" s="480" t="str">
        <f>IF(B85&gt;0,(VLOOKUP(I85,'Actuator Reference'!$A$2:$H$54,2)),"-")</f>
        <v>-</v>
      </c>
      <c r="Q85" s="480" t="str">
        <f>IF(B85&gt;0,(VLOOKUP(I85,'Actuator Reference'!$A$2:$H$54,5)),"-")</f>
        <v>-</v>
      </c>
      <c r="R85" s="480" t="str">
        <f>IF(B85&gt;0,(VLOOKUP(I85,'Actuator Reference'!$A$2:$H$54,6)),"-")</f>
        <v>-</v>
      </c>
      <c r="S85" s="480" t="str">
        <f>IF(B85&gt;0,(VLOOKUP(I85,'Actuator Reference'!$A$2:$H$54,7)),"-")</f>
        <v>-</v>
      </c>
      <c r="T85" s="481" t="str">
        <f>IF(B85&gt;0,(VLOOKUP(I85,'Actuator Reference'!$A$2:$H$54,8)),"-")</f>
        <v>-</v>
      </c>
      <c r="U85" s="39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5">
        <v>1</v>
      </c>
      <c r="AG85" s="35" t="s">
        <v>1097</v>
      </c>
      <c r="AH85" s="38" t="str">
        <f t="shared" si="5"/>
        <v>---</v>
      </c>
      <c r="AI85" s="594" t="str">
        <f t="shared" si="6"/>
        <v>=0</v>
      </c>
      <c r="AJ85" s="595" t="s">
        <v>1339</v>
      </c>
      <c r="AK85" s="593">
        <v>4</v>
      </c>
      <c r="AL85" s="593" t="s">
        <v>1338</v>
      </c>
      <c r="AM85" s="38"/>
      <c r="AN85" s="38"/>
      <c r="AO85" s="38"/>
      <c r="AP85" s="38"/>
      <c r="AQ85" s="38"/>
      <c r="AR85" s="38"/>
      <c r="AS85" s="38"/>
      <c r="AT85" s="38"/>
      <c r="AU85" s="38"/>
      <c r="AV85" s="40"/>
      <c r="AW85" s="38"/>
      <c r="AX85" s="38"/>
      <c r="AY85" s="38"/>
      <c r="AZ85" s="38"/>
      <c r="BA85" s="38"/>
      <c r="BB85" s="38"/>
    </row>
    <row r="86" spans="1:54" ht="15" customHeight="1">
      <c r="A86" s="469">
        <f>'Box Schedule'!A91</f>
        <v>0</v>
      </c>
      <c r="B86" s="482">
        <f>'Box Schedule'!AV91</f>
        <v>0</v>
      </c>
      <c r="C86" s="483" t="str">
        <f>IF((B86&gt;0),(VLOOKUP(J86,'Valve Reference'!$A$2:$K$389,3)),"-")</f>
        <v>-</v>
      </c>
      <c r="D86" s="471" t="s">
        <v>577</v>
      </c>
      <c r="E86" s="484" t="str">
        <f>IF((B86&gt;0),('Vlookup Tables'!$B$37),"-")</f>
        <v>-</v>
      </c>
      <c r="F86" s="585" t="str">
        <f t="shared" si="7"/>
        <v>-</v>
      </c>
      <c r="G86" s="485" t="str">
        <f>IF((B86&gt;0),(VLOOKUP($B86,'Vlookup Tables'!$B$23:$F$33,2,TRUE)),"-")</f>
        <v>-</v>
      </c>
      <c r="H86" s="586" t="str">
        <f t="shared" si="8"/>
        <v>-</v>
      </c>
      <c r="I86" s="476" t="str">
        <f>IF((B86&gt;0),('Vlookup Tables'!$B$35),"-")</f>
        <v>-</v>
      </c>
      <c r="J86" s="477" t="str">
        <f>IF(B86&gt;0,(IF(D86="2-Way",VLOOKUP($G86,'Vlookup Tables'!$C$23:$F$33,2,FALSE),VLOOKUP($G86,'Vlookup Tables'!$C$23:$F$33,3,FALSE))),"-")</f>
        <v>-</v>
      </c>
      <c r="K86" s="478" t="str">
        <f>IF(B86&gt;0,(VLOOKUP(J86,'Valve Reference'!$A$2:$K$389,4)),"-")</f>
        <v>-</v>
      </c>
      <c r="L86" s="478" t="str">
        <f>IF(B86&gt;0,(VLOOKUP(J86,'Valve Reference'!$A$2:$K$389,5)),"-")</f>
        <v>-</v>
      </c>
      <c r="M86" s="478" t="str">
        <f>IF(B86&gt;0,(VLOOKUP(J86,'Valve Reference'!$A$2:$K$389,8)),"-")</f>
        <v>-</v>
      </c>
      <c r="N86" s="478" t="str">
        <f>IF(B86&gt;0,(VLOOKUP(J86,'Valve Reference'!$A$2:$K$389,10)),"-")</f>
        <v>-</v>
      </c>
      <c r="O86" s="479" t="str">
        <f>IF(B86&gt;0,(VLOOKUP(J86,'Valve Reference'!$A$2:$K$389,11)),"-")</f>
        <v>-</v>
      </c>
      <c r="P86" s="480" t="str">
        <f>IF(B86&gt;0,(VLOOKUP(I86,'Actuator Reference'!$A$2:$H$54,2)),"-")</f>
        <v>-</v>
      </c>
      <c r="Q86" s="480" t="str">
        <f>IF(B86&gt;0,(VLOOKUP(I86,'Actuator Reference'!$A$2:$H$54,5)),"-")</f>
        <v>-</v>
      </c>
      <c r="R86" s="480" t="str">
        <f>IF(B86&gt;0,(VLOOKUP(I86,'Actuator Reference'!$A$2:$H$54,6)),"-")</f>
        <v>-</v>
      </c>
      <c r="S86" s="480" t="str">
        <f>IF(B86&gt;0,(VLOOKUP(I86,'Actuator Reference'!$A$2:$H$54,7)),"-")</f>
        <v>-</v>
      </c>
      <c r="T86" s="481" t="str">
        <f>IF(B86&gt;0,(VLOOKUP(I86,'Actuator Reference'!$A$2:$H$54,8)),"-")</f>
        <v>-</v>
      </c>
      <c r="U86" s="39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5">
        <v>1</v>
      </c>
      <c r="AG86" s="35" t="s">
        <v>1097</v>
      </c>
      <c r="AH86" s="38" t="str">
        <f t="shared" si="5"/>
        <v>---</v>
      </c>
      <c r="AI86" s="594" t="str">
        <f t="shared" si="6"/>
        <v>=0</v>
      </c>
      <c r="AJ86" s="595" t="s">
        <v>1339</v>
      </c>
      <c r="AK86" s="593">
        <v>4</v>
      </c>
      <c r="AL86" s="593" t="s">
        <v>1338</v>
      </c>
      <c r="AM86" s="38"/>
      <c r="AN86" s="38"/>
      <c r="AO86" s="38"/>
      <c r="AP86" s="38"/>
      <c r="AQ86" s="38"/>
      <c r="AR86" s="38"/>
      <c r="AS86" s="38"/>
      <c r="AT86" s="38"/>
      <c r="AU86" s="38"/>
      <c r="AV86" s="40"/>
      <c r="AW86" s="38"/>
      <c r="AX86" s="38"/>
      <c r="AY86" s="38"/>
      <c r="AZ86" s="38"/>
      <c r="BA86" s="38"/>
      <c r="BB86" s="38"/>
    </row>
    <row r="87" spans="1:54" ht="15" customHeight="1">
      <c r="A87" s="469">
        <f>'Box Schedule'!A92</f>
        <v>0</v>
      </c>
      <c r="B87" s="482">
        <f>'Box Schedule'!AV92</f>
        <v>0</v>
      </c>
      <c r="C87" s="483" t="str">
        <f>IF((B87&gt;0),(VLOOKUP(J87,'Valve Reference'!$A$2:$K$389,3)),"-")</f>
        <v>-</v>
      </c>
      <c r="D87" s="471" t="s">
        <v>577</v>
      </c>
      <c r="E87" s="484" t="str">
        <f>IF((B87&gt;0),('Vlookup Tables'!$B$37),"-")</f>
        <v>-</v>
      </c>
      <c r="F87" s="585" t="str">
        <f t="shared" si="7"/>
        <v>-</v>
      </c>
      <c r="G87" s="485" t="str">
        <f>IF((B87&gt;0),(VLOOKUP($B87,'Vlookup Tables'!$B$23:$F$33,2,TRUE)),"-")</f>
        <v>-</v>
      </c>
      <c r="H87" s="586" t="str">
        <f t="shared" si="8"/>
        <v>-</v>
      </c>
      <c r="I87" s="476" t="str">
        <f>IF((B87&gt;0),('Vlookup Tables'!$B$35),"-")</f>
        <v>-</v>
      </c>
      <c r="J87" s="477" t="str">
        <f>IF(B87&gt;0,(IF(D87="2-Way",VLOOKUP($G87,'Vlookup Tables'!$C$23:$F$33,2,FALSE),VLOOKUP($G87,'Vlookup Tables'!$C$23:$F$33,3,FALSE))),"-")</f>
        <v>-</v>
      </c>
      <c r="K87" s="478" t="str">
        <f>IF(B87&gt;0,(VLOOKUP(J87,'Valve Reference'!$A$2:$K$389,4)),"-")</f>
        <v>-</v>
      </c>
      <c r="L87" s="478" t="str">
        <f>IF(B87&gt;0,(VLOOKUP(J87,'Valve Reference'!$A$2:$K$389,5)),"-")</f>
        <v>-</v>
      </c>
      <c r="M87" s="478" t="str">
        <f>IF(B87&gt;0,(VLOOKUP(J87,'Valve Reference'!$A$2:$K$389,8)),"-")</f>
        <v>-</v>
      </c>
      <c r="N87" s="478" t="str">
        <f>IF(B87&gt;0,(VLOOKUP(J87,'Valve Reference'!$A$2:$K$389,10)),"-")</f>
        <v>-</v>
      </c>
      <c r="O87" s="479" t="str">
        <f>IF(B87&gt;0,(VLOOKUP(J87,'Valve Reference'!$A$2:$K$389,11)),"-")</f>
        <v>-</v>
      </c>
      <c r="P87" s="480" t="str">
        <f>IF(B87&gt;0,(VLOOKUP(I87,'Actuator Reference'!$A$2:$H$54,2)),"-")</f>
        <v>-</v>
      </c>
      <c r="Q87" s="480" t="str">
        <f>IF(B87&gt;0,(VLOOKUP(I87,'Actuator Reference'!$A$2:$H$54,5)),"-")</f>
        <v>-</v>
      </c>
      <c r="R87" s="480" t="str">
        <f>IF(B87&gt;0,(VLOOKUP(I87,'Actuator Reference'!$A$2:$H$54,6)),"-")</f>
        <v>-</v>
      </c>
      <c r="S87" s="480" t="str">
        <f>IF(B87&gt;0,(VLOOKUP(I87,'Actuator Reference'!$A$2:$H$54,7)),"-")</f>
        <v>-</v>
      </c>
      <c r="T87" s="481" t="str">
        <f>IF(B87&gt;0,(VLOOKUP(I87,'Actuator Reference'!$A$2:$H$54,8)),"-")</f>
        <v>-</v>
      </c>
      <c r="U87" s="39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5">
        <v>1</v>
      </c>
      <c r="AG87" s="35" t="s">
        <v>1097</v>
      </c>
      <c r="AH87" s="38" t="str">
        <f t="shared" si="5"/>
        <v>---</v>
      </c>
      <c r="AI87" s="594" t="str">
        <f t="shared" si="6"/>
        <v>=0</v>
      </c>
      <c r="AJ87" s="595" t="s">
        <v>1339</v>
      </c>
      <c r="AK87" s="593">
        <v>4</v>
      </c>
      <c r="AL87" s="593" t="s">
        <v>1338</v>
      </c>
      <c r="AM87" s="38"/>
      <c r="AN87" s="38"/>
      <c r="AO87" s="38"/>
      <c r="AP87" s="38"/>
      <c r="AQ87" s="38"/>
      <c r="AR87" s="38"/>
      <c r="AS87" s="38"/>
      <c r="AT87" s="38"/>
      <c r="AU87" s="38"/>
      <c r="AV87" s="40"/>
      <c r="AW87" s="38"/>
      <c r="AX87" s="38"/>
      <c r="AY87" s="38"/>
      <c r="AZ87" s="38"/>
      <c r="BA87" s="38"/>
      <c r="BB87" s="38"/>
    </row>
    <row r="88" spans="1:54" ht="15" customHeight="1">
      <c r="A88" s="469">
        <f>'Box Schedule'!A93</f>
        <v>0</v>
      </c>
      <c r="B88" s="482">
        <f>'Box Schedule'!AV93</f>
        <v>0</v>
      </c>
      <c r="C88" s="483" t="str">
        <f>IF((B88&gt;0),(VLOOKUP(J88,'Valve Reference'!$A$2:$K$389,3)),"-")</f>
        <v>-</v>
      </c>
      <c r="D88" s="471" t="s">
        <v>577</v>
      </c>
      <c r="E88" s="484" t="str">
        <f>IF((B88&gt;0),('Vlookup Tables'!$B$37),"-")</f>
        <v>-</v>
      </c>
      <c r="F88" s="585" t="str">
        <f t="shared" si="7"/>
        <v>-</v>
      </c>
      <c r="G88" s="485" t="str">
        <f>IF((B88&gt;0),(VLOOKUP($B88,'Vlookup Tables'!$B$23:$F$33,2,TRUE)),"-")</f>
        <v>-</v>
      </c>
      <c r="H88" s="586" t="str">
        <f t="shared" si="8"/>
        <v>-</v>
      </c>
      <c r="I88" s="476" t="str">
        <f>IF((B88&gt;0),('Vlookup Tables'!$B$35),"-")</f>
        <v>-</v>
      </c>
      <c r="J88" s="477" t="str">
        <f>IF(B88&gt;0,(IF(D88="2-Way",VLOOKUP($G88,'Vlookup Tables'!$C$23:$F$33,2,FALSE),VLOOKUP($G88,'Vlookup Tables'!$C$23:$F$33,3,FALSE))),"-")</f>
        <v>-</v>
      </c>
      <c r="K88" s="478" t="str">
        <f>IF(B88&gt;0,(VLOOKUP(J88,'Valve Reference'!$A$2:$K$389,4)),"-")</f>
        <v>-</v>
      </c>
      <c r="L88" s="478" t="str">
        <f>IF(B88&gt;0,(VLOOKUP(J88,'Valve Reference'!$A$2:$K$389,5)),"-")</f>
        <v>-</v>
      </c>
      <c r="M88" s="478" t="str">
        <f>IF(B88&gt;0,(VLOOKUP(J88,'Valve Reference'!$A$2:$K$389,8)),"-")</f>
        <v>-</v>
      </c>
      <c r="N88" s="478" t="str">
        <f>IF(B88&gt;0,(VLOOKUP(J88,'Valve Reference'!$A$2:$K$389,10)),"-")</f>
        <v>-</v>
      </c>
      <c r="O88" s="479" t="str">
        <f>IF(B88&gt;0,(VLOOKUP(J88,'Valve Reference'!$A$2:$K$389,11)),"-")</f>
        <v>-</v>
      </c>
      <c r="P88" s="480" t="str">
        <f>IF(B88&gt;0,(VLOOKUP(I88,'Actuator Reference'!$A$2:$H$54,2)),"-")</f>
        <v>-</v>
      </c>
      <c r="Q88" s="480" t="str">
        <f>IF(B88&gt;0,(VLOOKUP(I88,'Actuator Reference'!$A$2:$H$54,5)),"-")</f>
        <v>-</v>
      </c>
      <c r="R88" s="480" t="str">
        <f>IF(B88&gt;0,(VLOOKUP(I88,'Actuator Reference'!$A$2:$H$54,6)),"-")</f>
        <v>-</v>
      </c>
      <c r="S88" s="480" t="str">
        <f>IF(B88&gt;0,(VLOOKUP(I88,'Actuator Reference'!$A$2:$H$54,7)),"-")</f>
        <v>-</v>
      </c>
      <c r="T88" s="481" t="str">
        <f>IF(B88&gt;0,(VLOOKUP(I88,'Actuator Reference'!$A$2:$H$54,8)),"-")</f>
        <v>-</v>
      </c>
      <c r="U88" s="39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5">
        <v>1</v>
      </c>
      <c r="AG88" s="35" t="s">
        <v>1097</v>
      </c>
      <c r="AH88" s="38" t="str">
        <f t="shared" si="5"/>
        <v>---</v>
      </c>
      <c r="AI88" s="594" t="str">
        <f t="shared" si="6"/>
        <v>=0</v>
      </c>
      <c r="AJ88" s="595" t="s">
        <v>1339</v>
      </c>
      <c r="AK88" s="593">
        <v>4</v>
      </c>
      <c r="AL88" s="593" t="s">
        <v>1338</v>
      </c>
      <c r="AM88" s="38"/>
      <c r="AN88" s="38"/>
      <c r="AO88" s="38"/>
      <c r="AP88" s="38"/>
      <c r="AQ88" s="38"/>
      <c r="AR88" s="38"/>
      <c r="AS88" s="38"/>
      <c r="AT88" s="38"/>
      <c r="AU88" s="38"/>
      <c r="AV88" s="40"/>
      <c r="AW88" s="38"/>
      <c r="AX88" s="38"/>
      <c r="AY88" s="38"/>
      <c r="AZ88" s="38"/>
      <c r="BA88" s="38"/>
      <c r="BB88" s="38"/>
    </row>
    <row r="89" spans="1:54" ht="15" customHeight="1">
      <c r="A89" s="469">
        <f>'Box Schedule'!A94</f>
        <v>0</v>
      </c>
      <c r="B89" s="482">
        <f>'Box Schedule'!AV94</f>
        <v>0</v>
      </c>
      <c r="C89" s="483" t="str">
        <f>IF((B89&gt;0),(VLOOKUP(J89,'Valve Reference'!$A$2:$K$389,3)),"-")</f>
        <v>-</v>
      </c>
      <c r="D89" s="471" t="s">
        <v>577</v>
      </c>
      <c r="E89" s="484" t="str">
        <f>IF((B89&gt;0),('Vlookup Tables'!$B$37),"-")</f>
        <v>-</v>
      </c>
      <c r="F89" s="585" t="str">
        <f t="shared" si="7"/>
        <v>-</v>
      </c>
      <c r="G89" s="485" t="str">
        <f>IF((B89&gt;0),(VLOOKUP($B89,'Vlookup Tables'!$B$23:$F$33,2,TRUE)),"-")</f>
        <v>-</v>
      </c>
      <c r="H89" s="586" t="str">
        <f t="shared" si="8"/>
        <v>-</v>
      </c>
      <c r="I89" s="476" t="str">
        <f>IF((B89&gt;0),('Vlookup Tables'!$B$35),"-")</f>
        <v>-</v>
      </c>
      <c r="J89" s="477" t="str">
        <f>IF(B89&gt;0,(IF(D89="2-Way",VLOOKUP($G89,'Vlookup Tables'!$C$23:$F$33,2,FALSE),VLOOKUP($G89,'Vlookup Tables'!$C$23:$F$33,3,FALSE))),"-")</f>
        <v>-</v>
      </c>
      <c r="K89" s="478" t="str">
        <f>IF(B89&gt;0,(VLOOKUP(J89,'Valve Reference'!$A$2:$K$389,4)),"-")</f>
        <v>-</v>
      </c>
      <c r="L89" s="478" t="str">
        <f>IF(B89&gt;0,(VLOOKUP(J89,'Valve Reference'!$A$2:$K$389,5)),"-")</f>
        <v>-</v>
      </c>
      <c r="M89" s="478" t="str">
        <f>IF(B89&gt;0,(VLOOKUP(J89,'Valve Reference'!$A$2:$K$389,8)),"-")</f>
        <v>-</v>
      </c>
      <c r="N89" s="478" t="str">
        <f>IF(B89&gt;0,(VLOOKUP(J89,'Valve Reference'!$A$2:$K$389,10)),"-")</f>
        <v>-</v>
      </c>
      <c r="O89" s="479" t="str">
        <f>IF(B89&gt;0,(VLOOKUP(J89,'Valve Reference'!$A$2:$K$389,11)),"-")</f>
        <v>-</v>
      </c>
      <c r="P89" s="480" t="str">
        <f>IF(B89&gt;0,(VLOOKUP(I89,'Actuator Reference'!$A$2:$H$54,2)),"-")</f>
        <v>-</v>
      </c>
      <c r="Q89" s="480" t="str">
        <f>IF(B89&gt;0,(VLOOKUP(I89,'Actuator Reference'!$A$2:$H$54,5)),"-")</f>
        <v>-</v>
      </c>
      <c r="R89" s="480" t="str">
        <f>IF(B89&gt;0,(VLOOKUP(I89,'Actuator Reference'!$A$2:$H$54,6)),"-")</f>
        <v>-</v>
      </c>
      <c r="S89" s="480" t="str">
        <f>IF(B89&gt;0,(VLOOKUP(I89,'Actuator Reference'!$A$2:$H$54,7)),"-")</f>
        <v>-</v>
      </c>
      <c r="T89" s="481" t="str">
        <f>IF(B89&gt;0,(VLOOKUP(I89,'Actuator Reference'!$A$2:$H$54,8)),"-")</f>
        <v>-</v>
      </c>
      <c r="U89" s="39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5">
        <v>1</v>
      </c>
      <c r="AG89" s="35" t="s">
        <v>1097</v>
      </c>
      <c r="AH89" s="38" t="str">
        <f t="shared" si="5"/>
        <v>---</v>
      </c>
      <c r="AI89" s="594" t="str">
        <f t="shared" si="6"/>
        <v>=0</v>
      </c>
      <c r="AJ89" s="595" t="s">
        <v>1339</v>
      </c>
      <c r="AK89" s="593">
        <v>4</v>
      </c>
      <c r="AL89" s="593" t="s">
        <v>1338</v>
      </c>
      <c r="AM89" s="38"/>
      <c r="AN89" s="38"/>
      <c r="AO89" s="38"/>
      <c r="AP89" s="38"/>
      <c r="AQ89" s="38"/>
      <c r="AR89" s="38"/>
      <c r="AS89" s="38"/>
      <c r="AT89" s="38"/>
      <c r="AU89" s="38"/>
      <c r="AV89" s="40"/>
      <c r="AW89" s="38"/>
      <c r="AX89" s="38"/>
      <c r="AY89" s="38"/>
      <c r="AZ89" s="38"/>
      <c r="BA89" s="38"/>
      <c r="BB89" s="38"/>
    </row>
    <row r="90" spans="1:54" ht="15" customHeight="1">
      <c r="A90" s="469">
        <f>'Box Schedule'!A95</f>
        <v>0</v>
      </c>
      <c r="B90" s="482">
        <f>'Box Schedule'!AV95</f>
        <v>0</v>
      </c>
      <c r="C90" s="483" t="str">
        <f>IF((B90&gt;0),(VLOOKUP(J90,'Valve Reference'!$A$2:$K$389,3)),"-")</f>
        <v>-</v>
      </c>
      <c r="D90" s="471" t="s">
        <v>577</v>
      </c>
      <c r="E90" s="484" t="str">
        <f>IF((B90&gt;0),('Vlookup Tables'!$B$37),"-")</f>
        <v>-</v>
      </c>
      <c r="F90" s="585" t="str">
        <f t="shared" si="7"/>
        <v>-</v>
      </c>
      <c r="G90" s="485" t="str">
        <f>IF((B90&gt;0),(VLOOKUP($B90,'Vlookup Tables'!$B$23:$F$33,2,TRUE)),"-")</f>
        <v>-</v>
      </c>
      <c r="H90" s="586" t="str">
        <f t="shared" si="8"/>
        <v>-</v>
      </c>
      <c r="I90" s="476" t="str">
        <f>IF((B90&gt;0),('Vlookup Tables'!$B$35),"-")</f>
        <v>-</v>
      </c>
      <c r="J90" s="477" t="str">
        <f>IF(B90&gt;0,(IF(D90="2-Way",VLOOKUP($G90,'Vlookup Tables'!$C$23:$F$33,2,FALSE),VLOOKUP($G90,'Vlookup Tables'!$C$23:$F$33,3,FALSE))),"-")</f>
        <v>-</v>
      </c>
      <c r="K90" s="478" t="str">
        <f>IF(B90&gt;0,(VLOOKUP(J90,'Valve Reference'!$A$2:$K$389,4)),"-")</f>
        <v>-</v>
      </c>
      <c r="L90" s="478" t="str">
        <f>IF(B90&gt;0,(VLOOKUP(J90,'Valve Reference'!$A$2:$K$389,5)),"-")</f>
        <v>-</v>
      </c>
      <c r="M90" s="478" t="str">
        <f>IF(B90&gt;0,(VLOOKUP(J90,'Valve Reference'!$A$2:$K$389,8)),"-")</f>
        <v>-</v>
      </c>
      <c r="N90" s="478" t="str">
        <f>IF(B90&gt;0,(VLOOKUP(J90,'Valve Reference'!$A$2:$K$389,10)),"-")</f>
        <v>-</v>
      </c>
      <c r="O90" s="479" t="str">
        <f>IF(B90&gt;0,(VLOOKUP(J90,'Valve Reference'!$A$2:$K$389,11)),"-")</f>
        <v>-</v>
      </c>
      <c r="P90" s="480" t="str">
        <f>IF(B90&gt;0,(VLOOKUP(I90,'Actuator Reference'!$A$2:$H$54,2)),"-")</f>
        <v>-</v>
      </c>
      <c r="Q90" s="480" t="str">
        <f>IF(B90&gt;0,(VLOOKUP(I90,'Actuator Reference'!$A$2:$H$54,5)),"-")</f>
        <v>-</v>
      </c>
      <c r="R90" s="480" t="str">
        <f>IF(B90&gt;0,(VLOOKUP(I90,'Actuator Reference'!$A$2:$H$54,6)),"-")</f>
        <v>-</v>
      </c>
      <c r="S90" s="480" t="str">
        <f>IF(B90&gt;0,(VLOOKUP(I90,'Actuator Reference'!$A$2:$H$54,7)),"-")</f>
        <v>-</v>
      </c>
      <c r="T90" s="481" t="str">
        <f>IF(B90&gt;0,(VLOOKUP(I90,'Actuator Reference'!$A$2:$H$54,8)),"-")</f>
        <v>-</v>
      </c>
      <c r="U90" s="39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5">
        <v>1</v>
      </c>
      <c r="AG90" s="35" t="s">
        <v>1097</v>
      </c>
      <c r="AH90" s="38" t="str">
        <f t="shared" si="5"/>
        <v>---</v>
      </c>
      <c r="AI90" s="594" t="str">
        <f t="shared" si="6"/>
        <v>=0</v>
      </c>
      <c r="AJ90" s="595" t="s">
        <v>1339</v>
      </c>
      <c r="AK90" s="593">
        <v>4</v>
      </c>
      <c r="AL90" s="593" t="s">
        <v>1338</v>
      </c>
      <c r="AM90" s="38"/>
      <c r="AN90" s="38"/>
      <c r="AO90" s="38"/>
      <c r="AP90" s="38"/>
      <c r="AQ90" s="38"/>
      <c r="AR90" s="38"/>
      <c r="AS90" s="38"/>
      <c r="AT90" s="38"/>
      <c r="AU90" s="38"/>
      <c r="AV90" s="40"/>
      <c r="AW90" s="38"/>
      <c r="AX90" s="38"/>
      <c r="AY90" s="38"/>
      <c r="AZ90" s="38"/>
      <c r="BA90" s="38"/>
      <c r="BB90" s="38"/>
    </row>
    <row r="91" spans="1:54" ht="15" customHeight="1">
      <c r="A91" s="469">
        <f>'Box Schedule'!A96</f>
        <v>0</v>
      </c>
      <c r="B91" s="482">
        <f>'Box Schedule'!AV96</f>
        <v>0</v>
      </c>
      <c r="C91" s="483" t="str">
        <f>IF((B91&gt;0),(VLOOKUP(J91,'Valve Reference'!$A$2:$K$389,3)),"-")</f>
        <v>-</v>
      </c>
      <c r="D91" s="471" t="s">
        <v>577</v>
      </c>
      <c r="E91" s="484" t="str">
        <f>IF((B91&gt;0),('Vlookup Tables'!$B$37),"-")</f>
        <v>-</v>
      </c>
      <c r="F91" s="585" t="str">
        <f t="shared" si="7"/>
        <v>-</v>
      </c>
      <c r="G91" s="485" t="str">
        <f>IF((B91&gt;0),(VLOOKUP($B91,'Vlookup Tables'!$B$23:$F$33,2,TRUE)),"-")</f>
        <v>-</v>
      </c>
      <c r="H91" s="586" t="str">
        <f t="shared" si="8"/>
        <v>-</v>
      </c>
      <c r="I91" s="476" t="str">
        <f>IF((B91&gt;0),('Vlookup Tables'!$B$35),"-")</f>
        <v>-</v>
      </c>
      <c r="J91" s="477" t="str">
        <f>IF(B91&gt;0,(IF(D91="2-Way",VLOOKUP($G91,'Vlookup Tables'!$C$23:$F$33,2,FALSE),VLOOKUP($G91,'Vlookup Tables'!$C$23:$F$33,3,FALSE))),"-")</f>
        <v>-</v>
      </c>
      <c r="K91" s="478" t="str">
        <f>IF(B91&gt;0,(VLOOKUP(J91,'Valve Reference'!$A$2:$K$389,4)),"-")</f>
        <v>-</v>
      </c>
      <c r="L91" s="478" t="str">
        <f>IF(B91&gt;0,(VLOOKUP(J91,'Valve Reference'!$A$2:$K$389,5)),"-")</f>
        <v>-</v>
      </c>
      <c r="M91" s="478" t="str">
        <f>IF(B91&gt;0,(VLOOKUP(J91,'Valve Reference'!$A$2:$K$389,8)),"-")</f>
        <v>-</v>
      </c>
      <c r="N91" s="478" t="str">
        <f>IF(B91&gt;0,(VLOOKUP(J91,'Valve Reference'!$A$2:$K$389,10)),"-")</f>
        <v>-</v>
      </c>
      <c r="O91" s="479" t="str">
        <f>IF(B91&gt;0,(VLOOKUP(J91,'Valve Reference'!$A$2:$K$389,11)),"-")</f>
        <v>-</v>
      </c>
      <c r="P91" s="480" t="str">
        <f>IF(B91&gt;0,(VLOOKUP(I91,'Actuator Reference'!$A$2:$H$54,2)),"-")</f>
        <v>-</v>
      </c>
      <c r="Q91" s="480" t="str">
        <f>IF(B91&gt;0,(VLOOKUP(I91,'Actuator Reference'!$A$2:$H$54,5)),"-")</f>
        <v>-</v>
      </c>
      <c r="R91" s="480" t="str">
        <f>IF(B91&gt;0,(VLOOKUP(I91,'Actuator Reference'!$A$2:$H$54,6)),"-")</f>
        <v>-</v>
      </c>
      <c r="S91" s="480" t="str">
        <f>IF(B91&gt;0,(VLOOKUP(I91,'Actuator Reference'!$A$2:$H$54,7)),"-")</f>
        <v>-</v>
      </c>
      <c r="T91" s="481" t="str">
        <f>IF(B91&gt;0,(VLOOKUP(I91,'Actuator Reference'!$A$2:$H$54,8)),"-")</f>
        <v>-</v>
      </c>
      <c r="U91" s="39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5">
        <v>1</v>
      </c>
      <c r="AG91" s="35" t="s">
        <v>1097</v>
      </c>
      <c r="AH91" s="38" t="str">
        <f t="shared" si="5"/>
        <v>---</v>
      </c>
      <c r="AI91" s="594" t="str">
        <f t="shared" si="6"/>
        <v>=0</v>
      </c>
      <c r="AJ91" s="595" t="s">
        <v>1339</v>
      </c>
      <c r="AK91" s="593">
        <v>4</v>
      </c>
      <c r="AL91" s="593" t="s">
        <v>1338</v>
      </c>
      <c r="AM91" s="38"/>
      <c r="AN91" s="38"/>
      <c r="AO91" s="38"/>
      <c r="AP91" s="38"/>
      <c r="AQ91" s="38"/>
      <c r="AR91" s="38"/>
      <c r="AS91" s="38"/>
      <c r="AT91" s="38"/>
      <c r="AU91" s="38"/>
      <c r="AV91" s="40"/>
      <c r="AW91" s="38"/>
      <c r="AX91" s="38"/>
      <c r="AY91" s="38"/>
      <c r="AZ91" s="38"/>
      <c r="BA91" s="38"/>
      <c r="BB91" s="38"/>
    </row>
    <row r="92" spans="1:54" ht="15" customHeight="1">
      <c r="A92" s="469">
        <f>'Box Schedule'!A97</f>
        <v>0</v>
      </c>
      <c r="B92" s="482">
        <f>'Box Schedule'!AV97</f>
        <v>0</v>
      </c>
      <c r="C92" s="483" t="str">
        <f>IF((B92&gt;0),(VLOOKUP(J92,'Valve Reference'!$A$2:$K$389,3)),"-")</f>
        <v>-</v>
      </c>
      <c r="D92" s="471" t="s">
        <v>579</v>
      </c>
      <c r="E92" s="484" t="str">
        <f>IF((B92&gt;0),('Vlookup Tables'!$B$37),"-")</f>
        <v>-</v>
      </c>
      <c r="F92" s="585" t="str">
        <f t="shared" si="7"/>
        <v>-</v>
      </c>
      <c r="G92" s="485" t="str">
        <f>IF((B92&gt;0),(VLOOKUP($B92,'Vlookup Tables'!$B$23:$F$33,2,TRUE)),"-")</f>
        <v>-</v>
      </c>
      <c r="H92" s="586" t="str">
        <f t="shared" si="8"/>
        <v>-</v>
      </c>
      <c r="I92" s="476" t="str">
        <f>IF((B92&gt;0),('Vlookup Tables'!$B$35),"-")</f>
        <v>-</v>
      </c>
      <c r="J92" s="477" t="str">
        <f>IF(B92&gt;0,(IF(D92="2-Way",VLOOKUP($G92,'Vlookup Tables'!$C$23:$F$33,2,FALSE),VLOOKUP($G92,'Vlookup Tables'!$C$23:$F$33,3,FALSE))),"-")</f>
        <v>-</v>
      </c>
      <c r="K92" s="478" t="str">
        <f>IF(B92&gt;0,(VLOOKUP(J92,'Valve Reference'!$A$2:$K$389,4)),"-")</f>
        <v>-</v>
      </c>
      <c r="L92" s="478" t="str">
        <f>IF(B92&gt;0,(VLOOKUP(J92,'Valve Reference'!$A$2:$K$389,5)),"-")</f>
        <v>-</v>
      </c>
      <c r="M92" s="478" t="str">
        <f>IF(B92&gt;0,(VLOOKUP(J92,'Valve Reference'!$A$2:$K$389,8)),"-")</f>
        <v>-</v>
      </c>
      <c r="N92" s="478" t="str">
        <f>IF(B92&gt;0,(VLOOKUP(J92,'Valve Reference'!$A$2:$K$389,10)),"-")</f>
        <v>-</v>
      </c>
      <c r="O92" s="479" t="str">
        <f>IF(B92&gt;0,(VLOOKUP(J92,'Valve Reference'!$A$2:$K$389,11)),"-")</f>
        <v>-</v>
      </c>
      <c r="P92" s="480" t="str">
        <f>IF(B92&gt;0,(VLOOKUP(I92,'Actuator Reference'!$A$2:$H$54,2)),"-")</f>
        <v>-</v>
      </c>
      <c r="Q92" s="480" t="str">
        <f>IF(B92&gt;0,(VLOOKUP(I92,'Actuator Reference'!$A$2:$H$54,5)),"-")</f>
        <v>-</v>
      </c>
      <c r="R92" s="480" t="str">
        <f>IF(B92&gt;0,(VLOOKUP(I92,'Actuator Reference'!$A$2:$H$54,6)),"-")</f>
        <v>-</v>
      </c>
      <c r="S92" s="480" t="str">
        <f>IF(B92&gt;0,(VLOOKUP(I92,'Actuator Reference'!$A$2:$H$54,7)),"-")</f>
        <v>-</v>
      </c>
      <c r="T92" s="481" t="str">
        <f>IF(B92&gt;0,(VLOOKUP(I92,'Actuator Reference'!$A$2:$H$54,8)),"-")</f>
        <v>-</v>
      </c>
      <c r="U92" s="39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5">
        <v>1</v>
      </c>
      <c r="AG92" s="35" t="s">
        <v>1097</v>
      </c>
      <c r="AH92" s="38" t="str">
        <f t="shared" si="5"/>
        <v>---</v>
      </c>
      <c r="AI92" s="594" t="str">
        <f t="shared" si="6"/>
        <v>=0</v>
      </c>
      <c r="AJ92" s="595" t="s">
        <v>1339</v>
      </c>
      <c r="AK92" s="593">
        <v>4</v>
      </c>
      <c r="AL92" s="593" t="s">
        <v>1338</v>
      </c>
      <c r="AM92" s="38"/>
      <c r="AN92" s="38"/>
      <c r="AO92" s="38"/>
      <c r="AP92" s="38"/>
      <c r="AQ92" s="38"/>
      <c r="AR92" s="38"/>
      <c r="AS92" s="38"/>
      <c r="AT92" s="38"/>
      <c r="AU92" s="38"/>
      <c r="AV92" s="40"/>
      <c r="AW92" s="38"/>
      <c r="AX92" s="38"/>
      <c r="AY92" s="38"/>
      <c r="AZ92" s="38"/>
      <c r="BA92" s="38"/>
      <c r="BB92" s="38"/>
    </row>
    <row r="93" spans="1:54" ht="15" customHeight="1">
      <c r="A93" s="469">
        <f>'Box Schedule'!A98</f>
        <v>0</v>
      </c>
      <c r="B93" s="482">
        <f>'Box Schedule'!AV98</f>
        <v>0</v>
      </c>
      <c r="C93" s="483" t="str">
        <f>IF((B93&gt;0),(VLOOKUP(J93,'Valve Reference'!$A$2:$K$389,3)),"-")</f>
        <v>-</v>
      </c>
      <c r="D93" s="471" t="s">
        <v>577</v>
      </c>
      <c r="E93" s="484" t="str">
        <f>IF((B93&gt;0),('Vlookup Tables'!$B$37),"-")</f>
        <v>-</v>
      </c>
      <c r="F93" s="585" t="str">
        <f t="shared" si="7"/>
        <v>-</v>
      </c>
      <c r="G93" s="485" t="str">
        <f>IF((B93&gt;0),(VLOOKUP($B93,'Vlookup Tables'!$B$23:$F$33,2,TRUE)),"-")</f>
        <v>-</v>
      </c>
      <c r="H93" s="586" t="str">
        <f t="shared" si="8"/>
        <v>-</v>
      </c>
      <c r="I93" s="476" t="str">
        <f>IF((B93&gt;0),('Vlookup Tables'!$B$35),"-")</f>
        <v>-</v>
      </c>
      <c r="J93" s="477" t="str">
        <f>IF(B93&gt;0,(IF(D93="2-Way",VLOOKUP($G93,'Vlookup Tables'!$C$23:$F$33,2,FALSE),VLOOKUP($G93,'Vlookup Tables'!$C$23:$F$33,3,FALSE))),"-")</f>
        <v>-</v>
      </c>
      <c r="K93" s="478" t="str">
        <f>IF(B93&gt;0,(VLOOKUP(J93,'Valve Reference'!$A$2:$K$389,4)),"-")</f>
        <v>-</v>
      </c>
      <c r="L93" s="478" t="str">
        <f>IF(B93&gt;0,(VLOOKUP(J93,'Valve Reference'!$A$2:$K$389,5)),"-")</f>
        <v>-</v>
      </c>
      <c r="M93" s="478" t="str">
        <f>IF(B93&gt;0,(VLOOKUP(J93,'Valve Reference'!$A$2:$K$389,8)),"-")</f>
        <v>-</v>
      </c>
      <c r="N93" s="478" t="str">
        <f>IF(B93&gt;0,(VLOOKUP(J93,'Valve Reference'!$A$2:$K$389,10)),"-")</f>
        <v>-</v>
      </c>
      <c r="O93" s="479" t="str">
        <f>IF(B93&gt;0,(VLOOKUP(J93,'Valve Reference'!$A$2:$K$389,11)),"-")</f>
        <v>-</v>
      </c>
      <c r="P93" s="480" t="str">
        <f>IF(B93&gt;0,(VLOOKUP(I93,'Actuator Reference'!$A$2:$H$54,2)),"-")</f>
        <v>-</v>
      </c>
      <c r="Q93" s="480" t="str">
        <f>IF(B93&gt;0,(VLOOKUP(I93,'Actuator Reference'!$A$2:$H$54,5)),"-")</f>
        <v>-</v>
      </c>
      <c r="R93" s="480" t="str">
        <f>IF(B93&gt;0,(VLOOKUP(I93,'Actuator Reference'!$A$2:$H$54,6)),"-")</f>
        <v>-</v>
      </c>
      <c r="S93" s="480" t="str">
        <f>IF(B93&gt;0,(VLOOKUP(I93,'Actuator Reference'!$A$2:$H$54,7)),"-")</f>
        <v>-</v>
      </c>
      <c r="T93" s="481" t="str">
        <f>IF(B93&gt;0,(VLOOKUP(I93,'Actuator Reference'!$A$2:$H$54,8)),"-")</f>
        <v>-</v>
      </c>
      <c r="U93" s="39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5">
        <v>1</v>
      </c>
      <c r="AG93" s="35" t="s">
        <v>1097</v>
      </c>
      <c r="AH93" s="38" t="str">
        <f t="shared" si="5"/>
        <v>---</v>
      </c>
      <c r="AI93" s="594" t="str">
        <f t="shared" si="6"/>
        <v>=0</v>
      </c>
      <c r="AJ93" s="595" t="s">
        <v>1339</v>
      </c>
      <c r="AK93" s="593">
        <v>4</v>
      </c>
      <c r="AL93" s="593" t="s">
        <v>1338</v>
      </c>
      <c r="AM93" s="38"/>
      <c r="AN93" s="38"/>
      <c r="AO93" s="38"/>
      <c r="AP93" s="38"/>
      <c r="AQ93" s="38"/>
      <c r="AR93" s="38"/>
      <c r="AS93" s="38"/>
      <c r="AT93" s="38"/>
      <c r="AU93" s="38"/>
      <c r="AV93" s="40"/>
      <c r="AW93" s="38"/>
      <c r="AX93" s="38"/>
      <c r="AY93" s="38"/>
      <c r="AZ93" s="38"/>
      <c r="BA93" s="38"/>
      <c r="BB93" s="38"/>
    </row>
    <row r="94" spans="1:54" ht="15" customHeight="1">
      <c r="A94" s="469">
        <f>'Box Schedule'!A99</f>
        <v>0</v>
      </c>
      <c r="B94" s="482">
        <f>'Box Schedule'!AV99</f>
        <v>0</v>
      </c>
      <c r="C94" s="483" t="str">
        <f>IF((B94&gt;0),(VLOOKUP(J94,'Valve Reference'!$A$2:$K$389,3)),"-")</f>
        <v>-</v>
      </c>
      <c r="D94" s="471" t="s">
        <v>577</v>
      </c>
      <c r="E94" s="484" t="str">
        <f>IF((B94&gt;0),('Vlookup Tables'!$B$37),"-")</f>
        <v>-</v>
      </c>
      <c r="F94" s="585" t="str">
        <f t="shared" si="7"/>
        <v>-</v>
      </c>
      <c r="G94" s="485" t="str">
        <f>IF((B94&gt;0),(VLOOKUP($B94,'Vlookup Tables'!$B$23:$F$33,2,TRUE)),"-")</f>
        <v>-</v>
      </c>
      <c r="H94" s="586" t="str">
        <f t="shared" si="8"/>
        <v>-</v>
      </c>
      <c r="I94" s="476" t="str">
        <f>IF((B94&gt;0),('Vlookup Tables'!$B$35),"-")</f>
        <v>-</v>
      </c>
      <c r="J94" s="477" t="str">
        <f>IF(B94&gt;0,(IF(D94="2-Way",VLOOKUP($G94,'Vlookup Tables'!$C$23:$F$33,2,FALSE),VLOOKUP($G94,'Vlookup Tables'!$C$23:$F$33,3,FALSE))),"-")</f>
        <v>-</v>
      </c>
      <c r="K94" s="478" t="str">
        <f>IF(B94&gt;0,(VLOOKUP(J94,'Valve Reference'!$A$2:$K$389,4)),"-")</f>
        <v>-</v>
      </c>
      <c r="L94" s="478" t="str">
        <f>IF(B94&gt;0,(VLOOKUP(J94,'Valve Reference'!$A$2:$K$389,5)),"-")</f>
        <v>-</v>
      </c>
      <c r="M94" s="478" t="str">
        <f>IF(B94&gt;0,(VLOOKUP(J94,'Valve Reference'!$A$2:$K$389,8)),"-")</f>
        <v>-</v>
      </c>
      <c r="N94" s="478" t="str">
        <f>IF(B94&gt;0,(VLOOKUP(J94,'Valve Reference'!$A$2:$K$389,10)),"-")</f>
        <v>-</v>
      </c>
      <c r="O94" s="479" t="str">
        <f>IF(B94&gt;0,(VLOOKUP(J94,'Valve Reference'!$A$2:$K$389,11)),"-")</f>
        <v>-</v>
      </c>
      <c r="P94" s="480" t="str">
        <f>IF(B94&gt;0,(VLOOKUP(I94,'Actuator Reference'!$A$2:$H$54,2)),"-")</f>
        <v>-</v>
      </c>
      <c r="Q94" s="480" t="str">
        <f>IF(B94&gt;0,(VLOOKUP(I94,'Actuator Reference'!$A$2:$H$54,5)),"-")</f>
        <v>-</v>
      </c>
      <c r="R94" s="480" t="str">
        <f>IF(B94&gt;0,(VLOOKUP(I94,'Actuator Reference'!$A$2:$H$54,6)),"-")</f>
        <v>-</v>
      </c>
      <c r="S94" s="480" t="str">
        <f>IF(B94&gt;0,(VLOOKUP(I94,'Actuator Reference'!$A$2:$H$54,7)),"-")</f>
        <v>-</v>
      </c>
      <c r="T94" s="481" t="str">
        <f>IF(B94&gt;0,(VLOOKUP(I94,'Actuator Reference'!$A$2:$H$54,8)),"-")</f>
        <v>-</v>
      </c>
      <c r="U94" s="39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5">
        <v>1</v>
      </c>
      <c r="AG94" s="35" t="s">
        <v>1097</v>
      </c>
      <c r="AH94" s="38" t="str">
        <f t="shared" si="5"/>
        <v>---</v>
      </c>
      <c r="AI94" s="594" t="str">
        <f t="shared" si="6"/>
        <v>=0</v>
      </c>
      <c r="AJ94" s="595" t="s">
        <v>1339</v>
      </c>
      <c r="AK94" s="593">
        <v>4</v>
      </c>
      <c r="AL94" s="593" t="s">
        <v>1338</v>
      </c>
      <c r="AM94" s="38"/>
      <c r="AN94" s="38"/>
      <c r="AO94" s="38"/>
      <c r="AP94" s="38"/>
      <c r="AQ94" s="38"/>
      <c r="AR94" s="38"/>
      <c r="AS94" s="38"/>
      <c r="AT94" s="38"/>
      <c r="AU94" s="38"/>
      <c r="AV94" s="40"/>
      <c r="AW94" s="38"/>
      <c r="AX94" s="38"/>
      <c r="AY94" s="38"/>
      <c r="AZ94" s="38"/>
      <c r="BA94" s="38"/>
      <c r="BB94" s="38"/>
    </row>
    <row r="95" spans="1:54" ht="15" customHeight="1">
      <c r="A95" s="469">
        <f>'Box Schedule'!A100</f>
        <v>0</v>
      </c>
      <c r="B95" s="482">
        <f>'Box Schedule'!AV100</f>
        <v>0</v>
      </c>
      <c r="C95" s="483" t="str">
        <f>IF((B95&gt;0),(VLOOKUP(J95,'Valve Reference'!$A$2:$K$389,3)),"-")</f>
        <v>-</v>
      </c>
      <c r="D95" s="471" t="s">
        <v>577</v>
      </c>
      <c r="E95" s="484" t="str">
        <f>IF((B95&gt;0),('Vlookup Tables'!$B$37),"-")</f>
        <v>-</v>
      </c>
      <c r="F95" s="585" t="str">
        <f t="shared" si="7"/>
        <v>-</v>
      </c>
      <c r="G95" s="485" t="str">
        <f>IF((B95&gt;0),(VLOOKUP($B95,'Vlookup Tables'!$B$23:$F$33,2,TRUE)),"-")</f>
        <v>-</v>
      </c>
      <c r="H95" s="586" t="str">
        <f t="shared" si="8"/>
        <v>-</v>
      </c>
      <c r="I95" s="476" t="str">
        <f>IF((B95&gt;0),('Vlookup Tables'!$B$35),"-")</f>
        <v>-</v>
      </c>
      <c r="J95" s="477" t="str">
        <f>IF(B95&gt;0,(IF(D95="2-Way",VLOOKUP($G95,'Vlookup Tables'!$C$23:$F$33,2,FALSE),VLOOKUP($G95,'Vlookup Tables'!$C$23:$F$33,3,FALSE))),"-")</f>
        <v>-</v>
      </c>
      <c r="K95" s="478" t="str">
        <f>IF(B95&gt;0,(VLOOKUP(J95,'Valve Reference'!$A$2:$K$389,4)),"-")</f>
        <v>-</v>
      </c>
      <c r="L95" s="478" t="str">
        <f>IF(B95&gt;0,(VLOOKUP(J95,'Valve Reference'!$A$2:$K$389,5)),"-")</f>
        <v>-</v>
      </c>
      <c r="M95" s="478" t="str">
        <f>IF(B95&gt;0,(VLOOKUP(J95,'Valve Reference'!$A$2:$K$389,8)),"-")</f>
        <v>-</v>
      </c>
      <c r="N95" s="478" t="str">
        <f>IF(B95&gt;0,(VLOOKUP(J95,'Valve Reference'!$A$2:$K$389,10)),"-")</f>
        <v>-</v>
      </c>
      <c r="O95" s="479" t="str">
        <f>IF(B95&gt;0,(VLOOKUP(J95,'Valve Reference'!$A$2:$K$389,11)),"-")</f>
        <v>-</v>
      </c>
      <c r="P95" s="480" t="str">
        <f>IF(B95&gt;0,(VLOOKUP(I95,'Actuator Reference'!$A$2:$H$54,2)),"-")</f>
        <v>-</v>
      </c>
      <c r="Q95" s="480" t="str">
        <f>IF(B95&gt;0,(VLOOKUP(I95,'Actuator Reference'!$A$2:$H$54,5)),"-")</f>
        <v>-</v>
      </c>
      <c r="R95" s="480" t="str">
        <f>IF(B95&gt;0,(VLOOKUP(I95,'Actuator Reference'!$A$2:$H$54,6)),"-")</f>
        <v>-</v>
      </c>
      <c r="S95" s="480" t="str">
        <f>IF(B95&gt;0,(VLOOKUP(I95,'Actuator Reference'!$A$2:$H$54,7)),"-")</f>
        <v>-</v>
      </c>
      <c r="T95" s="481" t="str">
        <f>IF(B95&gt;0,(VLOOKUP(I95,'Actuator Reference'!$A$2:$H$54,8)),"-")</f>
        <v>-</v>
      </c>
      <c r="U95" s="39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5">
        <v>1</v>
      </c>
      <c r="AG95" s="35" t="s">
        <v>1097</v>
      </c>
      <c r="AH95" s="38" t="str">
        <f t="shared" si="5"/>
        <v>---</v>
      </c>
      <c r="AI95" s="594" t="str">
        <f t="shared" si="6"/>
        <v>=0</v>
      </c>
      <c r="AJ95" s="595" t="s">
        <v>1339</v>
      </c>
      <c r="AK95" s="593">
        <v>4</v>
      </c>
      <c r="AL95" s="593" t="s">
        <v>1338</v>
      </c>
      <c r="AM95" s="38"/>
      <c r="AN95" s="38"/>
      <c r="AO95" s="38"/>
      <c r="AP95" s="38"/>
      <c r="AQ95" s="38"/>
      <c r="AR95" s="38"/>
      <c r="AS95" s="38"/>
      <c r="AT95" s="38"/>
      <c r="AU95" s="38"/>
      <c r="AV95" s="40"/>
      <c r="AW95" s="38"/>
      <c r="AX95" s="38"/>
      <c r="AY95" s="38"/>
      <c r="AZ95" s="38"/>
      <c r="BA95" s="38"/>
      <c r="BB95" s="38"/>
    </row>
    <row r="96" spans="1:54" ht="15" customHeight="1">
      <c r="A96" s="469">
        <f>'Box Schedule'!A101</f>
        <v>0</v>
      </c>
      <c r="B96" s="482">
        <f>'Box Schedule'!AV101</f>
        <v>0</v>
      </c>
      <c r="C96" s="483" t="str">
        <f>IF((B96&gt;0),(VLOOKUP(J96,'Valve Reference'!$A$2:$K$389,3)),"-")</f>
        <v>-</v>
      </c>
      <c r="D96" s="471" t="s">
        <v>577</v>
      </c>
      <c r="E96" s="484" t="str">
        <f>IF((B96&gt;0),('Vlookup Tables'!$B$37),"-")</f>
        <v>-</v>
      </c>
      <c r="F96" s="585" t="str">
        <f t="shared" si="7"/>
        <v>-</v>
      </c>
      <c r="G96" s="485" t="str">
        <f>IF((B96&gt;0),(VLOOKUP($B96,'Vlookup Tables'!$B$23:$F$33,2,TRUE)),"-")</f>
        <v>-</v>
      </c>
      <c r="H96" s="586" t="str">
        <f t="shared" si="8"/>
        <v>-</v>
      </c>
      <c r="I96" s="476" t="str">
        <f>IF((B96&gt;0),('Vlookup Tables'!$B$35),"-")</f>
        <v>-</v>
      </c>
      <c r="J96" s="477" t="str">
        <f>IF(B96&gt;0,(IF(D96="2-Way",VLOOKUP($G96,'Vlookup Tables'!$C$23:$F$33,2,FALSE),VLOOKUP($G96,'Vlookup Tables'!$C$23:$F$33,3,FALSE))),"-")</f>
        <v>-</v>
      </c>
      <c r="K96" s="478" t="str">
        <f>IF(B96&gt;0,(VLOOKUP(J96,'Valve Reference'!$A$2:$K$389,4)),"-")</f>
        <v>-</v>
      </c>
      <c r="L96" s="478" t="str">
        <f>IF(B96&gt;0,(VLOOKUP(J96,'Valve Reference'!$A$2:$K$389,5)),"-")</f>
        <v>-</v>
      </c>
      <c r="M96" s="478" t="str">
        <f>IF(B96&gt;0,(VLOOKUP(J96,'Valve Reference'!$A$2:$K$389,8)),"-")</f>
        <v>-</v>
      </c>
      <c r="N96" s="478" t="str">
        <f>IF(B96&gt;0,(VLOOKUP(J96,'Valve Reference'!$A$2:$K$389,10)),"-")</f>
        <v>-</v>
      </c>
      <c r="O96" s="479" t="str">
        <f>IF(B96&gt;0,(VLOOKUP(J96,'Valve Reference'!$A$2:$K$389,11)),"-")</f>
        <v>-</v>
      </c>
      <c r="P96" s="480" t="str">
        <f>IF(B96&gt;0,(VLOOKUP(I96,'Actuator Reference'!$A$2:$H$54,2)),"-")</f>
        <v>-</v>
      </c>
      <c r="Q96" s="480" t="str">
        <f>IF(B96&gt;0,(VLOOKUP(I96,'Actuator Reference'!$A$2:$H$54,5)),"-")</f>
        <v>-</v>
      </c>
      <c r="R96" s="480" t="str">
        <f>IF(B96&gt;0,(VLOOKUP(I96,'Actuator Reference'!$A$2:$H$54,6)),"-")</f>
        <v>-</v>
      </c>
      <c r="S96" s="480" t="str">
        <f>IF(B96&gt;0,(VLOOKUP(I96,'Actuator Reference'!$A$2:$H$54,7)),"-")</f>
        <v>-</v>
      </c>
      <c r="T96" s="481" t="str">
        <f>IF(B96&gt;0,(VLOOKUP(I96,'Actuator Reference'!$A$2:$H$54,8)),"-")</f>
        <v>-</v>
      </c>
      <c r="U96" s="39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5">
        <v>1</v>
      </c>
      <c r="AG96" s="35" t="s">
        <v>1097</v>
      </c>
      <c r="AH96" s="38" t="str">
        <f t="shared" ref="AH96:AH151" si="9">CONCATENATE(I96,"-",J96)</f>
        <v>---</v>
      </c>
      <c r="AI96" s="594" t="str">
        <f t="shared" si="6"/>
        <v>=0</v>
      </c>
      <c r="AJ96" s="595" t="s">
        <v>1339</v>
      </c>
      <c r="AK96" s="593">
        <v>4</v>
      </c>
      <c r="AL96" s="593" t="s">
        <v>1338</v>
      </c>
      <c r="AM96" s="38"/>
      <c r="AN96" s="38"/>
      <c r="AO96" s="38"/>
      <c r="AP96" s="38"/>
      <c r="AQ96" s="38"/>
      <c r="AR96" s="38"/>
      <c r="AS96" s="38"/>
      <c r="AT96" s="38"/>
      <c r="AU96" s="38"/>
      <c r="AV96" s="40"/>
      <c r="AW96" s="38"/>
      <c r="AX96" s="38"/>
      <c r="AY96" s="38"/>
      <c r="AZ96" s="38"/>
      <c r="BA96" s="38"/>
      <c r="BB96" s="38"/>
    </row>
    <row r="97" spans="1:54" ht="15" customHeight="1">
      <c r="A97" s="469">
        <f>'Box Schedule'!A102</f>
        <v>0</v>
      </c>
      <c r="B97" s="482">
        <f>'Box Schedule'!AV102</f>
        <v>0</v>
      </c>
      <c r="C97" s="483" t="str">
        <f>IF((B97&gt;0),(VLOOKUP(J97,'Valve Reference'!$A$2:$K$389,3)),"-")</f>
        <v>-</v>
      </c>
      <c r="D97" s="471" t="s">
        <v>577</v>
      </c>
      <c r="E97" s="484" t="str">
        <f>IF((B97&gt;0),('Vlookup Tables'!$B$37),"-")</f>
        <v>-</v>
      </c>
      <c r="F97" s="585" t="str">
        <f t="shared" si="7"/>
        <v>-</v>
      </c>
      <c r="G97" s="485" t="str">
        <f>IF((B97&gt;0),(VLOOKUP($B97,'Vlookup Tables'!$B$23:$F$33,2,TRUE)),"-")</f>
        <v>-</v>
      </c>
      <c r="H97" s="586" t="str">
        <f t="shared" si="8"/>
        <v>-</v>
      </c>
      <c r="I97" s="476" t="str">
        <f>IF((B97&gt;0),('Vlookup Tables'!$B$35),"-")</f>
        <v>-</v>
      </c>
      <c r="J97" s="477" t="str">
        <f>IF(B97&gt;0,(IF(D97="2-Way",VLOOKUP($G97,'Vlookup Tables'!$C$23:$F$33,2,FALSE),VLOOKUP($G97,'Vlookup Tables'!$C$23:$F$33,3,FALSE))),"-")</f>
        <v>-</v>
      </c>
      <c r="K97" s="478" t="str">
        <f>IF(B97&gt;0,(VLOOKUP(J97,'Valve Reference'!$A$2:$K$389,4)),"-")</f>
        <v>-</v>
      </c>
      <c r="L97" s="478" t="str">
        <f>IF(B97&gt;0,(VLOOKUP(J97,'Valve Reference'!$A$2:$K$389,5)),"-")</f>
        <v>-</v>
      </c>
      <c r="M97" s="478" t="str">
        <f>IF(B97&gt;0,(VLOOKUP(J97,'Valve Reference'!$A$2:$K$389,8)),"-")</f>
        <v>-</v>
      </c>
      <c r="N97" s="478" t="str">
        <f>IF(B97&gt;0,(VLOOKUP(J97,'Valve Reference'!$A$2:$K$389,10)),"-")</f>
        <v>-</v>
      </c>
      <c r="O97" s="479" t="str">
        <f>IF(B97&gt;0,(VLOOKUP(J97,'Valve Reference'!$A$2:$K$389,11)),"-")</f>
        <v>-</v>
      </c>
      <c r="P97" s="480" t="str">
        <f>IF(B97&gt;0,(VLOOKUP(I97,'Actuator Reference'!$A$2:$H$54,2)),"-")</f>
        <v>-</v>
      </c>
      <c r="Q97" s="480" t="str">
        <f>IF(B97&gt;0,(VLOOKUP(I97,'Actuator Reference'!$A$2:$H$54,5)),"-")</f>
        <v>-</v>
      </c>
      <c r="R97" s="480" t="str">
        <f>IF(B97&gt;0,(VLOOKUP(I97,'Actuator Reference'!$A$2:$H$54,6)),"-")</f>
        <v>-</v>
      </c>
      <c r="S97" s="480" t="str">
        <f>IF(B97&gt;0,(VLOOKUP(I97,'Actuator Reference'!$A$2:$H$54,7)),"-")</f>
        <v>-</v>
      </c>
      <c r="T97" s="481" t="str">
        <f>IF(B97&gt;0,(VLOOKUP(I97,'Actuator Reference'!$A$2:$H$54,8)),"-")</f>
        <v>-</v>
      </c>
      <c r="U97" s="39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5">
        <v>1</v>
      </c>
      <c r="AG97" s="35" t="s">
        <v>1097</v>
      </c>
      <c r="AH97" s="38" t="str">
        <f t="shared" si="9"/>
        <v>---</v>
      </c>
      <c r="AI97" s="594" t="str">
        <f t="shared" si="6"/>
        <v>=0</v>
      </c>
      <c r="AJ97" s="595" t="s">
        <v>1339</v>
      </c>
      <c r="AK97" s="593">
        <v>4</v>
      </c>
      <c r="AL97" s="593" t="s">
        <v>1338</v>
      </c>
      <c r="AM97" s="38"/>
      <c r="AN97" s="38"/>
      <c r="AO97" s="38"/>
      <c r="AP97" s="38"/>
      <c r="AQ97" s="38"/>
      <c r="AR97" s="38"/>
      <c r="AS97" s="38"/>
      <c r="AT97" s="38"/>
      <c r="AU97" s="38"/>
      <c r="AV97" s="40"/>
      <c r="AW97" s="38"/>
      <c r="AX97" s="38"/>
      <c r="AY97" s="38"/>
      <c r="AZ97" s="38"/>
      <c r="BA97" s="38"/>
      <c r="BB97" s="38"/>
    </row>
    <row r="98" spans="1:54" ht="15" customHeight="1">
      <c r="A98" s="469">
        <f>'Box Schedule'!A103</f>
        <v>0</v>
      </c>
      <c r="B98" s="482">
        <f>'Box Schedule'!AV103</f>
        <v>0</v>
      </c>
      <c r="C98" s="483" t="str">
        <f>IF((B98&gt;0),(VLOOKUP(J98,'Valve Reference'!$A$2:$K$389,3)),"-")</f>
        <v>-</v>
      </c>
      <c r="D98" s="471" t="s">
        <v>577</v>
      </c>
      <c r="E98" s="484" t="str">
        <f>IF((B98&gt;0),('Vlookup Tables'!$B$37),"-")</f>
        <v>-</v>
      </c>
      <c r="F98" s="585" t="str">
        <f t="shared" si="7"/>
        <v>-</v>
      </c>
      <c r="G98" s="485" t="str">
        <f>IF((B98&gt;0),(VLOOKUP($B98,'Vlookup Tables'!$B$23:$F$33,2,TRUE)),"-")</f>
        <v>-</v>
      </c>
      <c r="H98" s="586" t="str">
        <f t="shared" si="8"/>
        <v>-</v>
      </c>
      <c r="I98" s="476" t="str">
        <f>IF((B98&gt;0),('Vlookup Tables'!$B$35),"-")</f>
        <v>-</v>
      </c>
      <c r="J98" s="477" t="str">
        <f>IF(B98&gt;0,(IF(D98="2-Way",VLOOKUP($G98,'Vlookup Tables'!$C$23:$F$33,2,FALSE),VLOOKUP($G98,'Vlookup Tables'!$C$23:$F$33,3,FALSE))),"-")</f>
        <v>-</v>
      </c>
      <c r="K98" s="478" t="str">
        <f>IF(B98&gt;0,(VLOOKUP(J98,'Valve Reference'!$A$2:$K$389,4)),"-")</f>
        <v>-</v>
      </c>
      <c r="L98" s="478" t="str">
        <f>IF(B98&gt;0,(VLOOKUP(J98,'Valve Reference'!$A$2:$K$389,5)),"-")</f>
        <v>-</v>
      </c>
      <c r="M98" s="478" t="str">
        <f>IF(B98&gt;0,(VLOOKUP(J98,'Valve Reference'!$A$2:$K$389,8)),"-")</f>
        <v>-</v>
      </c>
      <c r="N98" s="478" t="str">
        <f>IF(B98&gt;0,(VLOOKUP(J98,'Valve Reference'!$A$2:$K$389,10)),"-")</f>
        <v>-</v>
      </c>
      <c r="O98" s="479" t="str">
        <f>IF(B98&gt;0,(VLOOKUP(J98,'Valve Reference'!$A$2:$K$389,11)),"-")</f>
        <v>-</v>
      </c>
      <c r="P98" s="480" t="str">
        <f>IF(B98&gt;0,(VLOOKUP(I98,'Actuator Reference'!$A$2:$H$54,2)),"-")</f>
        <v>-</v>
      </c>
      <c r="Q98" s="480" t="str">
        <f>IF(B98&gt;0,(VLOOKUP(I98,'Actuator Reference'!$A$2:$H$54,5)),"-")</f>
        <v>-</v>
      </c>
      <c r="R98" s="480" t="str">
        <f>IF(B98&gt;0,(VLOOKUP(I98,'Actuator Reference'!$A$2:$H$54,6)),"-")</f>
        <v>-</v>
      </c>
      <c r="S98" s="480" t="str">
        <f>IF(B98&gt;0,(VLOOKUP(I98,'Actuator Reference'!$A$2:$H$54,7)),"-")</f>
        <v>-</v>
      </c>
      <c r="T98" s="481" t="str">
        <f>IF(B98&gt;0,(VLOOKUP(I98,'Actuator Reference'!$A$2:$H$54,8)),"-")</f>
        <v>-</v>
      </c>
      <c r="U98" s="39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5">
        <v>1</v>
      </c>
      <c r="AG98" s="35" t="s">
        <v>1097</v>
      </c>
      <c r="AH98" s="38" t="str">
        <f t="shared" si="9"/>
        <v>---</v>
      </c>
      <c r="AI98" s="594" t="str">
        <f t="shared" si="6"/>
        <v>=0</v>
      </c>
      <c r="AJ98" s="595" t="s">
        <v>1339</v>
      </c>
      <c r="AK98" s="593">
        <v>4</v>
      </c>
      <c r="AL98" s="593" t="s">
        <v>1338</v>
      </c>
      <c r="AM98" s="38"/>
      <c r="AN98" s="38"/>
      <c r="AO98" s="38"/>
      <c r="AP98" s="38"/>
      <c r="AQ98" s="38"/>
      <c r="AR98" s="38"/>
      <c r="AS98" s="38"/>
      <c r="AT98" s="38"/>
      <c r="AU98" s="38"/>
      <c r="AV98" s="40"/>
      <c r="AW98" s="38"/>
      <c r="AX98" s="38"/>
      <c r="AY98" s="38"/>
      <c r="AZ98" s="38"/>
      <c r="BA98" s="38"/>
      <c r="BB98" s="38"/>
    </row>
    <row r="99" spans="1:54" ht="15" customHeight="1">
      <c r="A99" s="469">
        <f>'Box Schedule'!A104</f>
        <v>0</v>
      </c>
      <c r="B99" s="482">
        <f>'Box Schedule'!AV104</f>
        <v>0</v>
      </c>
      <c r="C99" s="483" t="str">
        <f>IF((B99&gt;0),(VLOOKUP(J99,'Valve Reference'!$A$2:$K$389,3)),"-")</f>
        <v>-</v>
      </c>
      <c r="D99" s="471" t="s">
        <v>577</v>
      </c>
      <c r="E99" s="484" t="str">
        <f>IF((B99&gt;0),('Vlookup Tables'!$B$37),"-")</f>
        <v>-</v>
      </c>
      <c r="F99" s="585" t="str">
        <f t="shared" si="7"/>
        <v>-</v>
      </c>
      <c r="G99" s="485" t="str">
        <f>IF((B99&gt;0),(VLOOKUP($B99,'Vlookup Tables'!$B$23:$F$33,2,TRUE)),"-")</f>
        <v>-</v>
      </c>
      <c r="H99" s="586" t="str">
        <f t="shared" si="8"/>
        <v>-</v>
      </c>
      <c r="I99" s="476" t="str">
        <f>IF((B99&gt;0),('Vlookup Tables'!$B$35),"-")</f>
        <v>-</v>
      </c>
      <c r="J99" s="477" t="str">
        <f>IF(B99&gt;0,(IF(D99="2-Way",VLOOKUP($G99,'Vlookup Tables'!$C$23:$F$33,2,FALSE),VLOOKUP($G99,'Vlookup Tables'!$C$23:$F$33,3,FALSE))),"-")</f>
        <v>-</v>
      </c>
      <c r="K99" s="478" t="str">
        <f>IF(B99&gt;0,(VLOOKUP(J99,'Valve Reference'!$A$2:$K$389,4)),"-")</f>
        <v>-</v>
      </c>
      <c r="L99" s="478" t="str">
        <f>IF(B99&gt;0,(VLOOKUP(J99,'Valve Reference'!$A$2:$K$389,5)),"-")</f>
        <v>-</v>
      </c>
      <c r="M99" s="478" t="str">
        <f>IF(B99&gt;0,(VLOOKUP(J99,'Valve Reference'!$A$2:$K$389,8)),"-")</f>
        <v>-</v>
      </c>
      <c r="N99" s="478" t="str">
        <f>IF(B99&gt;0,(VLOOKUP(J99,'Valve Reference'!$A$2:$K$389,10)),"-")</f>
        <v>-</v>
      </c>
      <c r="O99" s="479" t="str">
        <f>IF(B99&gt;0,(VLOOKUP(J99,'Valve Reference'!$A$2:$K$389,11)),"-")</f>
        <v>-</v>
      </c>
      <c r="P99" s="480" t="str">
        <f>IF(B99&gt;0,(VLOOKUP(I99,'Actuator Reference'!$A$2:$H$54,2)),"-")</f>
        <v>-</v>
      </c>
      <c r="Q99" s="480" t="str">
        <f>IF(B99&gt;0,(VLOOKUP(I99,'Actuator Reference'!$A$2:$H$54,5)),"-")</f>
        <v>-</v>
      </c>
      <c r="R99" s="480" t="str">
        <f>IF(B99&gt;0,(VLOOKUP(I99,'Actuator Reference'!$A$2:$H$54,6)),"-")</f>
        <v>-</v>
      </c>
      <c r="S99" s="480" t="str">
        <f>IF(B99&gt;0,(VLOOKUP(I99,'Actuator Reference'!$A$2:$H$54,7)),"-")</f>
        <v>-</v>
      </c>
      <c r="T99" s="481" t="str">
        <f>IF(B99&gt;0,(VLOOKUP(I99,'Actuator Reference'!$A$2:$H$54,8)),"-")</f>
        <v>-</v>
      </c>
      <c r="U99" s="39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5">
        <v>1</v>
      </c>
      <c r="AG99" s="35" t="s">
        <v>1097</v>
      </c>
      <c r="AH99" s="38" t="str">
        <f t="shared" si="9"/>
        <v>---</v>
      </c>
      <c r="AI99" s="594" t="str">
        <f t="shared" si="6"/>
        <v>=0</v>
      </c>
      <c r="AJ99" s="595" t="s">
        <v>1339</v>
      </c>
      <c r="AK99" s="593">
        <v>4</v>
      </c>
      <c r="AL99" s="593" t="s">
        <v>1338</v>
      </c>
      <c r="AM99" s="38"/>
      <c r="AN99" s="38"/>
      <c r="AO99" s="38"/>
      <c r="AP99" s="38"/>
      <c r="AQ99" s="38"/>
      <c r="AR99" s="38"/>
      <c r="AS99" s="38"/>
      <c r="AT99" s="38"/>
      <c r="AU99" s="38"/>
      <c r="AV99" s="40"/>
      <c r="AW99" s="38"/>
      <c r="AX99" s="38"/>
      <c r="AY99" s="38"/>
      <c r="AZ99" s="38"/>
      <c r="BA99" s="38"/>
      <c r="BB99" s="38"/>
    </row>
    <row r="100" spans="1:54" ht="15" customHeight="1">
      <c r="A100" s="469">
        <f>'Box Schedule'!A105</f>
        <v>0</v>
      </c>
      <c r="B100" s="482">
        <f>'Box Schedule'!AV105</f>
        <v>0</v>
      </c>
      <c r="C100" s="483" t="str">
        <f>IF((B100&gt;0),(VLOOKUP(J100,'Valve Reference'!$A$2:$K$389,3)),"-")</f>
        <v>-</v>
      </c>
      <c r="D100" s="471" t="s">
        <v>577</v>
      </c>
      <c r="E100" s="484" t="str">
        <f>IF((B100&gt;0),('Vlookup Tables'!$B$37),"-")</f>
        <v>-</v>
      </c>
      <c r="F100" s="585" t="str">
        <f t="shared" si="7"/>
        <v>-</v>
      </c>
      <c r="G100" s="485" t="str">
        <f>IF((B100&gt;0),(VLOOKUP($B100,'Vlookup Tables'!$B$23:$F$33,2,TRUE)),"-")</f>
        <v>-</v>
      </c>
      <c r="H100" s="586" t="str">
        <f t="shared" si="8"/>
        <v>-</v>
      </c>
      <c r="I100" s="476" t="str">
        <f>IF((B100&gt;0),('Vlookup Tables'!$B$35),"-")</f>
        <v>-</v>
      </c>
      <c r="J100" s="477" t="str">
        <f>IF(B100&gt;0,(IF(D100="2-Way",VLOOKUP($G100,'Vlookup Tables'!$C$23:$F$33,2,FALSE),VLOOKUP($G100,'Vlookup Tables'!$C$23:$F$33,3,FALSE))),"-")</f>
        <v>-</v>
      </c>
      <c r="K100" s="478" t="str">
        <f>IF(B100&gt;0,(VLOOKUP(J100,'Valve Reference'!$A$2:$K$389,4)),"-")</f>
        <v>-</v>
      </c>
      <c r="L100" s="478" t="str">
        <f>IF(B100&gt;0,(VLOOKUP(J100,'Valve Reference'!$A$2:$K$389,5)),"-")</f>
        <v>-</v>
      </c>
      <c r="M100" s="478" t="str">
        <f>IF(B100&gt;0,(VLOOKUP(J100,'Valve Reference'!$A$2:$K$389,8)),"-")</f>
        <v>-</v>
      </c>
      <c r="N100" s="478" t="str">
        <f>IF(B100&gt;0,(VLOOKUP(J100,'Valve Reference'!$A$2:$K$389,10)),"-")</f>
        <v>-</v>
      </c>
      <c r="O100" s="479" t="str">
        <f>IF(B100&gt;0,(VLOOKUP(J100,'Valve Reference'!$A$2:$K$389,11)),"-")</f>
        <v>-</v>
      </c>
      <c r="P100" s="480" t="str">
        <f>IF(B100&gt;0,(VLOOKUP(I100,'Actuator Reference'!$A$2:$H$54,2)),"-")</f>
        <v>-</v>
      </c>
      <c r="Q100" s="480" t="str">
        <f>IF(B100&gt;0,(VLOOKUP(I100,'Actuator Reference'!$A$2:$H$54,5)),"-")</f>
        <v>-</v>
      </c>
      <c r="R100" s="480" t="str">
        <f>IF(B100&gt;0,(VLOOKUP(I100,'Actuator Reference'!$A$2:$H$54,6)),"-")</f>
        <v>-</v>
      </c>
      <c r="S100" s="480" t="str">
        <f>IF(B100&gt;0,(VLOOKUP(I100,'Actuator Reference'!$A$2:$H$54,7)),"-")</f>
        <v>-</v>
      </c>
      <c r="T100" s="481" t="str">
        <f>IF(B100&gt;0,(VLOOKUP(I100,'Actuator Reference'!$A$2:$H$54,8)),"-")</f>
        <v>-</v>
      </c>
      <c r="U100" s="39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5">
        <v>1</v>
      </c>
      <c r="AG100" s="35" t="s">
        <v>1097</v>
      </c>
      <c r="AH100" s="38" t="str">
        <f t="shared" si="9"/>
        <v>---</v>
      </c>
      <c r="AI100" s="594" t="str">
        <f t="shared" si="6"/>
        <v>=0</v>
      </c>
      <c r="AJ100" s="595" t="s">
        <v>1339</v>
      </c>
      <c r="AK100" s="593">
        <v>4</v>
      </c>
      <c r="AL100" s="593" t="s">
        <v>1338</v>
      </c>
      <c r="AM100" s="38"/>
      <c r="AN100" s="38"/>
      <c r="AO100" s="38"/>
      <c r="AP100" s="38"/>
      <c r="AQ100" s="38"/>
      <c r="AR100" s="38"/>
      <c r="AS100" s="38"/>
      <c r="AT100" s="38"/>
      <c r="AU100" s="38"/>
      <c r="AV100" s="40"/>
      <c r="AW100" s="38"/>
      <c r="AX100" s="38"/>
      <c r="AY100" s="38"/>
      <c r="AZ100" s="38"/>
      <c r="BA100" s="38"/>
      <c r="BB100" s="38"/>
    </row>
    <row r="101" spans="1:54" ht="15" customHeight="1">
      <c r="A101" s="469">
        <f>'Box Schedule'!A106</f>
        <v>0</v>
      </c>
      <c r="B101" s="482">
        <f>'Box Schedule'!AV106</f>
        <v>0</v>
      </c>
      <c r="C101" s="483" t="str">
        <f>IF((B101&gt;0),(VLOOKUP(J101,'Valve Reference'!$A$2:$K$389,3)),"-")</f>
        <v>-</v>
      </c>
      <c r="D101" s="471" t="s">
        <v>577</v>
      </c>
      <c r="E101" s="484" t="str">
        <f>IF((B101&gt;0),('Vlookup Tables'!$B$37),"-")</f>
        <v>-</v>
      </c>
      <c r="F101" s="585" t="str">
        <f t="shared" si="7"/>
        <v>-</v>
      </c>
      <c r="G101" s="485" t="str">
        <f>IF((B101&gt;0),(VLOOKUP($B101,'Vlookup Tables'!$B$23:$F$33,2,TRUE)),"-")</f>
        <v>-</v>
      </c>
      <c r="H101" s="586" t="str">
        <f t="shared" si="8"/>
        <v>-</v>
      </c>
      <c r="I101" s="476" t="str">
        <f>IF((B101&gt;0),('Vlookup Tables'!$B$35),"-")</f>
        <v>-</v>
      </c>
      <c r="J101" s="477" t="str">
        <f>IF(B101&gt;0,(IF(D101="2-Way",VLOOKUP($G101,'Vlookup Tables'!$C$23:$F$33,2,FALSE),VLOOKUP($G101,'Vlookup Tables'!$C$23:$F$33,3,FALSE))),"-")</f>
        <v>-</v>
      </c>
      <c r="K101" s="478" t="str">
        <f>IF(B101&gt;0,(VLOOKUP(J101,'Valve Reference'!$A$2:$K$389,4)),"-")</f>
        <v>-</v>
      </c>
      <c r="L101" s="478" t="str">
        <f>IF(B101&gt;0,(VLOOKUP(J101,'Valve Reference'!$A$2:$K$389,5)),"-")</f>
        <v>-</v>
      </c>
      <c r="M101" s="478" t="str">
        <f>IF(B101&gt;0,(VLOOKUP(J101,'Valve Reference'!$A$2:$K$389,8)),"-")</f>
        <v>-</v>
      </c>
      <c r="N101" s="478" t="str">
        <f>IF(B101&gt;0,(VLOOKUP(J101,'Valve Reference'!$A$2:$K$389,10)),"-")</f>
        <v>-</v>
      </c>
      <c r="O101" s="479" t="str">
        <f>IF(B101&gt;0,(VLOOKUP(J101,'Valve Reference'!$A$2:$K$389,11)),"-")</f>
        <v>-</v>
      </c>
      <c r="P101" s="480" t="str">
        <f>IF(B101&gt;0,(VLOOKUP(I101,'Actuator Reference'!$A$2:$H$54,2)),"-")</f>
        <v>-</v>
      </c>
      <c r="Q101" s="480" t="str">
        <f>IF(B101&gt;0,(VLOOKUP(I101,'Actuator Reference'!$A$2:$H$54,5)),"-")</f>
        <v>-</v>
      </c>
      <c r="R101" s="480" t="str">
        <f>IF(B101&gt;0,(VLOOKUP(I101,'Actuator Reference'!$A$2:$H$54,6)),"-")</f>
        <v>-</v>
      </c>
      <c r="S101" s="480" t="str">
        <f>IF(B101&gt;0,(VLOOKUP(I101,'Actuator Reference'!$A$2:$H$54,7)),"-")</f>
        <v>-</v>
      </c>
      <c r="T101" s="481" t="str">
        <f>IF(B101&gt;0,(VLOOKUP(I101,'Actuator Reference'!$A$2:$H$54,8)),"-")</f>
        <v>-</v>
      </c>
      <c r="U101" s="39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5">
        <v>1</v>
      </c>
      <c r="AG101" s="35" t="s">
        <v>1097</v>
      </c>
      <c r="AH101" s="38" t="str">
        <f t="shared" si="9"/>
        <v>---</v>
      </c>
      <c r="AI101" s="594" t="str">
        <f t="shared" si="6"/>
        <v>=0</v>
      </c>
      <c r="AJ101" s="595" t="s">
        <v>1339</v>
      </c>
      <c r="AK101" s="593">
        <v>4</v>
      </c>
      <c r="AL101" s="593" t="s">
        <v>1338</v>
      </c>
      <c r="AM101" s="38"/>
      <c r="AN101" s="38"/>
      <c r="AO101" s="38"/>
      <c r="AP101" s="38"/>
      <c r="AQ101" s="38"/>
      <c r="AR101" s="38"/>
      <c r="AS101" s="38"/>
      <c r="AT101" s="38"/>
      <c r="AU101" s="38"/>
      <c r="AV101" s="40"/>
      <c r="AW101" s="38"/>
      <c r="AX101" s="38"/>
      <c r="AY101" s="38"/>
      <c r="AZ101" s="38"/>
      <c r="BA101" s="38"/>
      <c r="BB101" s="38"/>
    </row>
    <row r="102" spans="1:54" ht="15" customHeight="1">
      <c r="A102" s="469">
        <f>'Box Schedule'!A107</f>
        <v>0</v>
      </c>
      <c r="B102" s="482">
        <f>'Box Schedule'!AV107</f>
        <v>0</v>
      </c>
      <c r="C102" s="483" t="str">
        <f>IF((B102&gt;0),(VLOOKUP(J102,'Valve Reference'!$A$2:$K$389,3)),"-")</f>
        <v>-</v>
      </c>
      <c r="D102" s="471" t="s">
        <v>577</v>
      </c>
      <c r="E102" s="484" t="str">
        <f>IF((B102&gt;0),('Vlookup Tables'!$B$37),"-")</f>
        <v>-</v>
      </c>
      <c r="F102" s="585" t="str">
        <f t="shared" si="7"/>
        <v>-</v>
      </c>
      <c r="G102" s="485" t="str">
        <f>IF((B102&gt;0),(VLOOKUP($B102,'Vlookup Tables'!$B$23:$F$33,2,TRUE)),"-")</f>
        <v>-</v>
      </c>
      <c r="H102" s="586" t="str">
        <f t="shared" si="8"/>
        <v>-</v>
      </c>
      <c r="I102" s="476" t="str">
        <f>IF((B102&gt;0),('Vlookup Tables'!$B$35),"-")</f>
        <v>-</v>
      </c>
      <c r="J102" s="477" t="str">
        <f>IF(B102&gt;0,(IF(D102="2-Way",VLOOKUP($G102,'Vlookup Tables'!$C$23:$F$33,2,FALSE),VLOOKUP($G102,'Vlookup Tables'!$C$23:$F$33,3,FALSE))),"-")</f>
        <v>-</v>
      </c>
      <c r="K102" s="478" t="str">
        <f>IF(B102&gt;0,(VLOOKUP(J102,'Valve Reference'!$A$2:$K$389,4)),"-")</f>
        <v>-</v>
      </c>
      <c r="L102" s="478" t="str">
        <f>IF(B102&gt;0,(VLOOKUP(J102,'Valve Reference'!$A$2:$K$389,5)),"-")</f>
        <v>-</v>
      </c>
      <c r="M102" s="478" t="str">
        <f>IF(B102&gt;0,(VLOOKUP(J102,'Valve Reference'!$A$2:$K$389,8)),"-")</f>
        <v>-</v>
      </c>
      <c r="N102" s="478" t="str">
        <f>IF(B102&gt;0,(VLOOKUP(J102,'Valve Reference'!$A$2:$K$389,10)),"-")</f>
        <v>-</v>
      </c>
      <c r="O102" s="479" t="str">
        <f>IF(B102&gt;0,(VLOOKUP(J102,'Valve Reference'!$A$2:$K$389,11)),"-")</f>
        <v>-</v>
      </c>
      <c r="P102" s="480" t="str">
        <f>IF(B102&gt;0,(VLOOKUP(I102,'Actuator Reference'!$A$2:$H$54,2)),"-")</f>
        <v>-</v>
      </c>
      <c r="Q102" s="480" t="str">
        <f>IF(B102&gt;0,(VLOOKUP(I102,'Actuator Reference'!$A$2:$H$54,5)),"-")</f>
        <v>-</v>
      </c>
      <c r="R102" s="480" t="str">
        <f>IF(B102&gt;0,(VLOOKUP(I102,'Actuator Reference'!$A$2:$H$54,6)),"-")</f>
        <v>-</v>
      </c>
      <c r="S102" s="480" t="str">
        <f>IF(B102&gt;0,(VLOOKUP(I102,'Actuator Reference'!$A$2:$H$54,7)),"-")</f>
        <v>-</v>
      </c>
      <c r="T102" s="481" t="str">
        <f>IF(B102&gt;0,(VLOOKUP(I102,'Actuator Reference'!$A$2:$H$54,8)),"-")</f>
        <v>-</v>
      </c>
      <c r="U102" s="39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5">
        <v>1</v>
      </c>
      <c r="AG102" s="35" t="s">
        <v>1097</v>
      </c>
      <c r="AH102" s="38" t="str">
        <f t="shared" si="9"/>
        <v>---</v>
      </c>
      <c r="AI102" s="594" t="str">
        <f t="shared" si="6"/>
        <v>=0</v>
      </c>
      <c r="AJ102" s="595" t="s">
        <v>1339</v>
      </c>
      <c r="AK102" s="593">
        <v>4</v>
      </c>
      <c r="AL102" s="593" t="s">
        <v>1338</v>
      </c>
      <c r="AM102" s="38"/>
      <c r="AN102" s="38"/>
      <c r="AO102" s="38"/>
      <c r="AP102" s="38"/>
      <c r="AQ102" s="38"/>
      <c r="AR102" s="38"/>
      <c r="AS102" s="38"/>
      <c r="AT102" s="38"/>
      <c r="AU102" s="38"/>
      <c r="AV102" s="40"/>
      <c r="AW102" s="38"/>
      <c r="AX102" s="38"/>
      <c r="AY102" s="38"/>
      <c r="AZ102" s="38"/>
      <c r="BA102" s="38"/>
      <c r="BB102" s="38"/>
    </row>
    <row r="103" spans="1:54" ht="15" customHeight="1">
      <c r="A103" s="469">
        <f>'Box Schedule'!A108</f>
        <v>0</v>
      </c>
      <c r="B103" s="482">
        <f>'Box Schedule'!AV108</f>
        <v>0</v>
      </c>
      <c r="C103" s="483" t="str">
        <f>IF((B103&gt;0),(VLOOKUP(J103,'Valve Reference'!$A$2:$K$389,3)),"-")</f>
        <v>-</v>
      </c>
      <c r="D103" s="471" t="s">
        <v>577</v>
      </c>
      <c r="E103" s="484" t="str">
        <f>IF((B103&gt;0),('Vlookup Tables'!$B$37),"-")</f>
        <v>-</v>
      </c>
      <c r="F103" s="585" t="str">
        <f t="shared" si="7"/>
        <v>-</v>
      </c>
      <c r="G103" s="485" t="str">
        <f>IF((B103&gt;0),(VLOOKUP($B103,'Vlookup Tables'!$B$23:$F$33,2,TRUE)),"-")</f>
        <v>-</v>
      </c>
      <c r="H103" s="586" t="str">
        <f t="shared" si="8"/>
        <v>-</v>
      </c>
      <c r="I103" s="476" t="str">
        <f>IF((B103&gt;0),('Vlookup Tables'!$B$35),"-")</f>
        <v>-</v>
      </c>
      <c r="J103" s="477" t="str">
        <f>IF(B103&gt;0,(IF(D103="2-Way",VLOOKUP($G103,'Vlookup Tables'!$C$23:$F$33,2,FALSE),VLOOKUP($G103,'Vlookup Tables'!$C$23:$F$33,3,FALSE))),"-")</f>
        <v>-</v>
      </c>
      <c r="K103" s="478" t="str">
        <f>IF(B103&gt;0,(VLOOKUP(J103,'Valve Reference'!$A$2:$K$389,4)),"-")</f>
        <v>-</v>
      </c>
      <c r="L103" s="478" t="str">
        <f>IF(B103&gt;0,(VLOOKUP(J103,'Valve Reference'!$A$2:$K$389,5)),"-")</f>
        <v>-</v>
      </c>
      <c r="M103" s="478" t="str">
        <f>IF(B103&gt;0,(VLOOKUP(J103,'Valve Reference'!$A$2:$K$389,8)),"-")</f>
        <v>-</v>
      </c>
      <c r="N103" s="478" t="str">
        <f>IF(B103&gt;0,(VLOOKUP(J103,'Valve Reference'!$A$2:$K$389,10)),"-")</f>
        <v>-</v>
      </c>
      <c r="O103" s="479" t="str">
        <f>IF(B103&gt;0,(VLOOKUP(J103,'Valve Reference'!$A$2:$K$389,11)),"-")</f>
        <v>-</v>
      </c>
      <c r="P103" s="480" t="str">
        <f>IF(B103&gt;0,(VLOOKUP(I103,'Actuator Reference'!$A$2:$H$54,2)),"-")</f>
        <v>-</v>
      </c>
      <c r="Q103" s="480" t="str">
        <f>IF(B103&gt;0,(VLOOKUP(I103,'Actuator Reference'!$A$2:$H$54,5)),"-")</f>
        <v>-</v>
      </c>
      <c r="R103" s="480" t="str">
        <f>IF(B103&gt;0,(VLOOKUP(I103,'Actuator Reference'!$A$2:$H$54,6)),"-")</f>
        <v>-</v>
      </c>
      <c r="S103" s="480" t="str">
        <f>IF(B103&gt;0,(VLOOKUP(I103,'Actuator Reference'!$A$2:$H$54,7)),"-")</f>
        <v>-</v>
      </c>
      <c r="T103" s="481" t="str">
        <f>IF(B103&gt;0,(VLOOKUP(I103,'Actuator Reference'!$A$2:$H$54,8)),"-")</f>
        <v>-</v>
      </c>
      <c r="U103" s="39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5">
        <v>1</v>
      </c>
      <c r="AG103" s="35" t="s">
        <v>1097</v>
      </c>
      <c r="AH103" s="38" t="str">
        <f t="shared" si="9"/>
        <v>---</v>
      </c>
      <c r="AI103" s="594" t="str">
        <f t="shared" si="6"/>
        <v>=0</v>
      </c>
      <c r="AJ103" s="595" t="s">
        <v>1339</v>
      </c>
      <c r="AK103" s="593">
        <v>4</v>
      </c>
      <c r="AL103" s="593" t="s">
        <v>1338</v>
      </c>
      <c r="AM103" s="38"/>
      <c r="AN103" s="38"/>
      <c r="AO103" s="38"/>
      <c r="AP103" s="38"/>
      <c r="AQ103" s="38"/>
      <c r="AR103" s="38"/>
      <c r="AS103" s="38"/>
      <c r="AT103" s="38"/>
      <c r="AU103" s="38"/>
      <c r="AV103" s="40"/>
      <c r="AW103" s="38"/>
      <c r="AX103" s="38"/>
      <c r="AY103" s="38"/>
      <c r="AZ103" s="38"/>
      <c r="BA103" s="38"/>
      <c r="BB103" s="38"/>
    </row>
    <row r="104" spans="1:54" ht="15" customHeight="1">
      <c r="A104" s="469">
        <f>'Box Schedule'!A109</f>
        <v>0</v>
      </c>
      <c r="B104" s="482">
        <f>'Box Schedule'!AV109</f>
        <v>0</v>
      </c>
      <c r="C104" s="483" t="str">
        <f>IF((B104&gt;0),(VLOOKUP(J104,'Valve Reference'!$A$2:$K$389,3)),"-")</f>
        <v>-</v>
      </c>
      <c r="D104" s="471" t="s">
        <v>577</v>
      </c>
      <c r="E104" s="484" t="str">
        <f>IF((B104&gt;0),('Vlookup Tables'!$B$37),"-")</f>
        <v>-</v>
      </c>
      <c r="F104" s="585" t="str">
        <f t="shared" si="7"/>
        <v>-</v>
      </c>
      <c r="G104" s="485" t="str">
        <f>IF((B104&gt;0),(VLOOKUP($B104,'Vlookup Tables'!$B$23:$F$33,2,TRUE)),"-")</f>
        <v>-</v>
      </c>
      <c r="H104" s="586" t="str">
        <f t="shared" si="8"/>
        <v>-</v>
      </c>
      <c r="I104" s="476" t="str">
        <f>IF((B104&gt;0),('Vlookup Tables'!$B$35),"-")</f>
        <v>-</v>
      </c>
      <c r="J104" s="477" t="str">
        <f>IF(B104&gt;0,(IF(D104="2-Way",VLOOKUP($G104,'Vlookup Tables'!$C$23:$F$33,2,FALSE),VLOOKUP($G104,'Vlookup Tables'!$C$23:$F$33,3,FALSE))),"-")</f>
        <v>-</v>
      </c>
      <c r="K104" s="478" t="str">
        <f>IF(B104&gt;0,(VLOOKUP(J104,'Valve Reference'!$A$2:$K$389,4)),"-")</f>
        <v>-</v>
      </c>
      <c r="L104" s="478" t="str">
        <f>IF(B104&gt;0,(VLOOKUP(J104,'Valve Reference'!$A$2:$K$389,5)),"-")</f>
        <v>-</v>
      </c>
      <c r="M104" s="478" t="str">
        <f>IF(B104&gt;0,(VLOOKUP(J104,'Valve Reference'!$A$2:$K$389,8)),"-")</f>
        <v>-</v>
      </c>
      <c r="N104" s="478" t="str">
        <f>IF(B104&gt;0,(VLOOKUP(J104,'Valve Reference'!$A$2:$K$389,10)),"-")</f>
        <v>-</v>
      </c>
      <c r="O104" s="479" t="str">
        <f>IF(B104&gt;0,(VLOOKUP(J104,'Valve Reference'!$A$2:$K$389,11)),"-")</f>
        <v>-</v>
      </c>
      <c r="P104" s="480" t="str">
        <f>IF(B104&gt;0,(VLOOKUP(I104,'Actuator Reference'!$A$2:$H$54,2)),"-")</f>
        <v>-</v>
      </c>
      <c r="Q104" s="480" t="str">
        <f>IF(B104&gt;0,(VLOOKUP(I104,'Actuator Reference'!$A$2:$H$54,5)),"-")</f>
        <v>-</v>
      </c>
      <c r="R104" s="480" t="str">
        <f>IF(B104&gt;0,(VLOOKUP(I104,'Actuator Reference'!$A$2:$H$54,6)),"-")</f>
        <v>-</v>
      </c>
      <c r="S104" s="480" t="str">
        <f>IF(B104&gt;0,(VLOOKUP(I104,'Actuator Reference'!$A$2:$H$54,7)),"-")</f>
        <v>-</v>
      </c>
      <c r="T104" s="481" t="str">
        <f>IF(B104&gt;0,(VLOOKUP(I104,'Actuator Reference'!$A$2:$H$54,8)),"-")</f>
        <v>-</v>
      </c>
      <c r="U104" s="39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5">
        <v>1</v>
      </c>
      <c r="AG104" s="35" t="s">
        <v>1097</v>
      </c>
      <c r="AH104" s="38" t="str">
        <f t="shared" si="9"/>
        <v>---</v>
      </c>
      <c r="AI104" s="594" t="str">
        <f t="shared" si="6"/>
        <v>=0</v>
      </c>
      <c r="AJ104" s="595" t="s">
        <v>1339</v>
      </c>
      <c r="AK104" s="593">
        <v>4</v>
      </c>
      <c r="AL104" s="593" t="s">
        <v>1338</v>
      </c>
      <c r="AM104" s="38"/>
      <c r="AN104" s="38"/>
      <c r="AO104" s="38"/>
      <c r="AP104" s="38"/>
      <c r="AQ104" s="38"/>
      <c r="AR104" s="38"/>
      <c r="AS104" s="38"/>
      <c r="AT104" s="38"/>
      <c r="AU104" s="38"/>
      <c r="AV104" s="40"/>
      <c r="AW104" s="38"/>
      <c r="AX104" s="38"/>
      <c r="AY104" s="38"/>
      <c r="AZ104" s="38"/>
      <c r="BA104" s="38"/>
      <c r="BB104" s="38"/>
    </row>
    <row r="105" spans="1:54" ht="15" customHeight="1">
      <c r="A105" s="469">
        <f>'Box Schedule'!A110</f>
        <v>0</v>
      </c>
      <c r="B105" s="482">
        <f>'Box Schedule'!AV110</f>
        <v>0</v>
      </c>
      <c r="C105" s="483" t="str">
        <f>IF((B105&gt;0),(VLOOKUP(J105,'Valve Reference'!$A$2:$K$389,3)),"-")</f>
        <v>-</v>
      </c>
      <c r="D105" s="471" t="s">
        <v>577</v>
      </c>
      <c r="E105" s="484" t="str">
        <f>IF((B105&gt;0),('Vlookup Tables'!$B$37),"-")</f>
        <v>-</v>
      </c>
      <c r="F105" s="585" t="str">
        <f t="shared" si="7"/>
        <v>-</v>
      </c>
      <c r="G105" s="485" t="str">
        <f>IF((B105&gt;0),(VLOOKUP($B105,'Vlookup Tables'!$B$23:$F$33,2,TRUE)),"-")</f>
        <v>-</v>
      </c>
      <c r="H105" s="586" t="str">
        <f t="shared" si="8"/>
        <v>-</v>
      </c>
      <c r="I105" s="476" t="str">
        <f>IF((B105&gt;0),('Vlookup Tables'!$B$35),"-")</f>
        <v>-</v>
      </c>
      <c r="J105" s="477" t="str">
        <f>IF(B105&gt;0,(IF(D105="2-Way",VLOOKUP($G105,'Vlookup Tables'!$C$23:$F$33,2,FALSE),VLOOKUP($G105,'Vlookup Tables'!$C$23:$F$33,3,FALSE))),"-")</f>
        <v>-</v>
      </c>
      <c r="K105" s="478" t="str">
        <f>IF(B105&gt;0,(VLOOKUP(J105,'Valve Reference'!$A$2:$K$389,4)),"-")</f>
        <v>-</v>
      </c>
      <c r="L105" s="478" t="str">
        <f>IF(B105&gt;0,(VLOOKUP(J105,'Valve Reference'!$A$2:$K$389,5)),"-")</f>
        <v>-</v>
      </c>
      <c r="M105" s="478" t="str">
        <f>IF(B105&gt;0,(VLOOKUP(J105,'Valve Reference'!$A$2:$K$389,8)),"-")</f>
        <v>-</v>
      </c>
      <c r="N105" s="478" t="str">
        <f>IF(B105&gt;0,(VLOOKUP(J105,'Valve Reference'!$A$2:$K$389,10)),"-")</f>
        <v>-</v>
      </c>
      <c r="O105" s="479" t="str">
        <f>IF(B105&gt;0,(VLOOKUP(J105,'Valve Reference'!$A$2:$K$389,11)),"-")</f>
        <v>-</v>
      </c>
      <c r="P105" s="480" t="str">
        <f>IF(B105&gt;0,(VLOOKUP(I105,'Actuator Reference'!$A$2:$H$54,2)),"-")</f>
        <v>-</v>
      </c>
      <c r="Q105" s="480" t="str">
        <f>IF(B105&gt;0,(VLOOKUP(I105,'Actuator Reference'!$A$2:$H$54,5)),"-")</f>
        <v>-</v>
      </c>
      <c r="R105" s="480" t="str">
        <f>IF(B105&gt;0,(VLOOKUP(I105,'Actuator Reference'!$A$2:$H$54,6)),"-")</f>
        <v>-</v>
      </c>
      <c r="S105" s="480" t="str">
        <f>IF(B105&gt;0,(VLOOKUP(I105,'Actuator Reference'!$A$2:$H$54,7)),"-")</f>
        <v>-</v>
      </c>
      <c r="T105" s="481" t="str">
        <f>IF(B105&gt;0,(VLOOKUP(I105,'Actuator Reference'!$A$2:$H$54,8)),"-")</f>
        <v>-</v>
      </c>
      <c r="U105" s="39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5">
        <v>1</v>
      </c>
      <c r="AG105" s="35" t="s">
        <v>1097</v>
      </c>
      <c r="AH105" s="38" t="str">
        <f t="shared" si="9"/>
        <v>---</v>
      </c>
      <c r="AI105" s="594" t="str">
        <f t="shared" si="6"/>
        <v>=0</v>
      </c>
      <c r="AJ105" s="595" t="s">
        <v>1339</v>
      </c>
      <c r="AK105" s="593">
        <v>4</v>
      </c>
      <c r="AL105" s="593" t="s">
        <v>1338</v>
      </c>
      <c r="AM105" s="38"/>
      <c r="AN105" s="38"/>
      <c r="AO105" s="38"/>
      <c r="AP105" s="38"/>
      <c r="AQ105" s="38"/>
      <c r="AR105" s="38"/>
      <c r="AS105" s="38"/>
      <c r="AT105" s="38"/>
      <c r="AU105" s="38"/>
      <c r="AV105" s="40"/>
      <c r="AW105" s="38"/>
      <c r="AX105" s="38"/>
      <c r="AY105" s="38"/>
      <c r="AZ105" s="38"/>
      <c r="BA105" s="38"/>
      <c r="BB105" s="38"/>
    </row>
    <row r="106" spans="1:54" ht="15" customHeight="1">
      <c r="A106" s="469">
        <f>'Box Schedule'!A111</f>
        <v>0</v>
      </c>
      <c r="B106" s="482">
        <f>'Box Schedule'!AV111</f>
        <v>0</v>
      </c>
      <c r="C106" s="483" t="str">
        <f>IF((B106&gt;0),(VLOOKUP(J106,'Valve Reference'!$A$2:$K$389,3)),"-")</f>
        <v>-</v>
      </c>
      <c r="D106" s="471" t="s">
        <v>577</v>
      </c>
      <c r="E106" s="484" t="str">
        <f>IF((B106&gt;0),('Vlookup Tables'!$B$37),"-")</f>
        <v>-</v>
      </c>
      <c r="F106" s="585" t="str">
        <f t="shared" si="7"/>
        <v>-</v>
      </c>
      <c r="G106" s="485" t="str">
        <f>IF((B106&gt;0),(VLOOKUP($B106,'Vlookup Tables'!$B$23:$F$33,2,TRUE)),"-")</f>
        <v>-</v>
      </c>
      <c r="H106" s="586" t="str">
        <f t="shared" si="8"/>
        <v>-</v>
      </c>
      <c r="I106" s="476" t="str">
        <f>IF((B106&gt;0),('Vlookup Tables'!$B$35),"-")</f>
        <v>-</v>
      </c>
      <c r="J106" s="477" t="str">
        <f>IF(B106&gt;0,(IF(D106="2-Way",VLOOKUP($G106,'Vlookup Tables'!$C$23:$F$33,2,FALSE),VLOOKUP($G106,'Vlookup Tables'!$C$23:$F$33,3,FALSE))),"-")</f>
        <v>-</v>
      </c>
      <c r="K106" s="478" t="str">
        <f>IF(B106&gt;0,(VLOOKUP(J106,'Valve Reference'!$A$2:$K$389,4)),"-")</f>
        <v>-</v>
      </c>
      <c r="L106" s="478" t="str">
        <f>IF(B106&gt;0,(VLOOKUP(J106,'Valve Reference'!$A$2:$K$389,5)),"-")</f>
        <v>-</v>
      </c>
      <c r="M106" s="478" t="str">
        <f>IF(B106&gt;0,(VLOOKUP(J106,'Valve Reference'!$A$2:$K$389,8)),"-")</f>
        <v>-</v>
      </c>
      <c r="N106" s="478" t="str">
        <f>IF(B106&gt;0,(VLOOKUP(J106,'Valve Reference'!$A$2:$K$389,10)),"-")</f>
        <v>-</v>
      </c>
      <c r="O106" s="479" t="str">
        <f>IF(B106&gt;0,(VLOOKUP(J106,'Valve Reference'!$A$2:$K$389,11)),"-")</f>
        <v>-</v>
      </c>
      <c r="P106" s="480" t="str">
        <f>IF(B106&gt;0,(VLOOKUP(I106,'Actuator Reference'!$A$2:$H$54,2)),"-")</f>
        <v>-</v>
      </c>
      <c r="Q106" s="480" t="str">
        <f>IF(B106&gt;0,(VLOOKUP(I106,'Actuator Reference'!$A$2:$H$54,5)),"-")</f>
        <v>-</v>
      </c>
      <c r="R106" s="480" t="str">
        <f>IF(B106&gt;0,(VLOOKUP(I106,'Actuator Reference'!$A$2:$H$54,6)),"-")</f>
        <v>-</v>
      </c>
      <c r="S106" s="480" t="str">
        <f>IF(B106&gt;0,(VLOOKUP(I106,'Actuator Reference'!$A$2:$H$54,7)),"-")</f>
        <v>-</v>
      </c>
      <c r="T106" s="481" t="str">
        <f>IF(B106&gt;0,(VLOOKUP(I106,'Actuator Reference'!$A$2:$H$54,8)),"-")</f>
        <v>-</v>
      </c>
      <c r="U106" s="39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5">
        <v>1</v>
      </c>
      <c r="AG106" s="35" t="s">
        <v>1097</v>
      </c>
      <c r="AH106" s="38" t="str">
        <f t="shared" si="9"/>
        <v>---</v>
      </c>
      <c r="AI106" s="594" t="str">
        <f t="shared" si="6"/>
        <v>=0</v>
      </c>
      <c r="AJ106" s="595" t="s">
        <v>1339</v>
      </c>
      <c r="AK106" s="593">
        <v>4</v>
      </c>
      <c r="AL106" s="593" t="s">
        <v>1338</v>
      </c>
      <c r="AM106" s="38"/>
      <c r="AN106" s="38"/>
      <c r="AO106" s="38"/>
      <c r="AP106" s="38"/>
      <c r="AQ106" s="38"/>
      <c r="AR106" s="38"/>
      <c r="AS106" s="38"/>
      <c r="AT106" s="38"/>
      <c r="AU106" s="38"/>
      <c r="AV106" s="40"/>
      <c r="AW106" s="38"/>
      <c r="AX106" s="38"/>
      <c r="AY106" s="38"/>
      <c r="AZ106" s="38"/>
      <c r="BA106" s="38"/>
      <c r="BB106" s="38"/>
    </row>
    <row r="107" spans="1:54" ht="15" customHeight="1">
      <c r="A107" s="469">
        <f>'Box Schedule'!A112</f>
        <v>0</v>
      </c>
      <c r="B107" s="482">
        <f>'Box Schedule'!AV112</f>
        <v>0</v>
      </c>
      <c r="C107" s="483" t="str">
        <f>IF((B107&gt;0),(VLOOKUP(J107,'Valve Reference'!$A$2:$K$389,3)),"-")</f>
        <v>-</v>
      </c>
      <c r="D107" s="471" t="s">
        <v>577</v>
      </c>
      <c r="E107" s="484" t="str">
        <f>IF((B107&gt;0),('Vlookup Tables'!$B$37),"-")</f>
        <v>-</v>
      </c>
      <c r="F107" s="585" t="str">
        <f t="shared" si="7"/>
        <v>-</v>
      </c>
      <c r="G107" s="485" t="str">
        <f>IF((B107&gt;0),(VLOOKUP($B107,'Vlookup Tables'!$B$23:$F$33,2,TRUE)),"-")</f>
        <v>-</v>
      </c>
      <c r="H107" s="586" t="str">
        <f t="shared" si="8"/>
        <v>-</v>
      </c>
      <c r="I107" s="476" t="str">
        <f>IF((B107&gt;0),('Vlookup Tables'!$B$35),"-")</f>
        <v>-</v>
      </c>
      <c r="J107" s="477" t="str">
        <f>IF(B107&gt;0,(IF(D107="2-Way",VLOOKUP($G107,'Vlookup Tables'!$C$23:$F$33,2,FALSE),VLOOKUP($G107,'Vlookup Tables'!$C$23:$F$33,3,FALSE))),"-")</f>
        <v>-</v>
      </c>
      <c r="K107" s="478" t="str">
        <f>IF(B107&gt;0,(VLOOKUP(J107,'Valve Reference'!$A$2:$K$389,4)),"-")</f>
        <v>-</v>
      </c>
      <c r="L107" s="478" t="str">
        <f>IF(B107&gt;0,(VLOOKUP(J107,'Valve Reference'!$A$2:$K$389,5)),"-")</f>
        <v>-</v>
      </c>
      <c r="M107" s="478" t="str">
        <f>IF(B107&gt;0,(VLOOKUP(J107,'Valve Reference'!$A$2:$K$389,8)),"-")</f>
        <v>-</v>
      </c>
      <c r="N107" s="478" t="str">
        <f>IF(B107&gt;0,(VLOOKUP(J107,'Valve Reference'!$A$2:$K$389,10)),"-")</f>
        <v>-</v>
      </c>
      <c r="O107" s="479" t="str">
        <f>IF(B107&gt;0,(VLOOKUP(J107,'Valve Reference'!$A$2:$K$389,11)),"-")</f>
        <v>-</v>
      </c>
      <c r="P107" s="480" t="str">
        <f>IF(B107&gt;0,(VLOOKUP(I107,'Actuator Reference'!$A$2:$H$54,2)),"-")</f>
        <v>-</v>
      </c>
      <c r="Q107" s="480" t="str">
        <f>IF(B107&gt;0,(VLOOKUP(I107,'Actuator Reference'!$A$2:$H$54,5)),"-")</f>
        <v>-</v>
      </c>
      <c r="R107" s="480" t="str">
        <f>IF(B107&gt;0,(VLOOKUP(I107,'Actuator Reference'!$A$2:$H$54,6)),"-")</f>
        <v>-</v>
      </c>
      <c r="S107" s="480" t="str">
        <f>IF(B107&gt;0,(VLOOKUP(I107,'Actuator Reference'!$A$2:$H$54,7)),"-")</f>
        <v>-</v>
      </c>
      <c r="T107" s="481" t="str">
        <f>IF(B107&gt;0,(VLOOKUP(I107,'Actuator Reference'!$A$2:$H$54,8)),"-")</f>
        <v>-</v>
      </c>
      <c r="U107" s="39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5">
        <v>1</v>
      </c>
      <c r="AG107" s="35" t="s">
        <v>1097</v>
      </c>
      <c r="AH107" s="38" t="str">
        <f t="shared" si="9"/>
        <v>---</v>
      </c>
      <c r="AI107" s="594" t="str">
        <f t="shared" si="6"/>
        <v>=0</v>
      </c>
      <c r="AJ107" s="595" t="s">
        <v>1339</v>
      </c>
      <c r="AK107" s="593">
        <v>4</v>
      </c>
      <c r="AL107" s="593" t="s">
        <v>1338</v>
      </c>
      <c r="AM107" s="38"/>
      <c r="AN107" s="38"/>
      <c r="AO107" s="38"/>
      <c r="AP107" s="38"/>
      <c r="AQ107" s="38"/>
      <c r="AR107" s="38"/>
      <c r="AS107" s="38"/>
      <c r="AT107" s="38"/>
      <c r="AU107" s="38"/>
      <c r="AV107" s="40"/>
      <c r="AW107" s="38"/>
      <c r="AX107" s="38"/>
      <c r="AY107" s="38"/>
      <c r="AZ107" s="38"/>
      <c r="BA107" s="38"/>
      <c r="BB107" s="38"/>
    </row>
    <row r="108" spans="1:54" ht="15" customHeight="1">
      <c r="A108" s="469">
        <f>'Box Schedule'!A113</f>
        <v>0</v>
      </c>
      <c r="B108" s="482">
        <f>'Box Schedule'!AV113</f>
        <v>0</v>
      </c>
      <c r="C108" s="483" t="str">
        <f>IF((B108&gt;0),(VLOOKUP(J108,'Valve Reference'!$A$2:$K$389,3)),"-")</f>
        <v>-</v>
      </c>
      <c r="D108" s="471" t="s">
        <v>577</v>
      </c>
      <c r="E108" s="484" t="str">
        <f>IF((B108&gt;0),('Vlookup Tables'!$B$37),"-")</f>
        <v>-</v>
      </c>
      <c r="F108" s="585" t="str">
        <f t="shared" si="7"/>
        <v>-</v>
      </c>
      <c r="G108" s="485" t="str">
        <f>IF((B108&gt;0),(VLOOKUP($B108,'Vlookup Tables'!$B$23:$F$33,2,TRUE)),"-")</f>
        <v>-</v>
      </c>
      <c r="H108" s="586" t="str">
        <f t="shared" si="8"/>
        <v>-</v>
      </c>
      <c r="I108" s="476" t="str">
        <f>IF((B108&gt;0),('Vlookup Tables'!$B$35),"-")</f>
        <v>-</v>
      </c>
      <c r="J108" s="477" t="str">
        <f>IF(B108&gt;0,(IF(D108="2-Way",VLOOKUP($G108,'Vlookup Tables'!$C$23:$F$33,2,FALSE),VLOOKUP($G108,'Vlookup Tables'!$C$23:$F$33,3,FALSE))),"-")</f>
        <v>-</v>
      </c>
      <c r="K108" s="478" t="str">
        <f>IF(B108&gt;0,(VLOOKUP(J108,'Valve Reference'!$A$2:$K$389,4)),"-")</f>
        <v>-</v>
      </c>
      <c r="L108" s="478" t="str">
        <f>IF(B108&gt;0,(VLOOKUP(J108,'Valve Reference'!$A$2:$K$389,5)),"-")</f>
        <v>-</v>
      </c>
      <c r="M108" s="478" t="str">
        <f>IF(B108&gt;0,(VLOOKUP(J108,'Valve Reference'!$A$2:$K$389,8)),"-")</f>
        <v>-</v>
      </c>
      <c r="N108" s="478" t="str">
        <f>IF(B108&gt;0,(VLOOKUP(J108,'Valve Reference'!$A$2:$K$389,10)),"-")</f>
        <v>-</v>
      </c>
      <c r="O108" s="479" t="str">
        <f>IF(B108&gt;0,(VLOOKUP(J108,'Valve Reference'!$A$2:$K$389,11)),"-")</f>
        <v>-</v>
      </c>
      <c r="P108" s="480" t="str">
        <f>IF(B108&gt;0,(VLOOKUP(I108,'Actuator Reference'!$A$2:$H$54,2)),"-")</f>
        <v>-</v>
      </c>
      <c r="Q108" s="480" t="str">
        <f>IF(B108&gt;0,(VLOOKUP(I108,'Actuator Reference'!$A$2:$H$54,5)),"-")</f>
        <v>-</v>
      </c>
      <c r="R108" s="480" t="str">
        <f>IF(B108&gt;0,(VLOOKUP(I108,'Actuator Reference'!$A$2:$H$54,6)),"-")</f>
        <v>-</v>
      </c>
      <c r="S108" s="480" t="str">
        <f>IF(B108&gt;0,(VLOOKUP(I108,'Actuator Reference'!$A$2:$H$54,7)),"-")</f>
        <v>-</v>
      </c>
      <c r="T108" s="481" t="str">
        <f>IF(B108&gt;0,(VLOOKUP(I108,'Actuator Reference'!$A$2:$H$54,8)),"-")</f>
        <v>-</v>
      </c>
      <c r="U108" s="39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5">
        <v>1</v>
      </c>
      <c r="AG108" s="35" t="s">
        <v>1097</v>
      </c>
      <c r="AH108" s="38" t="str">
        <f t="shared" si="9"/>
        <v>---</v>
      </c>
      <c r="AI108" s="594" t="str">
        <f t="shared" si="6"/>
        <v>=0</v>
      </c>
      <c r="AJ108" s="595" t="s">
        <v>1339</v>
      </c>
      <c r="AK108" s="593">
        <v>4</v>
      </c>
      <c r="AL108" s="593" t="s">
        <v>1338</v>
      </c>
      <c r="AM108" s="38"/>
      <c r="AN108" s="38"/>
      <c r="AO108" s="38"/>
      <c r="AP108" s="38"/>
      <c r="AQ108" s="38"/>
      <c r="AR108" s="38"/>
      <c r="AS108" s="38"/>
      <c r="AT108" s="38"/>
      <c r="AU108" s="38"/>
      <c r="AV108" s="40"/>
      <c r="AW108" s="38"/>
      <c r="AX108" s="38"/>
      <c r="AY108" s="38"/>
      <c r="AZ108" s="38"/>
      <c r="BA108" s="38"/>
      <c r="BB108" s="38"/>
    </row>
    <row r="109" spans="1:54" ht="15" customHeight="1">
      <c r="A109" s="469">
        <f>'Box Schedule'!A114</f>
        <v>0</v>
      </c>
      <c r="B109" s="482">
        <f>'Box Schedule'!AV114</f>
        <v>0</v>
      </c>
      <c r="C109" s="483" t="str">
        <f>IF((B109&gt;0),(VLOOKUP(J109,'Valve Reference'!$A$2:$K$389,3)),"-")</f>
        <v>-</v>
      </c>
      <c r="D109" s="471" t="s">
        <v>577</v>
      </c>
      <c r="E109" s="484" t="str">
        <f>IF((B109&gt;0),('Vlookup Tables'!$B$37),"-")</f>
        <v>-</v>
      </c>
      <c r="F109" s="585" t="str">
        <f t="shared" si="7"/>
        <v>-</v>
      </c>
      <c r="G109" s="485" t="str">
        <f>IF((B109&gt;0),(VLOOKUP($B109,'Vlookup Tables'!$B$23:$F$33,2,TRUE)),"-")</f>
        <v>-</v>
      </c>
      <c r="H109" s="586" t="str">
        <f t="shared" si="8"/>
        <v>-</v>
      </c>
      <c r="I109" s="476" t="str">
        <f>IF((B109&gt;0),('Vlookup Tables'!$B$35),"-")</f>
        <v>-</v>
      </c>
      <c r="J109" s="477" t="str">
        <f>IF(B109&gt;0,(IF(D109="2-Way",VLOOKUP($G109,'Vlookup Tables'!$C$23:$F$33,2,FALSE),VLOOKUP($G109,'Vlookup Tables'!$C$23:$F$33,3,FALSE))),"-")</f>
        <v>-</v>
      </c>
      <c r="K109" s="478" t="str">
        <f>IF(B109&gt;0,(VLOOKUP(J109,'Valve Reference'!$A$2:$K$389,4)),"-")</f>
        <v>-</v>
      </c>
      <c r="L109" s="478" t="str">
        <f>IF(B109&gt;0,(VLOOKUP(J109,'Valve Reference'!$A$2:$K$389,5)),"-")</f>
        <v>-</v>
      </c>
      <c r="M109" s="478" t="str">
        <f>IF(B109&gt;0,(VLOOKUP(J109,'Valve Reference'!$A$2:$K$389,8)),"-")</f>
        <v>-</v>
      </c>
      <c r="N109" s="478" t="str">
        <f>IF(B109&gt;0,(VLOOKUP(J109,'Valve Reference'!$A$2:$K$389,10)),"-")</f>
        <v>-</v>
      </c>
      <c r="O109" s="479" t="str">
        <f>IF(B109&gt;0,(VLOOKUP(J109,'Valve Reference'!$A$2:$K$389,11)),"-")</f>
        <v>-</v>
      </c>
      <c r="P109" s="480" t="str">
        <f>IF(B109&gt;0,(VLOOKUP(I109,'Actuator Reference'!$A$2:$H$54,2)),"-")</f>
        <v>-</v>
      </c>
      <c r="Q109" s="480" t="str">
        <f>IF(B109&gt;0,(VLOOKUP(I109,'Actuator Reference'!$A$2:$H$54,5)),"-")</f>
        <v>-</v>
      </c>
      <c r="R109" s="480" t="str">
        <f>IF(B109&gt;0,(VLOOKUP(I109,'Actuator Reference'!$A$2:$H$54,6)),"-")</f>
        <v>-</v>
      </c>
      <c r="S109" s="480" t="str">
        <f>IF(B109&gt;0,(VLOOKUP(I109,'Actuator Reference'!$A$2:$H$54,7)),"-")</f>
        <v>-</v>
      </c>
      <c r="T109" s="481" t="str">
        <f>IF(B109&gt;0,(VLOOKUP(I109,'Actuator Reference'!$A$2:$H$54,8)),"-")</f>
        <v>-</v>
      </c>
      <c r="U109" s="39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5">
        <v>1</v>
      </c>
      <c r="AG109" s="35" t="s">
        <v>1097</v>
      </c>
      <c r="AH109" s="38" t="str">
        <f t="shared" si="9"/>
        <v>---</v>
      </c>
      <c r="AI109" s="594" t="str">
        <f t="shared" si="6"/>
        <v>=0</v>
      </c>
      <c r="AJ109" s="595" t="s">
        <v>1339</v>
      </c>
      <c r="AK109" s="593">
        <v>4</v>
      </c>
      <c r="AL109" s="593" t="s">
        <v>1338</v>
      </c>
      <c r="AM109" s="38"/>
      <c r="AN109" s="38"/>
      <c r="AO109" s="38"/>
      <c r="AP109" s="38"/>
      <c r="AQ109" s="38"/>
      <c r="AR109" s="38"/>
      <c r="AS109" s="38"/>
      <c r="AT109" s="38"/>
      <c r="AU109" s="38"/>
      <c r="AV109" s="40"/>
      <c r="AW109" s="38"/>
      <c r="AX109" s="38"/>
      <c r="AY109" s="38"/>
      <c r="AZ109" s="38"/>
      <c r="BA109" s="38"/>
      <c r="BB109" s="38"/>
    </row>
    <row r="110" spans="1:54" ht="15" customHeight="1">
      <c r="A110" s="469">
        <f>'Box Schedule'!A115</f>
        <v>0</v>
      </c>
      <c r="B110" s="482">
        <f>'Box Schedule'!AV115</f>
        <v>0</v>
      </c>
      <c r="C110" s="483" t="str">
        <f>IF((B110&gt;0),(VLOOKUP(J110,'Valve Reference'!$A$2:$K$389,3)),"-")</f>
        <v>-</v>
      </c>
      <c r="D110" s="471" t="s">
        <v>577</v>
      </c>
      <c r="E110" s="484" t="str">
        <f>IF((B110&gt;0),('Vlookup Tables'!$B$37),"-")</f>
        <v>-</v>
      </c>
      <c r="F110" s="585" t="str">
        <f t="shared" si="7"/>
        <v>-</v>
      </c>
      <c r="G110" s="485" t="str">
        <f>IF((B110&gt;0),(VLOOKUP($B110,'Vlookup Tables'!$B$23:$F$33,2,TRUE)),"-")</f>
        <v>-</v>
      </c>
      <c r="H110" s="586" t="str">
        <f t="shared" si="8"/>
        <v>-</v>
      </c>
      <c r="I110" s="476" t="str">
        <f>IF((B110&gt;0),('Vlookup Tables'!$B$35),"-")</f>
        <v>-</v>
      </c>
      <c r="J110" s="477" t="str">
        <f>IF(B110&gt;0,(IF(D110="2-Way",VLOOKUP($G110,'Vlookup Tables'!$C$23:$F$33,2,FALSE),VLOOKUP($G110,'Vlookup Tables'!$C$23:$F$33,3,FALSE))),"-")</f>
        <v>-</v>
      </c>
      <c r="K110" s="478" t="str">
        <f>IF(B110&gt;0,(VLOOKUP(J110,'Valve Reference'!$A$2:$K$389,4)),"-")</f>
        <v>-</v>
      </c>
      <c r="L110" s="478" t="str">
        <f>IF(B110&gt;0,(VLOOKUP(J110,'Valve Reference'!$A$2:$K$389,5)),"-")</f>
        <v>-</v>
      </c>
      <c r="M110" s="478" t="str">
        <f>IF(B110&gt;0,(VLOOKUP(J110,'Valve Reference'!$A$2:$K$389,8)),"-")</f>
        <v>-</v>
      </c>
      <c r="N110" s="478" t="str">
        <f>IF(B110&gt;0,(VLOOKUP(J110,'Valve Reference'!$A$2:$K$389,10)),"-")</f>
        <v>-</v>
      </c>
      <c r="O110" s="479" t="str">
        <f>IF(B110&gt;0,(VLOOKUP(J110,'Valve Reference'!$A$2:$K$389,11)),"-")</f>
        <v>-</v>
      </c>
      <c r="P110" s="480" t="str">
        <f>IF(B110&gt;0,(VLOOKUP(I110,'Actuator Reference'!$A$2:$H$54,2)),"-")</f>
        <v>-</v>
      </c>
      <c r="Q110" s="480" t="str">
        <f>IF(B110&gt;0,(VLOOKUP(I110,'Actuator Reference'!$A$2:$H$54,5)),"-")</f>
        <v>-</v>
      </c>
      <c r="R110" s="480" t="str">
        <f>IF(B110&gt;0,(VLOOKUP(I110,'Actuator Reference'!$A$2:$H$54,6)),"-")</f>
        <v>-</v>
      </c>
      <c r="S110" s="480" t="str">
        <f>IF(B110&gt;0,(VLOOKUP(I110,'Actuator Reference'!$A$2:$H$54,7)),"-")</f>
        <v>-</v>
      </c>
      <c r="T110" s="481" t="str">
        <f>IF(B110&gt;0,(VLOOKUP(I110,'Actuator Reference'!$A$2:$H$54,8)),"-")</f>
        <v>-</v>
      </c>
      <c r="U110" s="39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5">
        <v>1</v>
      </c>
      <c r="AG110" s="35" t="s">
        <v>1097</v>
      </c>
      <c r="AH110" s="38" t="str">
        <f t="shared" si="9"/>
        <v>---</v>
      </c>
      <c r="AI110" s="594" t="str">
        <f t="shared" si="6"/>
        <v>=0</v>
      </c>
      <c r="AJ110" s="595" t="s">
        <v>1339</v>
      </c>
      <c r="AK110" s="593">
        <v>4</v>
      </c>
      <c r="AL110" s="593" t="s">
        <v>1338</v>
      </c>
      <c r="AM110" s="38"/>
      <c r="AN110" s="38"/>
      <c r="AO110" s="38"/>
      <c r="AP110" s="38"/>
      <c r="AQ110" s="38"/>
      <c r="AR110" s="38"/>
      <c r="AS110" s="38"/>
      <c r="AT110" s="38"/>
      <c r="AU110" s="38"/>
      <c r="AV110" s="40"/>
      <c r="AW110" s="38"/>
      <c r="AX110" s="38"/>
      <c r="AY110" s="38"/>
      <c r="AZ110" s="38"/>
      <c r="BA110" s="38"/>
      <c r="BB110" s="38"/>
    </row>
    <row r="111" spans="1:54" ht="15" customHeight="1">
      <c r="A111" s="469">
        <f>'Box Schedule'!A116</f>
        <v>0</v>
      </c>
      <c r="B111" s="482">
        <f>'Box Schedule'!AV116</f>
        <v>0</v>
      </c>
      <c r="C111" s="483" t="str">
        <f>IF((B111&gt;0),(VLOOKUP(J111,'Valve Reference'!$A$2:$K$389,3)),"-")</f>
        <v>-</v>
      </c>
      <c r="D111" s="471" t="s">
        <v>577</v>
      </c>
      <c r="E111" s="484" t="str">
        <f>IF((B111&gt;0),('Vlookup Tables'!$B$37),"-")</f>
        <v>-</v>
      </c>
      <c r="F111" s="585" t="str">
        <f t="shared" si="7"/>
        <v>-</v>
      </c>
      <c r="G111" s="485" t="str">
        <f>IF((B111&gt;0),(VLOOKUP($B111,'Vlookup Tables'!$B$23:$F$33,2,TRUE)),"-")</f>
        <v>-</v>
      </c>
      <c r="H111" s="586" t="str">
        <f t="shared" si="8"/>
        <v>-</v>
      </c>
      <c r="I111" s="476" t="str">
        <f>IF((B111&gt;0),('Vlookup Tables'!$B$35),"-")</f>
        <v>-</v>
      </c>
      <c r="J111" s="477" t="str">
        <f>IF(B111&gt;0,(IF(D111="2-Way",VLOOKUP($G111,'Vlookup Tables'!$C$23:$F$33,2,FALSE),VLOOKUP($G111,'Vlookup Tables'!$C$23:$F$33,3,FALSE))),"-")</f>
        <v>-</v>
      </c>
      <c r="K111" s="478" t="str">
        <f>IF(B111&gt;0,(VLOOKUP(J111,'Valve Reference'!$A$2:$K$389,4)),"-")</f>
        <v>-</v>
      </c>
      <c r="L111" s="478" t="str">
        <f>IF(B111&gt;0,(VLOOKUP(J111,'Valve Reference'!$A$2:$K$389,5)),"-")</f>
        <v>-</v>
      </c>
      <c r="M111" s="478" t="str">
        <f>IF(B111&gt;0,(VLOOKUP(J111,'Valve Reference'!$A$2:$K$389,8)),"-")</f>
        <v>-</v>
      </c>
      <c r="N111" s="478" t="str">
        <f>IF(B111&gt;0,(VLOOKUP(J111,'Valve Reference'!$A$2:$K$389,10)),"-")</f>
        <v>-</v>
      </c>
      <c r="O111" s="479" t="str">
        <f>IF(B111&gt;0,(VLOOKUP(J111,'Valve Reference'!$A$2:$K$389,11)),"-")</f>
        <v>-</v>
      </c>
      <c r="P111" s="480" t="str">
        <f>IF(B111&gt;0,(VLOOKUP(I111,'Actuator Reference'!$A$2:$H$54,2)),"-")</f>
        <v>-</v>
      </c>
      <c r="Q111" s="480" t="str">
        <f>IF(B111&gt;0,(VLOOKUP(I111,'Actuator Reference'!$A$2:$H$54,5)),"-")</f>
        <v>-</v>
      </c>
      <c r="R111" s="480" t="str">
        <f>IF(B111&gt;0,(VLOOKUP(I111,'Actuator Reference'!$A$2:$H$54,6)),"-")</f>
        <v>-</v>
      </c>
      <c r="S111" s="480" t="str">
        <f>IF(B111&gt;0,(VLOOKUP(I111,'Actuator Reference'!$A$2:$H$54,7)),"-")</f>
        <v>-</v>
      </c>
      <c r="T111" s="481" t="str">
        <f>IF(B111&gt;0,(VLOOKUP(I111,'Actuator Reference'!$A$2:$H$54,8)),"-")</f>
        <v>-</v>
      </c>
      <c r="U111" s="39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5">
        <v>1</v>
      </c>
      <c r="AG111" s="35" t="s">
        <v>1097</v>
      </c>
      <c r="AH111" s="38" t="str">
        <f t="shared" si="9"/>
        <v>---</v>
      </c>
      <c r="AI111" s="594" t="str">
        <f t="shared" si="6"/>
        <v>=0</v>
      </c>
      <c r="AJ111" s="595" t="s">
        <v>1339</v>
      </c>
      <c r="AK111" s="593">
        <v>4</v>
      </c>
      <c r="AL111" s="593" t="s">
        <v>1338</v>
      </c>
      <c r="AM111" s="38"/>
      <c r="AN111" s="38"/>
      <c r="AO111" s="38"/>
      <c r="AP111" s="38"/>
      <c r="AQ111" s="38"/>
      <c r="AR111" s="38"/>
      <c r="AS111" s="38"/>
      <c r="AT111" s="38"/>
      <c r="AU111" s="38"/>
      <c r="AV111" s="40"/>
      <c r="AW111" s="38"/>
      <c r="AX111" s="38"/>
      <c r="AY111" s="38"/>
      <c r="AZ111" s="38"/>
      <c r="BA111" s="38"/>
      <c r="BB111" s="38"/>
    </row>
    <row r="112" spans="1:54" ht="15" customHeight="1">
      <c r="A112" s="469">
        <f>'Box Schedule'!A117</f>
        <v>0</v>
      </c>
      <c r="B112" s="482">
        <f>'Box Schedule'!AV117</f>
        <v>0</v>
      </c>
      <c r="C112" s="483" t="str">
        <f>IF((B112&gt;0),(VLOOKUP(J112,'Valve Reference'!$A$2:$K$389,3)),"-")</f>
        <v>-</v>
      </c>
      <c r="D112" s="471" t="s">
        <v>577</v>
      </c>
      <c r="E112" s="484" t="str">
        <f>IF((B112&gt;0),('Vlookup Tables'!$B$37),"-")</f>
        <v>-</v>
      </c>
      <c r="F112" s="585" t="str">
        <f t="shared" si="7"/>
        <v>-</v>
      </c>
      <c r="G112" s="485" t="str">
        <f>IF((B112&gt;0),(VLOOKUP($B112,'Vlookup Tables'!$B$23:$F$33,2,TRUE)),"-")</f>
        <v>-</v>
      </c>
      <c r="H112" s="586" t="str">
        <f t="shared" si="8"/>
        <v>-</v>
      </c>
      <c r="I112" s="476" t="str">
        <f>IF((B112&gt;0),('Vlookup Tables'!$B$35),"-")</f>
        <v>-</v>
      </c>
      <c r="J112" s="477" t="str">
        <f>IF(B112&gt;0,(IF(D112="2-Way",VLOOKUP($G112,'Vlookup Tables'!$C$23:$F$33,2,FALSE),VLOOKUP($G112,'Vlookup Tables'!$C$23:$F$33,3,FALSE))),"-")</f>
        <v>-</v>
      </c>
      <c r="K112" s="478" t="str">
        <f>IF(B112&gt;0,(VLOOKUP(J112,'Valve Reference'!$A$2:$K$389,4)),"-")</f>
        <v>-</v>
      </c>
      <c r="L112" s="478" t="str">
        <f>IF(B112&gt;0,(VLOOKUP(J112,'Valve Reference'!$A$2:$K$389,5)),"-")</f>
        <v>-</v>
      </c>
      <c r="M112" s="478" t="str">
        <f>IF(B112&gt;0,(VLOOKUP(J112,'Valve Reference'!$A$2:$K$389,8)),"-")</f>
        <v>-</v>
      </c>
      <c r="N112" s="478" t="str">
        <f>IF(B112&gt;0,(VLOOKUP(J112,'Valve Reference'!$A$2:$K$389,10)),"-")</f>
        <v>-</v>
      </c>
      <c r="O112" s="479" t="str">
        <f>IF(B112&gt;0,(VLOOKUP(J112,'Valve Reference'!$A$2:$K$389,11)),"-")</f>
        <v>-</v>
      </c>
      <c r="P112" s="480" t="str">
        <f>IF(B112&gt;0,(VLOOKUP(I112,'Actuator Reference'!$A$2:$H$54,2)),"-")</f>
        <v>-</v>
      </c>
      <c r="Q112" s="480" t="str">
        <f>IF(B112&gt;0,(VLOOKUP(I112,'Actuator Reference'!$A$2:$H$54,5)),"-")</f>
        <v>-</v>
      </c>
      <c r="R112" s="480" t="str">
        <f>IF(B112&gt;0,(VLOOKUP(I112,'Actuator Reference'!$A$2:$H$54,6)),"-")</f>
        <v>-</v>
      </c>
      <c r="S112" s="480" t="str">
        <f>IF(B112&gt;0,(VLOOKUP(I112,'Actuator Reference'!$A$2:$H$54,7)),"-")</f>
        <v>-</v>
      </c>
      <c r="T112" s="481" t="str">
        <f>IF(B112&gt;0,(VLOOKUP(I112,'Actuator Reference'!$A$2:$H$54,8)),"-")</f>
        <v>-</v>
      </c>
      <c r="U112" s="39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5">
        <v>1</v>
      </c>
      <c r="AG112" s="35" t="s">
        <v>1097</v>
      </c>
      <c r="AH112" s="38" t="str">
        <f t="shared" si="9"/>
        <v>---</v>
      </c>
      <c r="AI112" s="594" t="str">
        <f t="shared" si="6"/>
        <v>=0</v>
      </c>
      <c r="AJ112" s="595" t="s">
        <v>1339</v>
      </c>
      <c r="AK112" s="593">
        <v>4</v>
      </c>
      <c r="AL112" s="593" t="s">
        <v>1338</v>
      </c>
      <c r="AM112" s="38"/>
      <c r="AN112" s="38"/>
      <c r="AO112" s="38"/>
      <c r="AP112" s="38"/>
      <c r="AQ112" s="38"/>
      <c r="AR112" s="38"/>
      <c r="AS112" s="38"/>
      <c r="AT112" s="38"/>
      <c r="AU112" s="38"/>
      <c r="AV112" s="40"/>
      <c r="AW112" s="38"/>
      <c r="AX112" s="38"/>
      <c r="AY112" s="38"/>
      <c r="AZ112" s="38"/>
      <c r="BA112" s="38"/>
      <c r="BB112" s="38"/>
    </row>
    <row r="113" spans="1:54" ht="15" customHeight="1">
      <c r="A113" s="469">
        <f>'Box Schedule'!A118</f>
        <v>0</v>
      </c>
      <c r="B113" s="482">
        <f>'Box Schedule'!AV118</f>
        <v>0</v>
      </c>
      <c r="C113" s="483" t="str">
        <f>IF((B113&gt;0),(VLOOKUP(J113,'Valve Reference'!$A$2:$K$389,3)),"-")</f>
        <v>-</v>
      </c>
      <c r="D113" s="471" t="s">
        <v>577</v>
      </c>
      <c r="E113" s="484" t="str">
        <f>IF((B113&gt;0),('Vlookup Tables'!$B$37),"-")</f>
        <v>-</v>
      </c>
      <c r="F113" s="585" t="str">
        <f t="shared" si="7"/>
        <v>-</v>
      </c>
      <c r="G113" s="485" t="str">
        <f>IF((B113&gt;0),(VLOOKUP($B113,'Vlookup Tables'!$B$23:$F$33,2,TRUE)),"-")</f>
        <v>-</v>
      </c>
      <c r="H113" s="586" t="str">
        <f t="shared" si="8"/>
        <v>-</v>
      </c>
      <c r="I113" s="476" t="str">
        <f>IF((B113&gt;0),('Vlookup Tables'!$B$35),"-")</f>
        <v>-</v>
      </c>
      <c r="J113" s="477" t="str">
        <f>IF(B113&gt;0,(IF(D113="2-Way",VLOOKUP($G113,'Vlookup Tables'!$C$23:$F$33,2,FALSE),VLOOKUP($G113,'Vlookup Tables'!$C$23:$F$33,3,FALSE))),"-")</f>
        <v>-</v>
      </c>
      <c r="K113" s="478" t="str">
        <f>IF(B113&gt;0,(VLOOKUP(J113,'Valve Reference'!$A$2:$K$389,4)),"-")</f>
        <v>-</v>
      </c>
      <c r="L113" s="478" t="str">
        <f>IF(B113&gt;0,(VLOOKUP(J113,'Valve Reference'!$A$2:$K$389,5)),"-")</f>
        <v>-</v>
      </c>
      <c r="M113" s="478" t="str">
        <f>IF(B113&gt;0,(VLOOKUP(J113,'Valve Reference'!$A$2:$K$389,8)),"-")</f>
        <v>-</v>
      </c>
      <c r="N113" s="478" t="str">
        <f>IF(B113&gt;0,(VLOOKUP(J113,'Valve Reference'!$A$2:$K$389,10)),"-")</f>
        <v>-</v>
      </c>
      <c r="O113" s="479" t="str">
        <f>IF(B113&gt;0,(VLOOKUP(J113,'Valve Reference'!$A$2:$K$389,11)),"-")</f>
        <v>-</v>
      </c>
      <c r="P113" s="480" t="str">
        <f>IF(B113&gt;0,(VLOOKUP(I113,'Actuator Reference'!$A$2:$H$54,2)),"-")</f>
        <v>-</v>
      </c>
      <c r="Q113" s="480" t="str">
        <f>IF(B113&gt;0,(VLOOKUP(I113,'Actuator Reference'!$A$2:$H$54,5)),"-")</f>
        <v>-</v>
      </c>
      <c r="R113" s="480" t="str">
        <f>IF(B113&gt;0,(VLOOKUP(I113,'Actuator Reference'!$A$2:$H$54,6)),"-")</f>
        <v>-</v>
      </c>
      <c r="S113" s="480" t="str">
        <f>IF(B113&gt;0,(VLOOKUP(I113,'Actuator Reference'!$A$2:$H$54,7)),"-")</f>
        <v>-</v>
      </c>
      <c r="T113" s="481" t="str">
        <f>IF(B113&gt;0,(VLOOKUP(I113,'Actuator Reference'!$A$2:$H$54,8)),"-")</f>
        <v>-</v>
      </c>
      <c r="U113" s="39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5">
        <v>1</v>
      </c>
      <c r="AG113" s="35" t="s">
        <v>1097</v>
      </c>
      <c r="AH113" s="38" t="str">
        <f t="shared" si="9"/>
        <v>---</v>
      </c>
      <c r="AI113" s="594" t="str">
        <f t="shared" si="6"/>
        <v>=0</v>
      </c>
      <c r="AJ113" s="595" t="s">
        <v>1339</v>
      </c>
      <c r="AK113" s="593">
        <v>4</v>
      </c>
      <c r="AL113" s="593" t="s">
        <v>1338</v>
      </c>
      <c r="AM113" s="38"/>
      <c r="AN113" s="38"/>
      <c r="AO113" s="38"/>
      <c r="AP113" s="38"/>
      <c r="AQ113" s="38"/>
      <c r="AR113" s="38"/>
      <c r="AS113" s="38"/>
      <c r="AT113" s="38"/>
      <c r="AU113" s="38"/>
      <c r="AV113" s="40"/>
      <c r="AW113" s="38"/>
      <c r="AX113" s="38"/>
      <c r="AY113" s="38"/>
      <c r="AZ113" s="38"/>
      <c r="BA113" s="38"/>
      <c r="BB113" s="38"/>
    </row>
    <row r="114" spans="1:54" ht="15" customHeight="1">
      <c r="A114" s="469">
        <f>'Box Schedule'!A119</f>
        <v>0</v>
      </c>
      <c r="B114" s="482">
        <f>'Box Schedule'!AV119</f>
        <v>0</v>
      </c>
      <c r="C114" s="483" t="str">
        <f>IF((B114&gt;0),(VLOOKUP(J114,'Valve Reference'!$A$2:$K$389,3)),"-")</f>
        <v>-</v>
      </c>
      <c r="D114" s="471" t="s">
        <v>577</v>
      </c>
      <c r="E114" s="484" t="str">
        <f>IF((B114&gt;0),('Vlookup Tables'!$B$37),"-")</f>
        <v>-</v>
      </c>
      <c r="F114" s="585" t="str">
        <f t="shared" si="7"/>
        <v>-</v>
      </c>
      <c r="G114" s="485" t="str">
        <f>IF((B114&gt;0),(VLOOKUP($B114,'Vlookup Tables'!$B$23:$F$33,2,TRUE)),"-")</f>
        <v>-</v>
      </c>
      <c r="H114" s="586" t="str">
        <f t="shared" si="8"/>
        <v>-</v>
      </c>
      <c r="I114" s="476" t="str">
        <f>IF((B114&gt;0),('Vlookup Tables'!$B$35),"-")</f>
        <v>-</v>
      </c>
      <c r="J114" s="477" t="str">
        <f>IF(B114&gt;0,(IF(D114="2-Way",VLOOKUP($G114,'Vlookup Tables'!$C$23:$F$33,2,FALSE),VLOOKUP($G114,'Vlookup Tables'!$C$23:$F$33,3,FALSE))),"-")</f>
        <v>-</v>
      </c>
      <c r="K114" s="478" t="str">
        <f>IF(B114&gt;0,(VLOOKUP(J114,'Valve Reference'!$A$2:$K$389,4)),"-")</f>
        <v>-</v>
      </c>
      <c r="L114" s="478" t="str">
        <f>IF(B114&gt;0,(VLOOKUP(J114,'Valve Reference'!$A$2:$K$389,5)),"-")</f>
        <v>-</v>
      </c>
      <c r="M114" s="478" t="str">
        <f>IF(B114&gt;0,(VLOOKUP(J114,'Valve Reference'!$A$2:$K$389,8)),"-")</f>
        <v>-</v>
      </c>
      <c r="N114" s="478" t="str">
        <f>IF(B114&gt;0,(VLOOKUP(J114,'Valve Reference'!$A$2:$K$389,10)),"-")</f>
        <v>-</v>
      </c>
      <c r="O114" s="479" t="str">
        <f>IF(B114&gt;0,(VLOOKUP(J114,'Valve Reference'!$A$2:$K$389,11)),"-")</f>
        <v>-</v>
      </c>
      <c r="P114" s="480" t="str">
        <f>IF(B114&gt;0,(VLOOKUP(I114,'Actuator Reference'!$A$2:$H$54,2)),"-")</f>
        <v>-</v>
      </c>
      <c r="Q114" s="480" t="str">
        <f>IF(B114&gt;0,(VLOOKUP(I114,'Actuator Reference'!$A$2:$H$54,5)),"-")</f>
        <v>-</v>
      </c>
      <c r="R114" s="480" t="str">
        <f>IF(B114&gt;0,(VLOOKUP(I114,'Actuator Reference'!$A$2:$H$54,6)),"-")</f>
        <v>-</v>
      </c>
      <c r="S114" s="480" t="str">
        <f>IF(B114&gt;0,(VLOOKUP(I114,'Actuator Reference'!$A$2:$H$54,7)),"-")</f>
        <v>-</v>
      </c>
      <c r="T114" s="481" t="str">
        <f>IF(B114&gt;0,(VLOOKUP(I114,'Actuator Reference'!$A$2:$H$54,8)),"-")</f>
        <v>-</v>
      </c>
      <c r="U114" s="39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5">
        <v>1</v>
      </c>
      <c r="AG114" s="35" t="s">
        <v>1097</v>
      </c>
      <c r="AH114" s="38" t="str">
        <f t="shared" si="9"/>
        <v>---</v>
      </c>
      <c r="AI114" s="594" t="str">
        <f t="shared" si="6"/>
        <v>=0</v>
      </c>
      <c r="AJ114" s="595" t="s">
        <v>1339</v>
      </c>
      <c r="AK114" s="593">
        <v>4</v>
      </c>
      <c r="AL114" s="593" t="s">
        <v>1338</v>
      </c>
      <c r="AM114" s="38"/>
      <c r="AN114" s="38"/>
      <c r="AO114" s="38"/>
      <c r="AP114" s="38"/>
      <c r="AQ114" s="38"/>
      <c r="AR114" s="38"/>
      <c r="AS114" s="38"/>
      <c r="AT114" s="38"/>
      <c r="AU114" s="38"/>
      <c r="AV114" s="40"/>
      <c r="AW114" s="38"/>
      <c r="AX114" s="38"/>
      <c r="AY114" s="38"/>
      <c r="AZ114" s="38"/>
      <c r="BA114" s="38"/>
      <c r="BB114" s="38"/>
    </row>
    <row r="115" spans="1:54" ht="15" customHeight="1">
      <c r="A115" s="469">
        <f>'Box Schedule'!A120</f>
        <v>0</v>
      </c>
      <c r="B115" s="482">
        <f>'Box Schedule'!AV120</f>
        <v>0</v>
      </c>
      <c r="C115" s="483" t="str">
        <f>IF((B115&gt;0),(VLOOKUP(J115,'Valve Reference'!$A$2:$K$389,3)),"-")</f>
        <v>-</v>
      </c>
      <c r="D115" s="471" t="s">
        <v>577</v>
      </c>
      <c r="E115" s="484" t="str">
        <f>IF((B115&gt;0),('Vlookup Tables'!$B$37),"-")</f>
        <v>-</v>
      </c>
      <c r="F115" s="585" t="str">
        <f t="shared" si="7"/>
        <v>-</v>
      </c>
      <c r="G115" s="485" t="str">
        <f>IF((B115&gt;0),(VLOOKUP($B115,'Vlookup Tables'!$B$23:$F$33,2,TRUE)),"-")</f>
        <v>-</v>
      </c>
      <c r="H115" s="586" t="str">
        <f t="shared" si="8"/>
        <v>-</v>
      </c>
      <c r="I115" s="476" t="str">
        <f>IF((B115&gt;0),('Vlookup Tables'!$B$35),"-")</f>
        <v>-</v>
      </c>
      <c r="J115" s="477" t="str">
        <f>IF(B115&gt;0,(IF(D115="2-Way",VLOOKUP($G115,'Vlookup Tables'!$C$23:$F$33,2,FALSE),VLOOKUP($G115,'Vlookup Tables'!$C$23:$F$33,3,FALSE))),"-")</f>
        <v>-</v>
      </c>
      <c r="K115" s="478" t="str">
        <f>IF(B115&gt;0,(VLOOKUP(J115,'Valve Reference'!$A$2:$K$389,4)),"-")</f>
        <v>-</v>
      </c>
      <c r="L115" s="478" t="str">
        <f>IF(B115&gt;0,(VLOOKUP(J115,'Valve Reference'!$A$2:$K$389,5)),"-")</f>
        <v>-</v>
      </c>
      <c r="M115" s="478" t="str">
        <f>IF(B115&gt;0,(VLOOKUP(J115,'Valve Reference'!$A$2:$K$389,8)),"-")</f>
        <v>-</v>
      </c>
      <c r="N115" s="478" t="str">
        <f>IF(B115&gt;0,(VLOOKUP(J115,'Valve Reference'!$A$2:$K$389,10)),"-")</f>
        <v>-</v>
      </c>
      <c r="O115" s="479" t="str">
        <f>IF(B115&gt;0,(VLOOKUP(J115,'Valve Reference'!$A$2:$K$389,11)),"-")</f>
        <v>-</v>
      </c>
      <c r="P115" s="480" t="str">
        <f>IF(B115&gt;0,(VLOOKUP(I115,'Actuator Reference'!$A$2:$H$54,2)),"-")</f>
        <v>-</v>
      </c>
      <c r="Q115" s="480" t="str">
        <f>IF(B115&gt;0,(VLOOKUP(I115,'Actuator Reference'!$A$2:$H$54,5)),"-")</f>
        <v>-</v>
      </c>
      <c r="R115" s="480" t="str">
        <f>IF(B115&gt;0,(VLOOKUP(I115,'Actuator Reference'!$A$2:$H$54,6)),"-")</f>
        <v>-</v>
      </c>
      <c r="S115" s="480" t="str">
        <f>IF(B115&gt;0,(VLOOKUP(I115,'Actuator Reference'!$A$2:$H$54,7)),"-")</f>
        <v>-</v>
      </c>
      <c r="T115" s="481" t="str">
        <f>IF(B115&gt;0,(VLOOKUP(I115,'Actuator Reference'!$A$2:$H$54,8)),"-")</f>
        <v>-</v>
      </c>
      <c r="U115" s="39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5">
        <v>1</v>
      </c>
      <c r="AG115" s="35" t="s">
        <v>1097</v>
      </c>
      <c r="AH115" s="38" t="str">
        <f t="shared" si="9"/>
        <v>---</v>
      </c>
      <c r="AI115" s="594" t="str">
        <f t="shared" si="6"/>
        <v>=0</v>
      </c>
      <c r="AJ115" s="595" t="s">
        <v>1339</v>
      </c>
      <c r="AK115" s="593">
        <v>4</v>
      </c>
      <c r="AL115" s="593" t="s">
        <v>1338</v>
      </c>
      <c r="AM115" s="38"/>
      <c r="AN115" s="38"/>
      <c r="AO115" s="38"/>
      <c r="AP115" s="38"/>
      <c r="AQ115" s="38"/>
      <c r="AR115" s="38"/>
      <c r="AS115" s="38"/>
      <c r="AT115" s="38"/>
      <c r="AU115" s="38"/>
      <c r="AV115" s="40"/>
      <c r="AW115" s="38"/>
      <c r="AX115" s="38"/>
      <c r="AY115" s="38"/>
      <c r="AZ115" s="38"/>
      <c r="BA115" s="38"/>
      <c r="BB115" s="38"/>
    </row>
    <row r="116" spans="1:54" ht="15" customHeight="1">
      <c r="A116" s="469">
        <f>'Box Schedule'!A121</f>
        <v>0</v>
      </c>
      <c r="B116" s="482">
        <f>'Box Schedule'!AV121</f>
        <v>0</v>
      </c>
      <c r="C116" s="483" t="str">
        <f>IF((B116&gt;0),(VLOOKUP(J116,'Valve Reference'!$A$2:$K$389,3)),"-")</f>
        <v>-</v>
      </c>
      <c r="D116" s="471" t="s">
        <v>577</v>
      </c>
      <c r="E116" s="484" t="str">
        <f>IF((B116&gt;0),('Vlookup Tables'!$B$37),"-")</f>
        <v>-</v>
      </c>
      <c r="F116" s="585" t="str">
        <f t="shared" si="7"/>
        <v>-</v>
      </c>
      <c r="G116" s="485" t="str">
        <f>IF((B116&gt;0),(VLOOKUP($B116,'Vlookup Tables'!$B$23:$F$33,2,TRUE)),"-")</f>
        <v>-</v>
      </c>
      <c r="H116" s="586" t="str">
        <f t="shared" si="8"/>
        <v>-</v>
      </c>
      <c r="I116" s="476" t="str">
        <f>IF((B116&gt;0),('Vlookup Tables'!$B$35),"-")</f>
        <v>-</v>
      </c>
      <c r="J116" s="477" t="str">
        <f>IF(B116&gt;0,(IF(D116="2-Way",VLOOKUP($G116,'Vlookup Tables'!$C$23:$F$33,2,FALSE),VLOOKUP($G116,'Vlookup Tables'!$C$23:$F$33,3,FALSE))),"-")</f>
        <v>-</v>
      </c>
      <c r="K116" s="478" t="str">
        <f>IF(B116&gt;0,(VLOOKUP(J116,'Valve Reference'!$A$2:$K$389,4)),"-")</f>
        <v>-</v>
      </c>
      <c r="L116" s="478" t="str">
        <f>IF(B116&gt;0,(VLOOKUP(J116,'Valve Reference'!$A$2:$K$389,5)),"-")</f>
        <v>-</v>
      </c>
      <c r="M116" s="478" t="str">
        <f>IF(B116&gt;0,(VLOOKUP(J116,'Valve Reference'!$A$2:$K$389,8)),"-")</f>
        <v>-</v>
      </c>
      <c r="N116" s="478" t="str">
        <f>IF(B116&gt;0,(VLOOKUP(J116,'Valve Reference'!$A$2:$K$389,10)),"-")</f>
        <v>-</v>
      </c>
      <c r="O116" s="479" t="str">
        <f>IF(B116&gt;0,(VLOOKUP(J116,'Valve Reference'!$A$2:$K$389,11)),"-")</f>
        <v>-</v>
      </c>
      <c r="P116" s="480" t="str">
        <f>IF(B116&gt;0,(VLOOKUP(I116,'Actuator Reference'!$A$2:$H$54,2)),"-")</f>
        <v>-</v>
      </c>
      <c r="Q116" s="480" t="str">
        <f>IF(B116&gt;0,(VLOOKUP(I116,'Actuator Reference'!$A$2:$H$54,5)),"-")</f>
        <v>-</v>
      </c>
      <c r="R116" s="480" t="str">
        <f>IF(B116&gt;0,(VLOOKUP(I116,'Actuator Reference'!$A$2:$H$54,6)),"-")</f>
        <v>-</v>
      </c>
      <c r="S116" s="480" t="str">
        <f>IF(B116&gt;0,(VLOOKUP(I116,'Actuator Reference'!$A$2:$H$54,7)),"-")</f>
        <v>-</v>
      </c>
      <c r="T116" s="481" t="str">
        <f>IF(B116&gt;0,(VLOOKUP(I116,'Actuator Reference'!$A$2:$H$54,8)),"-")</f>
        <v>-</v>
      </c>
      <c r="U116" s="39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5">
        <v>1</v>
      </c>
      <c r="AG116" s="35" t="s">
        <v>1097</v>
      </c>
      <c r="AH116" s="38" t="str">
        <f t="shared" si="9"/>
        <v>---</v>
      </c>
      <c r="AI116" s="594" t="str">
        <f t="shared" si="6"/>
        <v>=0</v>
      </c>
      <c r="AJ116" s="595" t="s">
        <v>1339</v>
      </c>
      <c r="AK116" s="593">
        <v>4</v>
      </c>
      <c r="AL116" s="593" t="s">
        <v>1338</v>
      </c>
      <c r="AM116" s="38"/>
      <c r="AN116" s="38"/>
      <c r="AO116" s="38"/>
      <c r="AP116" s="38"/>
      <c r="AQ116" s="38"/>
      <c r="AR116" s="38"/>
      <c r="AS116" s="38"/>
      <c r="AT116" s="38"/>
      <c r="AU116" s="38"/>
      <c r="AV116" s="40"/>
      <c r="AW116" s="38"/>
      <c r="AX116" s="38"/>
      <c r="AY116" s="38"/>
      <c r="AZ116" s="38"/>
      <c r="BA116" s="38"/>
      <c r="BB116" s="38"/>
    </row>
    <row r="117" spans="1:54" ht="15" customHeight="1">
      <c r="A117" s="469">
        <f>'Box Schedule'!A122</f>
        <v>0</v>
      </c>
      <c r="B117" s="482">
        <f>'Box Schedule'!AV122</f>
        <v>0</v>
      </c>
      <c r="C117" s="483" t="str">
        <f>IF((B117&gt;0),(VLOOKUP(J117,'Valve Reference'!$A$2:$K$389,3)),"-")</f>
        <v>-</v>
      </c>
      <c r="D117" s="471" t="s">
        <v>577</v>
      </c>
      <c r="E117" s="484" t="str">
        <f>IF((B117&gt;0),('Vlookup Tables'!$B$37),"-")</f>
        <v>-</v>
      </c>
      <c r="F117" s="585" t="str">
        <f t="shared" si="7"/>
        <v>-</v>
      </c>
      <c r="G117" s="485" t="str">
        <f>IF((B117&gt;0),(VLOOKUP($B117,'Vlookup Tables'!$B$23:$F$33,2,TRUE)),"-")</f>
        <v>-</v>
      </c>
      <c r="H117" s="586" t="str">
        <f t="shared" si="8"/>
        <v>-</v>
      </c>
      <c r="I117" s="476" t="str">
        <f>IF((B117&gt;0),('Vlookup Tables'!$B$35),"-")</f>
        <v>-</v>
      </c>
      <c r="J117" s="477" t="str">
        <f>IF(B117&gt;0,(IF(D117="2-Way",VLOOKUP($G117,'Vlookup Tables'!$C$23:$F$33,2,FALSE),VLOOKUP($G117,'Vlookup Tables'!$C$23:$F$33,3,FALSE))),"-")</f>
        <v>-</v>
      </c>
      <c r="K117" s="478" t="str">
        <f>IF(B117&gt;0,(VLOOKUP(J117,'Valve Reference'!$A$2:$K$389,4)),"-")</f>
        <v>-</v>
      </c>
      <c r="L117" s="478" t="str">
        <f>IF(B117&gt;0,(VLOOKUP(J117,'Valve Reference'!$A$2:$K$389,5)),"-")</f>
        <v>-</v>
      </c>
      <c r="M117" s="478" t="str">
        <f>IF(B117&gt;0,(VLOOKUP(J117,'Valve Reference'!$A$2:$K$389,8)),"-")</f>
        <v>-</v>
      </c>
      <c r="N117" s="478" t="str">
        <f>IF(B117&gt;0,(VLOOKUP(J117,'Valve Reference'!$A$2:$K$389,10)),"-")</f>
        <v>-</v>
      </c>
      <c r="O117" s="479" t="str">
        <f>IF(B117&gt;0,(VLOOKUP(J117,'Valve Reference'!$A$2:$K$389,11)),"-")</f>
        <v>-</v>
      </c>
      <c r="P117" s="480" t="str">
        <f>IF(B117&gt;0,(VLOOKUP(I117,'Actuator Reference'!$A$2:$H$54,2)),"-")</f>
        <v>-</v>
      </c>
      <c r="Q117" s="480" t="str">
        <f>IF(B117&gt;0,(VLOOKUP(I117,'Actuator Reference'!$A$2:$H$54,5)),"-")</f>
        <v>-</v>
      </c>
      <c r="R117" s="480" t="str">
        <f>IF(B117&gt;0,(VLOOKUP(I117,'Actuator Reference'!$A$2:$H$54,6)),"-")</f>
        <v>-</v>
      </c>
      <c r="S117" s="480" t="str">
        <f>IF(B117&gt;0,(VLOOKUP(I117,'Actuator Reference'!$A$2:$H$54,7)),"-")</f>
        <v>-</v>
      </c>
      <c r="T117" s="481" t="str">
        <f>IF(B117&gt;0,(VLOOKUP(I117,'Actuator Reference'!$A$2:$H$54,8)),"-")</f>
        <v>-</v>
      </c>
      <c r="U117" s="39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5">
        <v>1</v>
      </c>
      <c r="AG117" s="35" t="s">
        <v>1097</v>
      </c>
      <c r="AH117" s="38" t="str">
        <f t="shared" si="9"/>
        <v>---</v>
      </c>
      <c r="AI117" s="594" t="str">
        <f t="shared" si="6"/>
        <v>=0</v>
      </c>
      <c r="AJ117" s="595" t="s">
        <v>1339</v>
      </c>
      <c r="AK117" s="593">
        <v>4</v>
      </c>
      <c r="AL117" s="593" t="s">
        <v>1338</v>
      </c>
      <c r="AM117" s="38"/>
      <c r="AN117" s="38"/>
      <c r="AO117" s="38"/>
      <c r="AP117" s="38"/>
      <c r="AQ117" s="38"/>
      <c r="AR117" s="38"/>
      <c r="AS117" s="38"/>
      <c r="AT117" s="38"/>
      <c r="AU117" s="38"/>
      <c r="AV117" s="40"/>
      <c r="AW117" s="38"/>
      <c r="AX117" s="38"/>
      <c r="AY117" s="38"/>
      <c r="AZ117" s="38"/>
      <c r="BA117" s="38"/>
      <c r="BB117" s="38"/>
    </row>
    <row r="118" spans="1:54" ht="15" customHeight="1">
      <c r="A118" s="469">
        <f>'Box Schedule'!A123</f>
        <v>0</v>
      </c>
      <c r="B118" s="482">
        <f>'Box Schedule'!AV123</f>
        <v>0</v>
      </c>
      <c r="C118" s="483" t="str">
        <f>IF((B118&gt;0),(VLOOKUP(J118,'Valve Reference'!$A$2:$K$389,3)),"-")</f>
        <v>-</v>
      </c>
      <c r="D118" s="471" t="s">
        <v>577</v>
      </c>
      <c r="E118" s="484" t="str">
        <f>IF((B118&gt;0),('Vlookup Tables'!$B$37),"-")</f>
        <v>-</v>
      </c>
      <c r="F118" s="585" t="str">
        <f t="shared" si="7"/>
        <v>-</v>
      </c>
      <c r="G118" s="485" t="str">
        <f>IF((B118&gt;0),(VLOOKUP($B118,'Vlookup Tables'!$B$23:$F$33,2,TRUE)),"-")</f>
        <v>-</v>
      </c>
      <c r="H118" s="586" t="str">
        <f t="shared" si="8"/>
        <v>-</v>
      </c>
      <c r="I118" s="476" t="str">
        <f>IF((B118&gt;0),('Vlookup Tables'!$B$35),"-")</f>
        <v>-</v>
      </c>
      <c r="J118" s="477" t="str">
        <f>IF(B118&gt;0,(IF(D118="2-Way",VLOOKUP($G118,'Vlookup Tables'!$C$23:$F$33,2,FALSE),VLOOKUP($G118,'Vlookup Tables'!$C$23:$F$33,3,FALSE))),"-")</f>
        <v>-</v>
      </c>
      <c r="K118" s="478" t="str">
        <f>IF(B118&gt;0,(VLOOKUP(J118,'Valve Reference'!$A$2:$K$389,4)),"-")</f>
        <v>-</v>
      </c>
      <c r="L118" s="478" t="str">
        <f>IF(B118&gt;0,(VLOOKUP(J118,'Valve Reference'!$A$2:$K$389,5)),"-")</f>
        <v>-</v>
      </c>
      <c r="M118" s="478" t="str">
        <f>IF(B118&gt;0,(VLOOKUP(J118,'Valve Reference'!$A$2:$K$389,8)),"-")</f>
        <v>-</v>
      </c>
      <c r="N118" s="478" t="str">
        <f>IF(B118&gt;0,(VLOOKUP(J118,'Valve Reference'!$A$2:$K$389,10)),"-")</f>
        <v>-</v>
      </c>
      <c r="O118" s="479" t="str">
        <f>IF(B118&gt;0,(VLOOKUP(J118,'Valve Reference'!$A$2:$K$389,11)),"-")</f>
        <v>-</v>
      </c>
      <c r="P118" s="480" t="str">
        <f>IF(B118&gt;0,(VLOOKUP(I118,'Actuator Reference'!$A$2:$H$54,2)),"-")</f>
        <v>-</v>
      </c>
      <c r="Q118" s="480" t="str">
        <f>IF(B118&gt;0,(VLOOKUP(I118,'Actuator Reference'!$A$2:$H$54,5)),"-")</f>
        <v>-</v>
      </c>
      <c r="R118" s="480" t="str">
        <f>IF(B118&gt;0,(VLOOKUP(I118,'Actuator Reference'!$A$2:$H$54,6)),"-")</f>
        <v>-</v>
      </c>
      <c r="S118" s="480" t="str">
        <f>IF(B118&gt;0,(VLOOKUP(I118,'Actuator Reference'!$A$2:$H$54,7)),"-")</f>
        <v>-</v>
      </c>
      <c r="T118" s="481" t="str">
        <f>IF(B118&gt;0,(VLOOKUP(I118,'Actuator Reference'!$A$2:$H$54,8)),"-")</f>
        <v>-</v>
      </c>
      <c r="U118" s="39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5">
        <v>1</v>
      </c>
      <c r="AG118" s="35" t="s">
        <v>1097</v>
      </c>
      <c r="AH118" s="38" t="str">
        <f t="shared" si="9"/>
        <v>---</v>
      </c>
      <c r="AI118" s="594" t="str">
        <f t="shared" si="6"/>
        <v>=0</v>
      </c>
      <c r="AJ118" s="595" t="s">
        <v>1339</v>
      </c>
      <c r="AK118" s="593">
        <v>4</v>
      </c>
      <c r="AL118" s="593" t="s">
        <v>1338</v>
      </c>
      <c r="AM118" s="38"/>
      <c r="AN118" s="38"/>
      <c r="AO118" s="38"/>
      <c r="AP118" s="38"/>
      <c r="AQ118" s="38"/>
      <c r="AR118" s="38"/>
      <c r="AS118" s="38"/>
      <c r="AT118" s="38"/>
      <c r="AU118" s="38"/>
      <c r="AV118" s="40"/>
      <c r="AW118" s="38"/>
      <c r="AX118" s="38"/>
      <c r="AY118" s="38"/>
      <c r="AZ118" s="38"/>
      <c r="BA118" s="38"/>
      <c r="BB118" s="38"/>
    </row>
    <row r="119" spans="1:54" ht="15" customHeight="1">
      <c r="A119" s="469">
        <f>'Box Schedule'!A124</f>
        <v>0</v>
      </c>
      <c r="B119" s="482">
        <f>'Box Schedule'!AV124</f>
        <v>0</v>
      </c>
      <c r="C119" s="483" t="str">
        <f>IF((B119&gt;0),(VLOOKUP(J119,'Valve Reference'!$A$2:$K$389,3)),"-")</f>
        <v>-</v>
      </c>
      <c r="D119" s="471" t="s">
        <v>577</v>
      </c>
      <c r="E119" s="484" t="str">
        <f>IF((B119&gt;0),('Vlookup Tables'!$B$37),"-")</f>
        <v>-</v>
      </c>
      <c r="F119" s="585" t="str">
        <f t="shared" si="7"/>
        <v>-</v>
      </c>
      <c r="G119" s="485" t="str">
        <f>IF((B119&gt;0),(VLOOKUP($B119,'Vlookup Tables'!$B$23:$F$33,2,TRUE)),"-")</f>
        <v>-</v>
      </c>
      <c r="H119" s="586" t="str">
        <f t="shared" si="8"/>
        <v>-</v>
      </c>
      <c r="I119" s="476" t="str">
        <f>IF((B119&gt;0),('Vlookup Tables'!$B$35),"-")</f>
        <v>-</v>
      </c>
      <c r="J119" s="477" t="str">
        <f>IF(B119&gt;0,(IF(D119="2-Way",VLOOKUP($G119,'Vlookup Tables'!$C$23:$F$33,2,FALSE),VLOOKUP($G119,'Vlookup Tables'!$C$23:$F$33,3,FALSE))),"-")</f>
        <v>-</v>
      </c>
      <c r="K119" s="478" t="str">
        <f>IF(B119&gt;0,(VLOOKUP(J119,'Valve Reference'!$A$2:$K$389,4)),"-")</f>
        <v>-</v>
      </c>
      <c r="L119" s="478" t="str">
        <f>IF(B119&gt;0,(VLOOKUP(J119,'Valve Reference'!$A$2:$K$389,5)),"-")</f>
        <v>-</v>
      </c>
      <c r="M119" s="478" t="str">
        <f>IF(B119&gt;0,(VLOOKUP(J119,'Valve Reference'!$A$2:$K$389,8)),"-")</f>
        <v>-</v>
      </c>
      <c r="N119" s="478" t="str">
        <f>IF(B119&gt;0,(VLOOKUP(J119,'Valve Reference'!$A$2:$K$389,10)),"-")</f>
        <v>-</v>
      </c>
      <c r="O119" s="479" t="str">
        <f>IF(B119&gt;0,(VLOOKUP(J119,'Valve Reference'!$A$2:$K$389,11)),"-")</f>
        <v>-</v>
      </c>
      <c r="P119" s="480" t="str">
        <f>IF(B119&gt;0,(VLOOKUP(I119,'Actuator Reference'!$A$2:$H$54,2)),"-")</f>
        <v>-</v>
      </c>
      <c r="Q119" s="480" t="str">
        <f>IF(B119&gt;0,(VLOOKUP(I119,'Actuator Reference'!$A$2:$H$54,5)),"-")</f>
        <v>-</v>
      </c>
      <c r="R119" s="480" t="str">
        <f>IF(B119&gt;0,(VLOOKUP(I119,'Actuator Reference'!$A$2:$H$54,6)),"-")</f>
        <v>-</v>
      </c>
      <c r="S119" s="480" t="str">
        <f>IF(B119&gt;0,(VLOOKUP(I119,'Actuator Reference'!$A$2:$H$54,7)),"-")</f>
        <v>-</v>
      </c>
      <c r="T119" s="481" t="str">
        <f>IF(B119&gt;0,(VLOOKUP(I119,'Actuator Reference'!$A$2:$H$54,8)),"-")</f>
        <v>-</v>
      </c>
      <c r="U119" s="39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5">
        <v>1</v>
      </c>
      <c r="AG119" s="35" t="s">
        <v>1097</v>
      </c>
      <c r="AH119" s="38" t="str">
        <f t="shared" si="9"/>
        <v>---</v>
      </c>
      <c r="AI119" s="594" t="str">
        <f t="shared" si="6"/>
        <v>=0</v>
      </c>
      <c r="AJ119" s="595" t="s">
        <v>1339</v>
      </c>
      <c r="AK119" s="593">
        <v>4</v>
      </c>
      <c r="AL119" s="593" t="s">
        <v>1338</v>
      </c>
      <c r="AM119" s="38"/>
      <c r="AN119" s="38"/>
      <c r="AO119" s="38"/>
      <c r="AP119" s="38"/>
      <c r="AQ119" s="38"/>
      <c r="AR119" s="38"/>
      <c r="AS119" s="38"/>
      <c r="AT119" s="38"/>
      <c r="AU119" s="38"/>
      <c r="AV119" s="40"/>
      <c r="AW119" s="38"/>
      <c r="AX119" s="38"/>
      <c r="AY119" s="38"/>
      <c r="AZ119" s="38"/>
      <c r="BA119" s="38"/>
      <c r="BB119" s="38"/>
    </row>
    <row r="120" spans="1:54" ht="15" customHeight="1">
      <c r="A120" s="469">
        <f>'Box Schedule'!A125</f>
        <v>0</v>
      </c>
      <c r="B120" s="482">
        <f>'Box Schedule'!AV125</f>
        <v>0</v>
      </c>
      <c r="C120" s="483" t="str">
        <f>IF((B120&gt;0),(VLOOKUP(J120,'Valve Reference'!$A$2:$K$389,3)),"-")</f>
        <v>-</v>
      </c>
      <c r="D120" s="471" t="s">
        <v>577</v>
      </c>
      <c r="E120" s="484" t="str">
        <f>IF((B120&gt;0),('Vlookup Tables'!$B$37),"-")</f>
        <v>-</v>
      </c>
      <c r="F120" s="585" t="str">
        <f t="shared" si="7"/>
        <v>-</v>
      </c>
      <c r="G120" s="485" t="str">
        <f>IF((B120&gt;0),(VLOOKUP($B120,'Vlookup Tables'!$B$23:$F$33,2,TRUE)),"-")</f>
        <v>-</v>
      </c>
      <c r="H120" s="586" t="str">
        <f t="shared" si="8"/>
        <v>-</v>
      </c>
      <c r="I120" s="476" t="str">
        <f>IF((B120&gt;0),('Vlookup Tables'!$B$35),"-")</f>
        <v>-</v>
      </c>
      <c r="J120" s="477" t="str">
        <f>IF(B120&gt;0,(IF(D120="2-Way",VLOOKUP($G120,'Vlookup Tables'!$C$23:$F$33,2,FALSE),VLOOKUP($G120,'Vlookup Tables'!$C$23:$F$33,3,FALSE))),"-")</f>
        <v>-</v>
      </c>
      <c r="K120" s="478" t="str">
        <f>IF(B120&gt;0,(VLOOKUP(J120,'Valve Reference'!$A$2:$K$389,4)),"-")</f>
        <v>-</v>
      </c>
      <c r="L120" s="478" t="str">
        <f>IF(B120&gt;0,(VLOOKUP(J120,'Valve Reference'!$A$2:$K$389,5)),"-")</f>
        <v>-</v>
      </c>
      <c r="M120" s="478" t="str">
        <f>IF(B120&gt;0,(VLOOKUP(J120,'Valve Reference'!$A$2:$K$389,8)),"-")</f>
        <v>-</v>
      </c>
      <c r="N120" s="478" t="str">
        <f>IF(B120&gt;0,(VLOOKUP(J120,'Valve Reference'!$A$2:$K$389,10)),"-")</f>
        <v>-</v>
      </c>
      <c r="O120" s="479" t="str">
        <f>IF(B120&gt;0,(VLOOKUP(J120,'Valve Reference'!$A$2:$K$389,11)),"-")</f>
        <v>-</v>
      </c>
      <c r="P120" s="480" t="str">
        <f>IF(B120&gt;0,(VLOOKUP(I120,'Actuator Reference'!$A$2:$H$54,2)),"-")</f>
        <v>-</v>
      </c>
      <c r="Q120" s="480" t="str">
        <f>IF(B120&gt;0,(VLOOKUP(I120,'Actuator Reference'!$A$2:$H$54,5)),"-")</f>
        <v>-</v>
      </c>
      <c r="R120" s="480" t="str">
        <f>IF(B120&gt;0,(VLOOKUP(I120,'Actuator Reference'!$A$2:$H$54,6)),"-")</f>
        <v>-</v>
      </c>
      <c r="S120" s="480" t="str">
        <f>IF(B120&gt;0,(VLOOKUP(I120,'Actuator Reference'!$A$2:$H$54,7)),"-")</f>
        <v>-</v>
      </c>
      <c r="T120" s="481" t="str">
        <f>IF(B120&gt;0,(VLOOKUP(I120,'Actuator Reference'!$A$2:$H$54,8)),"-")</f>
        <v>-</v>
      </c>
      <c r="U120" s="39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5">
        <v>1</v>
      </c>
      <c r="AG120" s="35" t="s">
        <v>1097</v>
      </c>
      <c r="AH120" s="38" t="str">
        <f t="shared" si="9"/>
        <v>---</v>
      </c>
      <c r="AI120" s="594" t="str">
        <f t="shared" si="6"/>
        <v>=0</v>
      </c>
      <c r="AJ120" s="595" t="s">
        <v>1339</v>
      </c>
      <c r="AK120" s="593">
        <v>4</v>
      </c>
      <c r="AL120" s="593" t="s">
        <v>1338</v>
      </c>
      <c r="AM120" s="38"/>
      <c r="AN120" s="38"/>
      <c r="AO120" s="38"/>
      <c r="AP120" s="38"/>
      <c r="AQ120" s="38"/>
      <c r="AR120" s="38"/>
      <c r="AS120" s="38"/>
      <c r="AT120" s="38"/>
      <c r="AU120" s="38"/>
      <c r="AV120" s="40"/>
      <c r="AW120" s="38"/>
      <c r="AX120" s="38"/>
      <c r="AY120" s="38"/>
      <c r="AZ120" s="38"/>
      <c r="BA120" s="38"/>
      <c r="BB120" s="38"/>
    </row>
    <row r="121" spans="1:54" ht="15" customHeight="1">
      <c r="A121" s="469">
        <f>'Box Schedule'!A126</f>
        <v>0</v>
      </c>
      <c r="B121" s="482">
        <f>'Box Schedule'!AV126</f>
        <v>0</v>
      </c>
      <c r="C121" s="483" t="str">
        <f>IF((B121&gt;0),(VLOOKUP(J121,'Valve Reference'!$A$2:$K$389,3)),"-")</f>
        <v>-</v>
      </c>
      <c r="D121" s="471" t="s">
        <v>577</v>
      </c>
      <c r="E121" s="484" t="str">
        <f>IF((B121&gt;0),('Vlookup Tables'!$B$37),"-")</f>
        <v>-</v>
      </c>
      <c r="F121" s="585" t="str">
        <f t="shared" si="7"/>
        <v>-</v>
      </c>
      <c r="G121" s="485" t="str">
        <f>IF((B121&gt;0),(VLOOKUP($B121,'Vlookup Tables'!$B$23:$F$33,2,TRUE)),"-")</f>
        <v>-</v>
      </c>
      <c r="H121" s="586" t="str">
        <f t="shared" si="8"/>
        <v>-</v>
      </c>
      <c r="I121" s="476" t="str">
        <f>IF((B121&gt;0),('Vlookup Tables'!$B$35),"-")</f>
        <v>-</v>
      </c>
      <c r="J121" s="477" t="str">
        <f>IF(B121&gt;0,(IF(D121="2-Way",VLOOKUP($G121,'Vlookup Tables'!$C$23:$F$33,2,FALSE),VLOOKUP($G121,'Vlookup Tables'!$C$23:$F$33,3,FALSE))),"-")</f>
        <v>-</v>
      </c>
      <c r="K121" s="478" t="str">
        <f>IF(B121&gt;0,(VLOOKUP(J121,'Valve Reference'!$A$2:$K$389,4)),"-")</f>
        <v>-</v>
      </c>
      <c r="L121" s="478" t="str">
        <f>IF(B121&gt;0,(VLOOKUP(J121,'Valve Reference'!$A$2:$K$389,5)),"-")</f>
        <v>-</v>
      </c>
      <c r="M121" s="478" t="str">
        <f>IF(B121&gt;0,(VLOOKUP(J121,'Valve Reference'!$A$2:$K$389,8)),"-")</f>
        <v>-</v>
      </c>
      <c r="N121" s="478" t="str">
        <f>IF(B121&gt;0,(VLOOKUP(J121,'Valve Reference'!$A$2:$K$389,10)),"-")</f>
        <v>-</v>
      </c>
      <c r="O121" s="479" t="str">
        <f>IF(B121&gt;0,(VLOOKUP(J121,'Valve Reference'!$A$2:$K$389,11)),"-")</f>
        <v>-</v>
      </c>
      <c r="P121" s="480" t="str">
        <f>IF(B121&gt;0,(VLOOKUP(I121,'Actuator Reference'!$A$2:$H$54,2)),"-")</f>
        <v>-</v>
      </c>
      <c r="Q121" s="480" t="str">
        <f>IF(B121&gt;0,(VLOOKUP(I121,'Actuator Reference'!$A$2:$H$54,5)),"-")</f>
        <v>-</v>
      </c>
      <c r="R121" s="480" t="str">
        <f>IF(B121&gt;0,(VLOOKUP(I121,'Actuator Reference'!$A$2:$H$54,6)),"-")</f>
        <v>-</v>
      </c>
      <c r="S121" s="480" t="str">
        <f>IF(B121&gt;0,(VLOOKUP(I121,'Actuator Reference'!$A$2:$H$54,7)),"-")</f>
        <v>-</v>
      </c>
      <c r="T121" s="481" t="str">
        <f>IF(B121&gt;0,(VLOOKUP(I121,'Actuator Reference'!$A$2:$H$54,8)),"-")</f>
        <v>-</v>
      </c>
      <c r="U121" s="39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5">
        <v>1</v>
      </c>
      <c r="AG121" s="35" t="s">
        <v>1097</v>
      </c>
      <c r="AH121" s="38" t="str">
        <f t="shared" si="9"/>
        <v>---</v>
      </c>
      <c r="AI121" s="594" t="str">
        <f t="shared" si="6"/>
        <v>=0</v>
      </c>
      <c r="AJ121" s="595" t="s">
        <v>1339</v>
      </c>
      <c r="AK121" s="593">
        <v>4</v>
      </c>
      <c r="AL121" s="593" t="s">
        <v>1338</v>
      </c>
      <c r="AM121" s="38"/>
      <c r="AN121" s="38"/>
      <c r="AO121" s="38"/>
      <c r="AP121" s="38"/>
      <c r="AQ121" s="38"/>
      <c r="AR121" s="38"/>
      <c r="AS121" s="38"/>
      <c r="AT121" s="38"/>
      <c r="AU121" s="38"/>
      <c r="AV121" s="40"/>
      <c r="AW121" s="38"/>
      <c r="AX121" s="38"/>
      <c r="AY121" s="38"/>
      <c r="AZ121" s="38"/>
      <c r="BA121" s="38"/>
      <c r="BB121" s="38"/>
    </row>
    <row r="122" spans="1:54" ht="15" customHeight="1">
      <c r="A122" s="469">
        <f>'Box Schedule'!A127</f>
        <v>0</v>
      </c>
      <c r="B122" s="482">
        <f>'Box Schedule'!AV127</f>
        <v>0</v>
      </c>
      <c r="C122" s="483" t="str">
        <f>IF((B122&gt;0),(VLOOKUP(J122,'Valve Reference'!$A$2:$K$389,3)),"-")</f>
        <v>-</v>
      </c>
      <c r="D122" s="471" t="s">
        <v>577</v>
      </c>
      <c r="E122" s="484" t="str">
        <f>IF((B122&gt;0),('Vlookup Tables'!$B$37),"-")</f>
        <v>-</v>
      </c>
      <c r="F122" s="585" t="str">
        <f t="shared" si="7"/>
        <v>-</v>
      </c>
      <c r="G122" s="485" t="str">
        <f>IF((B122&gt;0),(VLOOKUP($B122,'Vlookup Tables'!$B$23:$F$33,2,TRUE)),"-")</f>
        <v>-</v>
      </c>
      <c r="H122" s="586" t="str">
        <f t="shared" si="8"/>
        <v>-</v>
      </c>
      <c r="I122" s="476" t="str">
        <f>IF((B122&gt;0),('Vlookup Tables'!$B$35),"-")</f>
        <v>-</v>
      </c>
      <c r="J122" s="477" t="str">
        <f>IF(B122&gt;0,(IF(D122="2-Way",VLOOKUP($G122,'Vlookup Tables'!$C$23:$F$33,2,FALSE),VLOOKUP($G122,'Vlookup Tables'!$C$23:$F$33,3,FALSE))),"-")</f>
        <v>-</v>
      </c>
      <c r="K122" s="478" t="str">
        <f>IF(B122&gt;0,(VLOOKUP(J122,'Valve Reference'!$A$2:$K$389,4)),"-")</f>
        <v>-</v>
      </c>
      <c r="L122" s="478" t="str">
        <f>IF(B122&gt;0,(VLOOKUP(J122,'Valve Reference'!$A$2:$K$389,5)),"-")</f>
        <v>-</v>
      </c>
      <c r="M122" s="478" t="str">
        <f>IF(B122&gt;0,(VLOOKUP(J122,'Valve Reference'!$A$2:$K$389,8)),"-")</f>
        <v>-</v>
      </c>
      <c r="N122" s="478" t="str">
        <f>IF(B122&gt;0,(VLOOKUP(J122,'Valve Reference'!$A$2:$K$389,10)),"-")</f>
        <v>-</v>
      </c>
      <c r="O122" s="479" t="str">
        <f>IF(B122&gt;0,(VLOOKUP(J122,'Valve Reference'!$A$2:$K$389,11)),"-")</f>
        <v>-</v>
      </c>
      <c r="P122" s="480" t="str">
        <f>IF(B122&gt;0,(VLOOKUP(I122,'Actuator Reference'!$A$2:$H$54,2)),"-")</f>
        <v>-</v>
      </c>
      <c r="Q122" s="480" t="str">
        <f>IF(B122&gt;0,(VLOOKUP(I122,'Actuator Reference'!$A$2:$H$54,5)),"-")</f>
        <v>-</v>
      </c>
      <c r="R122" s="480" t="str">
        <f>IF(B122&gt;0,(VLOOKUP(I122,'Actuator Reference'!$A$2:$H$54,6)),"-")</f>
        <v>-</v>
      </c>
      <c r="S122" s="480" t="str">
        <f>IF(B122&gt;0,(VLOOKUP(I122,'Actuator Reference'!$A$2:$H$54,7)),"-")</f>
        <v>-</v>
      </c>
      <c r="T122" s="481" t="str">
        <f>IF(B122&gt;0,(VLOOKUP(I122,'Actuator Reference'!$A$2:$H$54,8)),"-")</f>
        <v>-</v>
      </c>
      <c r="U122" s="39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5">
        <v>1</v>
      </c>
      <c r="AG122" s="35" t="s">
        <v>1097</v>
      </c>
      <c r="AH122" s="38" t="str">
        <f t="shared" si="9"/>
        <v>---</v>
      </c>
      <c r="AI122" s="594" t="str">
        <f t="shared" si="6"/>
        <v>=0</v>
      </c>
      <c r="AJ122" s="595" t="s">
        <v>1339</v>
      </c>
      <c r="AK122" s="593">
        <v>4</v>
      </c>
      <c r="AL122" s="593" t="s">
        <v>1338</v>
      </c>
      <c r="AM122" s="38"/>
      <c r="AN122" s="38"/>
      <c r="AO122" s="38"/>
      <c r="AP122" s="38"/>
      <c r="AQ122" s="38"/>
      <c r="AR122" s="38"/>
      <c r="AS122" s="38"/>
      <c r="AT122" s="38"/>
      <c r="AU122" s="38"/>
      <c r="AV122" s="40"/>
      <c r="AW122" s="38"/>
      <c r="AX122" s="38"/>
      <c r="AY122" s="38"/>
      <c r="AZ122" s="38"/>
      <c r="BA122" s="38"/>
      <c r="BB122" s="38"/>
    </row>
    <row r="123" spans="1:54" ht="15" customHeight="1">
      <c r="A123" s="469">
        <f>'Box Schedule'!A128</f>
        <v>0</v>
      </c>
      <c r="B123" s="482">
        <f>'Box Schedule'!AV128</f>
        <v>0</v>
      </c>
      <c r="C123" s="483" t="str">
        <f>IF((B123&gt;0),(VLOOKUP(J123,'Valve Reference'!$A$2:$K$389,3)),"-")</f>
        <v>-</v>
      </c>
      <c r="D123" s="471" t="s">
        <v>577</v>
      </c>
      <c r="E123" s="484" t="str">
        <f>IF((B123&gt;0),('Vlookup Tables'!$B$37),"-")</f>
        <v>-</v>
      </c>
      <c r="F123" s="585" t="str">
        <f t="shared" si="7"/>
        <v>-</v>
      </c>
      <c r="G123" s="485" t="str">
        <f>IF((B123&gt;0),(VLOOKUP($B123,'Vlookup Tables'!$B$23:$F$33,2,TRUE)),"-")</f>
        <v>-</v>
      </c>
      <c r="H123" s="586" t="str">
        <f t="shared" si="8"/>
        <v>-</v>
      </c>
      <c r="I123" s="476" t="str">
        <f>IF((B123&gt;0),('Vlookup Tables'!$B$35),"-")</f>
        <v>-</v>
      </c>
      <c r="J123" s="477" t="str">
        <f>IF(B123&gt;0,(IF(D123="2-Way",VLOOKUP($G123,'Vlookup Tables'!$C$23:$F$33,2,FALSE),VLOOKUP($G123,'Vlookup Tables'!$C$23:$F$33,3,FALSE))),"-")</f>
        <v>-</v>
      </c>
      <c r="K123" s="478" t="str">
        <f>IF(B123&gt;0,(VLOOKUP(J123,'Valve Reference'!$A$2:$K$389,4)),"-")</f>
        <v>-</v>
      </c>
      <c r="L123" s="478" t="str">
        <f>IF(B123&gt;0,(VLOOKUP(J123,'Valve Reference'!$A$2:$K$389,5)),"-")</f>
        <v>-</v>
      </c>
      <c r="M123" s="478" t="str">
        <f>IF(B123&gt;0,(VLOOKUP(J123,'Valve Reference'!$A$2:$K$389,8)),"-")</f>
        <v>-</v>
      </c>
      <c r="N123" s="478" t="str">
        <f>IF(B123&gt;0,(VLOOKUP(J123,'Valve Reference'!$A$2:$K$389,10)),"-")</f>
        <v>-</v>
      </c>
      <c r="O123" s="479" t="str">
        <f>IF(B123&gt;0,(VLOOKUP(J123,'Valve Reference'!$A$2:$K$389,11)),"-")</f>
        <v>-</v>
      </c>
      <c r="P123" s="480" t="str">
        <f>IF(B123&gt;0,(VLOOKUP(I123,'Actuator Reference'!$A$2:$H$54,2)),"-")</f>
        <v>-</v>
      </c>
      <c r="Q123" s="480" t="str">
        <f>IF(B123&gt;0,(VLOOKUP(I123,'Actuator Reference'!$A$2:$H$54,5)),"-")</f>
        <v>-</v>
      </c>
      <c r="R123" s="480" t="str">
        <f>IF(B123&gt;0,(VLOOKUP(I123,'Actuator Reference'!$A$2:$H$54,6)),"-")</f>
        <v>-</v>
      </c>
      <c r="S123" s="480" t="str">
        <f>IF(B123&gt;0,(VLOOKUP(I123,'Actuator Reference'!$A$2:$H$54,7)),"-")</f>
        <v>-</v>
      </c>
      <c r="T123" s="481" t="str">
        <f>IF(B123&gt;0,(VLOOKUP(I123,'Actuator Reference'!$A$2:$H$54,8)),"-")</f>
        <v>-</v>
      </c>
      <c r="U123" s="39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5">
        <v>1</v>
      </c>
      <c r="AG123" s="35" t="s">
        <v>1097</v>
      </c>
      <c r="AH123" s="38" t="str">
        <f t="shared" si="9"/>
        <v>---</v>
      </c>
      <c r="AI123" s="594" t="str">
        <f t="shared" si="6"/>
        <v>=0</v>
      </c>
      <c r="AJ123" s="595" t="s">
        <v>1339</v>
      </c>
      <c r="AK123" s="593">
        <v>4</v>
      </c>
      <c r="AL123" s="593" t="s">
        <v>1338</v>
      </c>
      <c r="AM123" s="38"/>
      <c r="AN123" s="38"/>
      <c r="AO123" s="38"/>
      <c r="AP123" s="38"/>
      <c r="AQ123" s="38"/>
      <c r="AR123" s="38"/>
      <c r="AS123" s="38"/>
      <c r="AT123" s="38"/>
      <c r="AU123" s="38"/>
      <c r="AV123" s="40"/>
      <c r="AW123" s="38"/>
      <c r="AX123" s="38"/>
      <c r="AY123" s="38"/>
      <c r="AZ123" s="38"/>
      <c r="BA123" s="38"/>
      <c r="BB123" s="38"/>
    </row>
    <row r="124" spans="1:54" ht="15" customHeight="1">
      <c r="A124" s="469">
        <f>'Box Schedule'!A129</f>
        <v>0</v>
      </c>
      <c r="B124" s="482">
        <f>'Box Schedule'!AV129</f>
        <v>0</v>
      </c>
      <c r="C124" s="483" t="str">
        <f>IF((B124&gt;0),(VLOOKUP(J124,'Valve Reference'!$A$2:$K$389,3)),"-")</f>
        <v>-</v>
      </c>
      <c r="D124" s="471" t="s">
        <v>577</v>
      </c>
      <c r="E124" s="484" t="str">
        <f>IF((B124&gt;0),('Vlookup Tables'!$B$37),"-")</f>
        <v>-</v>
      </c>
      <c r="F124" s="585" t="str">
        <f t="shared" si="7"/>
        <v>-</v>
      </c>
      <c r="G124" s="485" t="str">
        <f>IF((B124&gt;0),(VLOOKUP($B124,'Vlookup Tables'!$B$23:$F$33,2,TRUE)),"-")</f>
        <v>-</v>
      </c>
      <c r="H124" s="586" t="str">
        <f t="shared" si="8"/>
        <v>-</v>
      </c>
      <c r="I124" s="476" t="str">
        <f>IF((B124&gt;0),('Vlookup Tables'!$B$35),"-")</f>
        <v>-</v>
      </c>
      <c r="J124" s="477" t="str">
        <f>IF(B124&gt;0,(IF(D124="2-Way",VLOOKUP($G124,'Vlookup Tables'!$C$23:$F$33,2,FALSE),VLOOKUP($G124,'Vlookup Tables'!$C$23:$F$33,3,FALSE))),"-")</f>
        <v>-</v>
      </c>
      <c r="K124" s="478" t="str">
        <f>IF(B124&gt;0,(VLOOKUP(J124,'Valve Reference'!$A$2:$K$389,4)),"-")</f>
        <v>-</v>
      </c>
      <c r="L124" s="478" t="str">
        <f>IF(B124&gt;0,(VLOOKUP(J124,'Valve Reference'!$A$2:$K$389,5)),"-")</f>
        <v>-</v>
      </c>
      <c r="M124" s="478" t="str">
        <f>IF(B124&gt;0,(VLOOKUP(J124,'Valve Reference'!$A$2:$K$389,8)),"-")</f>
        <v>-</v>
      </c>
      <c r="N124" s="478" t="str">
        <f>IF(B124&gt;0,(VLOOKUP(J124,'Valve Reference'!$A$2:$K$389,10)),"-")</f>
        <v>-</v>
      </c>
      <c r="O124" s="479" t="str">
        <f>IF(B124&gt;0,(VLOOKUP(J124,'Valve Reference'!$A$2:$K$389,11)),"-")</f>
        <v>-</v>
      </c>
      <c r="P124" s="480" t="str">
        <f>IF(B124&gt;0,(VLOOKUP(I124,'Actuator Reference'!$A$2:$H$54,2)),"-")</f>
        <v>-</v>
      </c>
      <c r="Q124" s="480" t="str">
        <f>IF(B124&gt;0,(VLOOKUP(I124,'Actuator Reference'!$A$2:$H$54,5)),"-")</f>
        <v>-</v>
      </c>
      <c r="R124" s="480" t="str">
        <f>IF(B124&gt;0,(VLOOKUP(I124,'Actuator Reference'!$A$2:$H$54,6)),"-")</f>
        <v>-</v>
      </c>
      <c r="S124" s="480" t="str">
        <f>IF(B124&gt;0,(VLOOKUP(I124,'Actuator Reference'!$A$2:$H$54,7)),"-")</f>
        <v>-</v>
      </c>
      <c r="T124" s="481" t="str">
        <f>IF(B124&gt;0,(VLOOKUP(I124,'Actuator Reference'!$A$2:$H$54,8)),"-")</f>
        <v>-</v>
      </c>
      <c r="U124" s="39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5">
        <v>1</v>
      </c>
      <c r="AG124" s="35" t="s">
        <v>1097</v>
      </c>
      <c r="AH124" s="38" t="str">
        <f t="shared" si="9"/>
        <v>---</v>
      </c>
      <c r="AI124" s="594" t="str">
        <f t="shared" si="6"/>
        <v>=0</v>
      </c>
      <c r="AJ124" s="595" t="s">
        <v>1339</v>
      </c>
      <c r="AK124" s="593">
        <v>4</v>
      </c>
      <c r="AL124" s="593" t="s">
        <v>1338</v>
      </c>
      <c r="AM124" s="38"/>
      <c r="AN124" s="38"/>
      <c r="AO124" s="38"/>
      <c r="AP124" s="38"/>
      <c r="AQ124" s="38"/>
      <c r="AR124" s="38"/>
      <c r="AS124" s="38"/>
      <c r="AT124" s="38"/>
      <c r="AU124" s="38"/>
      <c r="AV124" s="40"/>
      <c r="AW124" s="38"/>
      <c r="AX124" s="38"/>
      <c r="AY124" s="38"/>
      <c r="AZ124" s="38"/>
      <c r="BA124" s="38"/>
      <c r="BB124" s="38"/>
    </row>
    <row r="125" spans="1:54" ht="15" customHeight="1">
      <c r="A125" s="469">
        <f>'Box Schedule'!A130</f>
        <v>0</v>
      </c>
      <c r="B125" s="482">
        <f>'Box Schedule'!AV130</f>
        <v>0</v>
      </c>
      <c r="C125" s="483" t="str">
        <f>IF((B125&gt;0),(VLOOKUP(J125,'Valve Reference'!$A$2:$K$389,3)),"-")</f>
        <v>-</v>
      </c>
      <c r="D125" s="471" t="s">
        <v>577</v>
      </c>
      <c r="E125" s="484" t="str">
        <f>IF((B125&gt;0),('Vlookup Tables'!$B$37),"-")</f>
        <v>-</v>
      </c>
      <c r="F125" s="585" t="str">
        <f t="shared" si="7"/>
        <v>-</v>
      </c>
      <c r="G125" s="485" t="str">
        <f>IF((B125&gt;0),(VLOOKUP($B125,'Vlookup Tables'!$B$23:$F$33,2,TRUE)),"-")</f>
        <v>-</v>
      </c>
      <c r="H125" s="586" t="str">
        <f t="shared" si="8"/>
        <v>-</v>
      </c>
      <c r="I125" s="476" t="str">
        <f>IF((B125&gt;0),('Vlookup Tables'!$B$35),"-")</f>
        <v>-</v>
      </c>
      <c r="J125" s="477" t="str">
        <f>IF(B125&gt;0,(IF(D125="2-Way",VLOOKUP($G125,'Vlookup Tables'!$C$23:$F$33,2,FALSE),VLOOKUP($G125,'Vlookup Tables'!$C$23:$F$33,3,FALSE))),"-")</f>
        <v>-</v>
      </c>
      <c r="K125" s="478" t="str">
        <f>IF(B125&gt;0,(VLOOKUP(J125,'Valve Reference'!$A$2:$K$389,4)),"-")</f>
        <v>-</v>
      </c>
      <c r="L125" s="478" t="str">
        <f>IF(B125&gt;0,(VLOOKUP(J125,'Valve Reference'!$A$2:$K$389,5)),"-")</f>
        <v>-</v>
      </c>
      <c r="M125" s="478" t="str">
        <f>IF(B125&gt;0,(VLOOKUP(J125,'Valve Reference'!$A$2:$K$389,8)),"-")</f>
        <v>-</v>
      </c>
      <c r="N125" s="478" t="str">
        <f>IF(B125&gt;0,(VLOOKUP(J125,'Valve Reference'!$A$2:$K$389,10)),"-")</f>
        <v>-</v>
      </c>
      <c r="O125" s="479" t="str">
        <f>IF(B125&gt;0,(VLOOKUP(J125,'Valve Reference'!$A$2:$K$389,11)),"-")</f>
        <v>-</v>
      </c>
      <c r="P125" s="480" t="str">
        <f>IF(B125&gt;0,(VLOOKUP(I125,'Actuator Reference'!$A$2:$H$54,2)),"-")</f>
        <v>-</v>
      </c>
      <c r="Q125" s="480" t="str">
        <f>IF(B125&gt;0,(VLOOKUP(I125,'Actuator Reference'!$A$2:$H$54,5)),"-")</f>
        <v>-</v>
      </c>
      <c r="R125" s="480" t="str">
        <f>IF(B125&gt;0,(VLOOKUP(I125,'Actuator Reference'!$A$2:$H$54,6)),"-")</f>
        <v>-</v>
      </c>
      <c r="S125" s="480" t="str">
        <f>IF(B125&gt;0,(VLOOKUP(I125,'Actuator Reference'!$A$2:$H$54,7)),"-")</f>
        <v>-</v>
      </c>
      <c r="T125" s="481" t="str">
        <f>IF(B125&gt;0,(VLOOKUP(I125,'Actuator Reference'!$A$2:$H$54,8)),"-")</f>
        <v>-</v>
      </c>
      <c r="U125" s="39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5">
        <v>1</v>
      </c>
      <c r="AG125" s="35" t="s">
        <v>1097</v>
      </c>
      <c r="AH125" s="38" t="str">
        <f t="shared" si="9"/>
        <v>---</v>
      </c>
      <c r="AI125" s="594" t="str">
        <f t="shared" si="6"/>
        <v>=0</v>
      </c>
      <c r="AJ125" s="595" t="s">
        <v>1339</v>
      </c>
      <c r="AK125" s="593">
        <v>4</v>
      </c>
      <c r="AL125" s="593" t="s">
        <v>1338</v>
      </c>
      <c r="AM125" s="38"/>
      <c r="AN125" s="38"/>
      <c r="AO125" s="38"/>
      <c r="AP125" s="38"/>
      <c r="AQ125" s="38"/>
      <c r="AR125" s="38"/>
      <c r="AS125" s="38"/>
      <c r="AT125" s="38"/>
      <c r="AU125" s="38"/>
      <c r="AV125" s="40"/>
      <c r="AW125" s="38"/>
      <c r="AX125" s="38"/>
      <c r="AY125" s="38"/>
      <c r="AZ125" s="38"/>
      <c r="BA125" s="38"/>
      <c r="BB125" s="38"/>
    </row>
    <row r="126" spans="1:54" ht="15" customHeight="1">
      <c r="A126" s="469">
        <f>'Box Schedule'!A131</f>
        <v>0</v>
      </c>
      <c r="B126" s="482">
        <f>'Box Schedule'!AV131</f>
        <v>0</v>
      </c>
      <c r="C126" s="483" t="str">
        <f>IF((B126&gt;0),(VLOOKUP(J126,'Valve Reference'!$A$2:$K$389,3)),"-")</f>
        <v>-</v>
      </c>
      <c r="D126" s="471" t="s">
        <v>577</v>
      </c>
      <c r="E126" s="484" t="str">
        <f>IF((B126&gt;0),('Vlookup Tables'!$B$37),"-")</f>
        <v>-</v>
      </c>
      <c r="F126" s="585" t="str">
        <f t="shared" si="7"/>
        <v>-</v>
      </c>
      <c r="G126" s="485" t="str">
        <f>IF((B126&gt;0),(VLOOKUP($B126,'Vlookup Tables'!$B$23:$F$33,2,TRUE)),"-")</f>
        <v>-</v>
      </c>
      <c r="H126" s="586" t="str">
        <f t="shared" si="8"/>
        <v>-</v>
      </c>
      <c r="I126" s="476" t="str">
        <f>IF((B126&gt;0),('Vlookup Tables'!$B$35),"-")</f>
        <v>-</v>
      </c>
      <c r="J126" s="477" t="str">
        <f>IF(B126&gt;0,(IF(D126="2-Way",VLOOKUP($G126,'Vlookup Tables'!$C$23:$F$33,2,FALSE),VLOOKUP($G126,'Vlookup Tables'!$C$23:$F$33,3,FALSE))),"-")</f>
        <v>-</v>
      </c>
      <c r="K126" s="478" t="str">
        <f>IF(B126&gt;0,(VLOOKUP(J126,'Valve Reference'!$A$2:$K$389,4)),"-")</f>
        <v>-</v>
      </c>
      <c r="L126" s="478" t="str">
        <f>IF(B126&gt;0,(VLOOKUP(J126,'Valve Reference'!$A$2:$K$389,5)),"-")</f>
        <v>-</v>
      </c>
      <c r="M126" s="478" t="str">
        <f>IF(B126&gt;0,(VLOOKUP(J126,'Valve Reference'!$A$2:$K$389,8)),"-")</f>
        <v>-</v>
      </c>
      <c r="N126" s="478" t="str">
        <f>IF(B126&gt;0,(VLOOKUP(J126,'Valve Reference'!$A$2:$K$389,10)),"-")</f>
        <v>-</v>
      </c>
      <c r="O126" s="479" t="str">
        <f>IF(B126&gt;0,(VLOOKUP(J126,'Valve Reference'!$A$2:$K$389,11)),"-")</f>
        <v>-</v>
      </c>
      <c r="P126" s="480" t="str">
        <f>IF(B126&gt;0,(VLOOKUP(I126,'Actuator Reference'!$A$2:$H$54,2)),"-")</f>
        <v>-</v>
      </c>
      <c r="Q126" s="480" t="str">
        <f>IF(B126&gt;0,(VLOOKUP(I126,'Actuator Reference'!$A$2:$H$54,5)),"-")</f>
        <v>-</v>
      </c>
      <c r="R126" s="480" t="str">
        <f>IF(B126&gt;0,(VLOOKUP(I126,'Actuator Reference'!$A$2:$H$54,6)),"-")</f>
        <v>-</v>
      </c>
      <c r="S126" s="480" t="str">
        <f>IF(B126&gt;0,(VLOOKUP(I126,'Actuator Reference'!$A$2:$H$54,7)),"-")</f>
        <v>-</v>
      </c>
      <c r="T126" s="481" t="str">
        <f>IF(B126&gt;0,(VLOOKUP(I126,'Actuator Reference'!$A$2:$H$54,8)),"-")</f>
        <v>-</v>
      </c>
      <c r="U126" s="39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5">
        <v>1</v>
      </c>
      <c r="AG126" s="35" t="s">
        <v>1097</v>
      </c>
      <c r="AH126" s="38" t="str">
        <f t="shared" si="9"/>
        <v>---</v>
      </c>
      <c r="AI126" s="594" t="str">
        <f t="shared" si="6"/>
        <v>=0</v>
      </c>
      <c r="AJ126" s="595" t="s">
        <v>1339</v>
      </c>
      <c r="AK126" s="593">
        <v>4</v>
      </c>
      <c r="AL126" s="593" t="s">
        <v>1338</v>
      </c>
      <c r="AM126" s="38"/>
      <c r="AN126" s="38"/>
      <c r="AO126" s="38"/>
      <c r="AP126" s="38"/>
      <c r="AQ126" s="38"/>
      <c r="AR126" s="38"/>
      <c r="AS126" s="38"/>
      <c r="AT126" s="38"/>
      <c r="AU126" s="38"/>
      <c r="AV126" s="40"/>
      <c r="AW126" s="38"/>
      <c r="AX126" s="38"/>
      <c r="AY126" s="38"/>
      <c r="AZ126" s="38"/>
      <c r="BA126" s="38"/>
      <c r="BB126" s="38"/>
    </row>
    <row r="127" spans="1:54" ht="15" customHeight="1">
      <c r="A127" s="469">
        <f>'Box Schedule'!A132</f>
        <v>0</v>
      </c>
      <c r="B127" s="482">
        <f>'Box Schedule'!AV132</f>
        <v>0</v>
      </c>
      <c r="C127" s="483" t="str">
        <f>IF((B127&gt;0),(VLOOKUP(J127,'Valve Reference'!$A$2:$K$389,3)),"-")</f>
        <v>-</v>
      </c>
      <c r="D127" s="471" t="s">
        <v>577</v>
      </c>
      <c r="E127" s="484" t="str">
        <f>IF((B127&gt;0),('Vlookup Tables'!$B$37),"-")</f>
        <v>-</v>
      </c>
      <c r="F127" s="585" t="str">
        <f t="shared" si="7"/>
        <v>-</v>
      </c>
      <c r="G127" s="485" t="str">
        <f>IF((B127&gt;0),(VLOOKUP($B127,'Vlookup Tables'!$B$23:$F$33,2,TRUE)),"-")</f>
        <v>-</v>
      </c>
      <c r="H127" s="586" t="str">
        <f t="shared" si="8"/>
        <v>-</v>
      </c>
      <c r="I127" s="476" t="str">
        <f>IF((B127&gt;0),('Vlookup Tables'!$B$35),"-")</f>
        <v>-</v>
      </c>
      <c r="J127" s="477" t="str">
        <f>IF(B127&gt;0,(IF(D127="2-Way",VLOOKUP($G127,'Vlookup Tables'!$C$23:$F$33,2,FALSE),VLOOKUP($G127,'Vlookup Tables'!$C$23:$F$33,3,FALSE))),"-")</f>
        <v>-</v>
      </c>
      <c r="K127" s="478" t="str">
        <f>IF(B127&gt;0,(VLOOKUP(J127,'Valve Reference'!$A$2:$K$389,4)),"-")</f>
        <v>-</v>
      </c>
      <c r="L127" s="478" t="str">
        <f>IF(B127&gt;0,(VLOOKUP(J127,'Valve Reference'!$A$2:$K$389,5)),"-")</f>
        <v>-</v>
      </c>
      <c r="M127" s="478" t="str">
        <f>IF(B127&gt;0,(VLOOKUP(J127,'Valve Reference'!$A$2:$K$389,8)),"-")</f>
        <v>-</v>
      </c>
      <c r="N127" s="478" t="str">
        <f>IF(B127&gt;0,(VLOOKUP(J127,'Valve Reference'!$A$2:$K$389,10)),"-")</f>
        <v>-</v>
      </c>
      <c r="O127" s="479" t="str">
        <f>IF(B127&gt;0,(VLOOKUP(J127,'Valve Reference'!$A$2:$K$389,11)),"-")</f>
        <v>-</v>
      </c>
      <c r="P127" s="480" t="str">
        <f>IF(B127&gt;0,(VLOOKUP(I127,'Actuator Reference'!$A$2:$H$54,2)),"-")</f>
        <v>-</v>
      </c>
      <c r="Q127" s="480" t="str">
        <f>IF(B127&gt;0,(VLOOKUP(I127,'Actuator Reference'!$A$2:$H$54,5)),"-")</f>
        <v>-</v>
      </c>
      <c r="R127" s="480" t="str">
        <f>IF(B127&gt;0,(VLOOKUP(I127,'Actuator Reference'!$A$2:$H$54,6)),"-")</f>
        <v>-</v>
      </c>
      <c r="S127" s="480" t="str">
        <f>IF(B127&gt;0,(VLOOKUP(I127,'Actuator Reference'!$A$2:$H$54,7)),"-")</f>
        <v>-</v>
      </c>
      <c r="T127" s="481" t="str">
        <f>IF(B127&gt;0,(VLOOKUP(I127,'Actuator Reference'!$A$2:$H$54,8)),"-")</f>
        <v>-</v>
      </c>
      <c r="U127" s="39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5">
        <v>1</v>
      </c>
      <c r="AG127" s="35" t="s">
        <v>1097</v>
      </c>
      <c r="AH127" s="38" t="str">
        <f t="shared" si="9"/>
        <v>---</v>
      </c>
      <c r="AI127" s="594" t="str">
        <f t="shared" si="6"/>
        <v>=0</v>
      </c>
      <c r="AJ127" s="595" t="s">
        <v>1339</v>
      </c>
      <c r="AK127" s="593">
        <v>4</v>
      </c>
      <c r="AL127" s="593" t="s">
        <v>1338</v>
      </c>
      <c r="AM127" s="38"/>
      <c r="AN127" s="38"/>
      <c r="AO127" s="38"/>
      <c r="AP127" s="38"/>
      <c r="AQ127" s="38"/>
      <c r="AR127" s="38"/>
      <c r="AS127" s="38"/>
      <c r="AT127" s="38"/>
      <c r="AU127" s="38"/>
      <c r="AV127" s="40"/>
      <c r="AW127" s="38"/>
      <c r="AX127" s="38"/>
      <c r="AY127" s="38"/>
      <c r="AZ127" s="38"/>
      <c r="BA127" s="38"/>
      <c r="BB127" s="38"/>
    </row>
    <row r="128" spans="1:54" ht="15" customHeight="1">
      <c r="A128" s="469">
        <f>'Box Schedule'!A133</f>
        <v>0</v>
      </c>
      <c r="B128" s="482">
        <f>'Box Schedule'!AV133</f>
        <v>0</v>
      </c>
      <c r="C128" s="483" t="str">
        <f>IF((B128&gt;0),(VLOOKUP(J128,'Valve Reference'!$A$2:$K$389,3)),"-")</f>
        <v>-</v>
      </c>
      <c r="D128" s="471" t="s">
        <v>577</v>
      </c>
      <c r="E128" s="484" t="str">
        <f>IF((B128&gt;0),('Vlookup Tables'!$B$37),"-")</f>
        <v>-</v>
      </c>
      <c r="F128" s="585" t="str">
        <f t="shared" si="7"/>
        <v>-</v>
      </c>
      <c r="G128" s="485" t="str">
        <f>IF((B128&gt;0),(VLOOKUP($B128,'Vlookup Tables'!$B$23:$F$33,2,TRUE)),"-")</f>
        <v>-</v>
      </c>
      <c r="H128" s="586" t="str">
        <f t="shared" si="8"/>
        <v>-</v>
      </c>
      <c r="I128" s="476" t="str">
        <f>IF((B128&gt;0),('Vlookup Tables'!$B$35),"-")</f>
        <v>-</v>
      </c>
      <c r="J128" s="477" t="str">
        <f>IF(B128&gt;0,(IF(D128="2-Way",VLOOKUP($G128,'Vlookup Tables'!$C$23:$F$33,2,FALSE),VLOOKUP($G128,'Vlookup Tables'!$C$23:$F$33,3,FALSE))),"-")</f>
        <v>-</v>
      </c>
      <c r="K128" s="478" t="str">
        <f>IF(B128&gt;0,(VLOOKUP(J128,'Valve Reference'!$A$2:$K$389,4)),"-")</f>
        <v>-</v>
      </c>
      <c r="L128" s="478" t="str">
        <f>IF(B128&gt;0,(VLOOKUP(J128,'Valve Reference'!$A$2:$K$389,5)),"-")</f>
        <v>-</v>
      </c>
      <c r="M128" s="478" t="str">
        <f>IF(B128&gt;0,(VLOOKUP(J128,'Valve Reference'!$A$2:$K$389,8)),"-")</f>
        <v>-</v>
      </c>
      <c r="N128" s="478" t="str">
        <f>IF(B128&gt;0,(VLOOKUP(J128,'Valve Reference'!$A$2:$K$389,10)),"-")</f>
        <v>-</v>
      </c>
      <c r="O128" s="479" t="str">
        <f>IF(B128&gt;0,(VLOOKUP(J128,'Valve Reference'!$A$2:$K$389,11)),"-")</f>
        <v>-</v>
      </c>
      <c r="P128" s="480" t="str">
        <f>IF(B128&gt;0,(VLOOKUP(I128,'Actuator Reference'!$A$2:$H$54,2)),"-")</f>
        <v>-</v>
      </c>
      <c r="Q128" s="480" t="str">
        <f>IF(B128&gt;0,(VLOOKUP(I128,'Actuator Reference'!$A$2:$H$54,5)),"-")</f>
        <v>-</v>
      </c>
      <c r="R128" s="480" t="str">
        <f>IF(B128&gt;0,(VLOOKUP(I128,'Actuator Reference'!$A$2:$H$54,6)),"-")</f>
        <v>-</v>
      </c>
      <c r="S128" s="480" t="str">
        <f>IF(B128&gt;0,(VLOOKUP(I128,'Actuator Reference'!$A$2:$H$54,7)),"-")</f>
        <v>-</v>
      </c>
      <c r="T128" s="481" t="str">
        <f>IF(B128&gt;0,(VLOOKUP(I128,'Actuator Reference'!$A$2:$H$54,8)),"-")</f>
        <v>-</v>
      </c>
      <c r="U128" s="39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5">
        <v>1</v>
      </c>
      <c r="AG128" s="35" t="s">
        <v>1097</v>
      </c>
      <c r="AH128" s="38" t="str">
        <f t="shared" si="9"/>
        <v>---</v>
      </c>
      <c r="AI128" s="594" t="str">
        <f t="shared" si="6"/>
        <v>=0</v>
      </c>
      <c r="AJ128" s="595" t="s">
        <v>1339</v>
      </c>
      <c r="AK128" s="593">
        <v>4</v>
      </c>
      <c r="AL128" s="593" t="s">
        <v>1338</v>
      </c>
      <c r="AM128" s="38"/>
      <c r="AN128" s="38"/>
      <c r="AO128" s="38"/>
      <c r="AP128" s="38"/>
      <c r="AQ128" s="38"/>
      <c r="AR128" s="38"/>
      <c r="AS128" s="38"/>
      <c r="AT128" s="38"/>
      <c r="AU128" s="38"/>
      <c r="AV128" s="40"/>
      <c r="AW128" s="38"/>
      <c r="AX128" s="38"/>
      <c r="AY128" s="38"/>
      <c r="AZ128" s="38"/>
      <c r="BA128" s="38"/>
      <c r="BB128" s="38"/>
    </row>
    <row r="129" spans="1:54" ht="15" customHeight="1">
      <c r="A129" s="469">
        <f>'Box Schedule'!A134</f>
        <v>0</v>
      </c>
      <c r="B129" s="482">
        <f>'Box Schedule'!AV134</f>
        <v>0</v>
      </c>
      <c r="C129" s="483" t="str">
        <f>IF((B129&gt;0),(VLOOKUP(J129,'Valve Reference'!$A$2:$K$389,3)),"-")</f>
        <v>-</v>
      </c>
      <c r="D129" s="471" t="s">
        <v>577</v>
      </c>
      <c r="E129" s="484" t="str">
        <f>IF((B129&gt;0),('Vlookup Tables'!$B$37),"-")</f>
        <v>-</v>
      </c>
      <c r="F129" s="585" t="str">
        <f t="shared" si="7"/>
        <v>-</v>
      </c>
      <c r="G129" s="485" t="str">
        <f>IF((B129&gt;0),(VLOOKUP($B129,'Vlookup Tables'!$B$23:$F$33,2,TRUE)),"-")</f>
        <v>-</v>
      </c>
      <c r="H129" s="586" t="str">
        <f t="shared" si="8"/>
        <v>-</v>
      </c>
      <c r="I129" s="476" t="str">
        <f>IF((B129&gt;0),('Vlookup Tables'!$B$35),"-")</f>
        <v>-</v>
      </c>
      <c r="J129" s="477" t="str">
        <f>IF(B129&gt;0,(IF(D129="2-Way",VLOOKUP($G129,'Vlookup Tables'!$C$23:$F$33,2,FALSE),VLOOKUP($G129,'Vlookup Tables'!$C$23:$F$33,3,FALSE))),"-")</f>
        <v>-</v>
      </c>
      <c r="K129" s="478" t="str">
        <f>IF(B129&gt;0,(VLOOKUP(J129,'Valve Reference'!$A$2:$K$389,4)),"-")</f>
        <v>-</v>
      </c>
      <c r="L129" s="478" t="str">
        <f>IF(B129&gt;0,(VLOOKUP(J129,'Valve Reference'!$A$2:$K$389,5)),"-")</f>
        <v>-</v>
      </c>
      <c r="M129" s="478" t="str">
        <f>IF(B129&gt;0,(VLOOKUP(J129,'Valve Reference'!$A$2:$K$389,8)),"-")</f>
        <v>-</v>
      </c>
      <c r="N129" s="478" t="str">
        <f>IF(B129&gt;0,(VLOOKUP(J129,'Valve Reference'!$A$2:$K$389,10)),"-")</f>
        <v>-</v>
      </c>
      <c r="O129" s="479" t="str">
        <f>IF(B129&gt;0,(VLOOKUP(J129,'Valve Reference'!$A$2:$K$389,11)),"-")</f>
        <v>-</v>
      </c>
      <c r="P129" s="480" t="str">
        <f>IF(B129&gt;0,(VLOOKUP(I129,'Actuator Reference'!$A$2:$H$54,2)),"-")</f>
        <v>-</v>
      </c>
      <c r="Q129" s="480" t="str">
        <f>IF(B129&gt;0,(VLOOKUP(I129,'Actuator Reference'!$A$2:$H$54,5)),"-")</f>
        <v>-</v>
      </c>
      <c r="R129" s="480" t="str">
        <f>IF(B129&gt;0,(VLOOKUP(I129,'Actuator Reference'!$A$2:$H$54,6)),"-")</f>
        <v>-</v>
      </c>
      <c r="S129" s="480" t="str">
        <f>IF(B129&gt;0,(VLOOKUP(I129,'Actuator Reference'!$A$2:$H$54,7)),"-")</f>
        <v>-</v>
      </c>
      <c r="T129" s="481" t="str">
        <f>IF(B129&gt;0,(VLOOKUP(I129,'Actuator Reference'!$A$2:$H$54,8)),"-")</f>
        <v>-</v>
      </c>
      <c r="U129" s="39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5">
        <v>1</v>
      </c>
      <c r="AG129" s="35" t="s">
        <v>1097</v>
      </c>
      <c r="AH129" s="38" t="str">
        <f t="shared" si="9"/>
        <v>---</v>
      </c>
      <c r="AI129" s="594" t="str">
        <f t="shared" si="6"/>
        <v>=0</v>
      </c>
      <c r="AJ129" s="595" t="s">
        <v>1339</v>
      </c>
      <c r="AK129" s="593">
        <v>4</v>
      </c>
      <c r="AL129" s="593" t="s">
        <v>1338</v>
      </c>
      <c r="AM129" s="38"/>
      <c r="AN129" s="38"/>
      <c r="AO129" s="38"/>
      <c r="AP129" s="38"/>
      <c r="AQ129" s="38"/>
      <c r="AR129" s="38"/>
      <c r="AS129" s="38"/>
      <c r="AT129" s="38"/>
      <c r="AU129" s="38"/>
      <c r="AV129" s="40"/>
      <c r="AW129" s="38"/>
      <c r="AX129" s="38"/>
      <c r="AY129" s="38"/>
      <c r="AZ129" s="38"/>
      <c r="BA129" s="38"/>
      <c r="BB129" s="38"/>
    </row>
    <row r="130" spans="1:54" ht="15" customHeight="1">
      <c r="A130" s="469">
        <f>'Box Schedule'!A135</f>
        <v>0</v>
      </c>
      <c r="B130" s="482">
        <f>'Box Schedule'!AV135</f>
        <v>0</v>
      </c>
      <c r="C130" s="483" t="str">
        <f>IF((B130&gt;0),(VLOOKUP(J130,'Valve Reference'!$A$2:$K$389,3)),"-")</f>
        <v>-</v>
      </c>
      <c r="D130" s="471" t="s">
        <v>577</v>
      </c>
      <c r="E130" s="484" t="str">
        <f>IF((B130&gt;0),('Vlookup Tables'!$B$37),"-")</f>
        <v>-</v>
      </c>
      <c r="F130" s="585" t="str">
        <f t="shared" si="7"/>
        <v>-</v>
      </c>
      <c r="G130" s="485" t="str">
        <f>IF((B130&gt;0),(VLOOKUP($B130,'Vlookup Tables'!$B$23:$F$33,2,TRUE)),"-")</f>
        <v>-</v>
      </c>
      <c r="H130" s="586" t="str">
        <f t="shared" si="8"/>
        <v>-</v>
      </c>
      <c r="I130" s="476" t="str">
        <f>IF((B130&gt;0),('Vlookup Tables'!$B$35),"-")</f>
        <v>-</v>
      </c>
      <c r="J130" s="477" t="str">
        <f>IF(B130&gt;0,(IF(D130="2-Way",VLOOKUP($G130,'Vlookup Tables'!$C$23:$F$33,2,FALSE),VLOOKUP($G130,'Vlookup Tables'!$C$23:$F$33,3,FALSE))),"-")</f>
        <v>-</v>
      </c>
      <c r="K130" s="478" t="str">
        <f>IF(B130&gt;0,(VLOOKUP(J130,'Valve Reference'!$A$2:$K$389,4)),"-")</f>
        <v>-</v>
      </c>
      <c r="L130" s="478" t="str">
        <f>IF(B130&gt;0,(VLOOKUP(J130,'Valve Reference'!$A$2:$K$389,5)),"-")</f>
        <v>-</v>
      </c>
      <c r="M130" s="478" t="str">
        <f>IF(B130&gt;0,(VLOOKUP(J130,'Valve Reference'!$A$2:$K$389,8)),"-")</f>
        <v>-</v>
      </c>
      <c r="N130" s="478" t="str">
        <f>IF(B130&gt;0,(VLOOKUP(J130,'Valve Reference'!$A$2:$K$389,10)),"-")</f>
        <v>-</v>
      </c>
      <c r="O130" s="479" t="str">
        <f>IF(B130&gt;0,(VLOOKUP(J130,'Valve Reference'!$A$2:$K$389,11)),"-")</f>
        <v>-</v>
      </c>
      <c r="P130" s="480" t="str">
        <f>IF(B130&gt;0,(VLOOKUP(I130,'Actuator Reference'!$A$2:$H$54,2)),"-")</f>
        <v>-</v>
      </c>
      <c r="Q130" s="480" t="str">
        <f>IF(B130&gt;0,(VLOOKUP(I130,'Actuator Reference'!$A$2:$H$54,5)),"-")</f>
        <v>-</v>
      </c>
      <c r="R130" s="480" t="str">
        <f>IF(B130&gt;0,(VLOOKUP(I130,'Actuator Reference'!$A$2:$H$54,6)),"-")</f>
        <v>-</v>
      </c>
      <c r="S130" s="480" t="str">
        <f>IF(B130&gt;0,(VLOOKUP(I130,'Actuator Reference'!$A$2:$H$54,7)),"-")</f>
        <v>-</v>
      </c>
      <c r="T130" s="481" t="str">
        <f>IF(B130&gt;0,(VLOOKUP(I130,'Actuator Reference'!$A$2:$H$54,8)),"-")</f>
        <v>-</v>
      </c>
      <c r="U130" s="39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5">
        <v>1</v>
      </c>
      <c r="AG130" s="35" t="s">
        <v>1097</v>
      </c>
      <c r="AH130" s="38" t="str">
        <f t="shared" si="9"/>
        <v>---</v>
      </c>
      <c r="AI130" s="594" t="str">
        <f t="shared" si="6"/>
        <v>=0</v>
      </c>
      <c r="AJ130" s="595" t="s">
        <v>1339</v>
      </c>
      <c r="AK130" s="593">
        <v>4</v>
      </c>
      <c r="AL130" s="593" t="s">
        <v>1338</v>
      </c>
      <c r="AM130" s="38"/>
      <c r="AN130" s="38"/>
      <c r="AO130" s="38"/>
      <c r="AP130" s="38"/>
      <c r="AQ130" s="38"/>
      <c r="AR130" s="38"/>
      <c r="AS130" s="38"/>
      <c r="AT130" s="38"/>
      <c r="AU130" s="38"/>
      <c r="AV130" s="40"/>
      <c r="AW130" s="38"/>
      <c r="AX130" s="38"/>
      <c r="AY130" s="38"/>
      <c r="AZ130" s="38"/>
      <c r="BA130" s="38"/>
      <c r="BB130" s="38"/>
    </row>
    <row r="131" spans="1:54" ht="15" customHeight="1">
      <c r="A131" s="469">
        <f>'Box Schedule'!A136</f>
        <v>0</v>
      </c>
      <c r="B131" s="482">
        <f>'Box Schedule'!AV136</f>
        <v>0</v>
      </c>
      <c r="C131" s="483" t="str">
        <f>IF((B131&gt;0),(VLOOKUP(J131,'Valve Reference'!$A$2:$K$389,3)),"-")</f>
        <v>-</v>
      </c>
      <c r="D131" s="471" t="s">
        <v>577</v>
      </c>
      <c r="E131" s="484" t="str">
        <f>IF((B131&gt;0),('Vlookup Tables'!$B$37),"-")</f>
        <v>-</v>
      </c>
      <c r="F131" s="585" t="str">
        <f t="shared" si="7"/>
        <v>-</v>
      </c>
      <c r="G131" s="485" t="str">
        <f>IF((B131&gt;0),(VLOOKUP($B131,'Vlookup Tables'!$B$23:$F$33,2,TRUE)),"-")</f>
        <v>-</v>
      </c>
      <c r="H131" s="586" t="str">
        <f t="shared" si="8"/>
        <v>-</v>
      </c>
      <c r="I131" s="476" t="str">
        <f>IF((B131&gt;0),('Vlookup Tables'!$B$35),"-")</f>
        <v>-</v>
      </c>
      <c r="J131" s="477" t="str">
        <f>IF(B131&gt;0,(IF(D131="2-Way",VLOOKUP($G131,'Vlookup Tables'!$C$23:$F$33,2,FALSE),VLOOKUP($G131,'Vlookup Tables'!$C$23:$F$33,3,FALSE))),"-")</f>
        <v>-</v>
      </c>
      <c r="K131" s="478" t="str">
        <f>IF(B131&gt;0,(VLOOKUP(J131,'Valve Reference'!$A$2:$K$389,4)),"-")</f>
        <v>-</v>
      </c>
      <c r="L131" s="478" t="str">
        <f>IF(B131&gt;0,(VLOOKUP(J131,'Valve Reference'!$A$2:$K$389,5)),"-")</f>
        <v>-</v>
      </c>
      <c r="M131" s="478" t="str">
        <f>IF(B131&gt;0,(VLOOKUP(J131,'Valve Reference'!$A$2:$K$389,8)),"-")</f>
        <v>-</v>
      </c>
      <c r="N131" s="478" t="str">
        <f>IF(B131&gt;0,(VLOOKUP(J131,'Valve Reference'!$A$2:$K$389,10)),"-")</f>
        <v>-</v>
      </c>
      <c r="O131" s="479" t="str">
        <f>IF(B131&gt;0,(VLOOKUP(J131,'Valve Reference'!$A$2:$K$389,11)),"-")</f>
        <v>-</v>
      </c>
      <c r="P131" s="480" t="str">
        <f>IF(B131&gt;0,(VLOOKUP(I131,'Actuator Reference'!$A$2:$H$54,2)),"-")</f>
        <v>-</v>
      </c>
      <c r="Q131" s="480" t="str">
        <f>IF(B131&gt;0,(VLOOKUP(I131,'Actuator Reference'!$A$2:$H$54,5)),"-")</f>
        <v>-</v>
      </c>
      <c r="R131" s="480" t="str">
        <f>IF(B131&gt;0,(VLOOKUP(I131,'Actuator Reference'!$A$2:$H$54,6)),"-")</f>
        <v>-</v>
      </c>
      <c r="S131" s="480" t="str">
        <f>IF(B131&gt;0,(VLOOKUP(I131,'Actuator Reference'!$A$2:$H$54,7)),"-")</f>
        <v>-</v>
      </c>
      <c r="T131" s="481" t="str">
        <f>IF(B131&gt;0,(VLOOKUP(I131,'Actuator Reference'!$A$2:$H$54,8)),"-")</f>
        <v>-</v>
      </c>
      <c r="U131" s="39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5">
        <v>1</v>
      </c>
      <c r="AG131" s="35" t="s">
        <v>1097</v>
      </c>
      <c r="AH131" s="38" t="str">
        <f t="shared" si="9"/>
        <v>---</v>
      </c>
      <c r="AI131" s="594" t="str">
        <f t="shared" si="6"/>
        <v>=0</v>
      </c>
      <c r="AJ131" s="595" t="s">
        <v>1339</v>
      </c>
      <c r="AK131" s="593">
        <v>4</v>
      </c>
      <c r="AL131" s="593" t="s">
        <v>1338</v>
      </c>
      <c r="AM131" s="38"/>
      <c r="AN131" s="38"/>
      <c r="AO131" s="38"/>
      <c r="AP131" s="38"/>
      <c r="AQ131" s="38"/>
      <c r="AR131" s="38"/>
      <c r="AS131" s="38"/>
      <c r="AT131" s="38"/>
      <c r="AU131" s="38"/>
      <c r="AV131" s="40"/>
      <c r="AW131" s="38"/>
      <c r="AX131" s="38"/>
      <c r="AY131" s="38"/>
      <c r="AZ131" s="38"/>
      <c r="BA131" s="38"/>
      <c r="BB131" s="38"/>
    </row>
    <row r="132" spans="1:54" ht="15" customHeight="1">
      <c r="A132" s="469">
        <f>'Box Schedule'!A137</f>
        <v>0</v>
      </c>
      <c r="B132" s="482">
        <f>'Box Schedule'!AV137</f>
        <v>0</v>
      </c>
      <c r="C132" s="483" t="str">
        <f>IF((B132&gt;0),(VLOOKUP(J132,'Valve Reference'!$A$2:$K$389,3)),"-")</f>
        <v>-</v>
      </c>
      <c r="D132" s="471" t="s">
        <v>577</v>
      </c>
      <c r="E132" s="484" t="str">
        <f>IF((B132&gt;0),('Vlookup Tables'!$B$37),"-")</f>
        <v>-</v>
      </c>
      <c r="F132" s="585" t="str">
        <f t="shared" si="7"/>
        <v>-</v>
      </c>
      <c r="G132" s="485" t="str">
        <f>IF((B132&gt;0),(VLOOKUP($B132,'Vlookup Tables'!$B$23:$F$33,2,TRUE)),"-")</f>
        <v>-</v>
      </c>
      <c r="H132" s="586" t="str">
        <f t="shared" si="8"/>
        <v>-</v>
      </c>
      <c r="I132" s="476" t="str">
        <f>IF((B132&gt;0),('Vlookup Tables'!$B$35),"-")</f>
        <v>-</v>
      </c>
      <c r="J132" s="477" t="str">
        <f>IF(B132&gt;0,(IF(D132="2-Way",VLOOKUP($G132,'Vlookup Tables'!$C$23:$F$33,2,FALSE),VLOOKUP($G132,'Vlookup Tables'!$C$23:$F$33,3,FALSE))),"-")</f>
        <v>-</v>
      </c>
      <c r="K132" s="478" t="str">
        <f>IF(B132&gt;0,(VLOOKUP(J132,'Valve Reference'!$A$2:$K$389,4)),"-")</f>
        <v>-</v>
      </c>
      <c r="L132" s="478" t="str">
        <f>IF(B132&gt;0,(VLOOKUP(J132,'Valve Reference'!$A$2:$K$389,5)),"-")</f>
        <v>-</v>
      </c>
      <c r="M132" s="478" t="str">
        <f>IF(B132&gt;0,(VLOOKUP(J132,'Valve Reference'!$A$2:$K$389,8)),"-")</f>
        <v>-</v>
      </c>
      <c r="N132" s="478" t="str">
        <f>IF(B132&gt;0,(VLOOKUP(J132,'Valve Reference'!$A$2:$K$389,10)),"-")</f>
        <v>-</v>
      </c>
      <c r="O132" s="479" t="str">
        <f>IF(B132&gt;0,(VLOOKUP(J132,'Valve Reference'!$A$2:$K$389,11)),"-")</f>
        <v>-</v>
      </c>
      <c r="P132" s="480" t="str">
        <f>IF(B132&gt;0,(VLOOKUP(I132,'Actuator Reference'!$A$2:$H$54,2)),"-")</f>
        <v>-</v>
      </c>
      <c r="Q132" s="480" t="str">
        <f>IF(B132&gt;0,(VLOOKUP(I132,'Actuator Reference'!$A$2:$H$54,5)),"-")</f>
        <v>-</v>
      </c>
      <c r="R132" s="480" t="str">
        <f>IF(B132&gt;0,(VLOOKUP(I132,'Actuator Reference'!$A$2:$H$54,6)),"-")</f>
        <v>-</v>
      </c>
      <c r="S132" s="480" t="str">
        <f>IF(B132&gt;0,(VLOOKUP(I132,'Actuator Reference'!$A$2:$H$54,7)),"-")</f>
        <v>-</v>
      </c>
      <c r="T132" s="481" t="str">
        <f>IF(B132&gt;0,(VLOOKUP(I132,'Actuator Reference'!$A$2:$H$54,8)),"-")</f>
        <v>-</v>
      </c>
      <c r="U132" s="39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5">
        <v>1</v>
      </c>
      <c r="AG132" s="35" t="s">
        <v>1097</v>
      </c>
      <c r="AH132" s="38" t="str">
        <f t="shared" si="9"/>
        <v>---</v>
      </c>
      <c r="AI132" s="594" t="str">
        <f t="shared" si="6"/>
        <v>=0</v>
      </c>
      <c r="AJ132" s="595" t="s">
        <v>1339</v>
      </c>
      <c r="AK132" s="593">
        <v>4</v>
      </c>
      <c r="AL132" s="593" t="s">
        <v>1338</v>
      </c>
      <c r="AM132" s="38"/>
      <c r="AN132" s="38"/>
      <c r="AO132" s="38"/>
      <c r="AP132" s="38"/>
      <c r="AQ132" s="38"/>
      <c r="AR132" s="38"/>
      <c r="AS132" s="38"/>
      <c r="AT132" s="38"/>
      <c r="AU132" s="38"/>
      <c r="AV132" s="40"/>
      <c r="AW132" s="38"/>
      <c r="AX132" s="38"/>
      <c r="AY132" s="38"/>
      <c r="AZ132" s="38"/>
      <c r="BA132" s="38"/>
      <c r="BB132" s="38"/>
    </row>
    <row r="133" spans="1:54" ht="15" customHeight="1">
      <c r="A133" s="469">
        <f>'Box Schedule'!A138</f>
        <v>0</v>
      </c>
      <c r="B133" s="482">
        <f>'Box Schedule'!AV138</f>
        <v>0</v>
      </c>
      <c r="C133" s="483" t="str">
        <f>IF((B133&gt;0),(VLOOKUP(J133,'Valve Reference'!$A$2:$K$389,3)),"-")</f>
        <v>-</v>
      </c>
      <c r="D133" s="471" t="s">
        <v>577</v>
      </c>
      <c r="E133" s="484" t="str">
        <f>IF((B133&gt;0),('Vlookup Tables'!$B$37),"-")</f>
        <v>-</v>
      </c>
      <c r="F133" s="585" t="str">
        <f t="shared" si="7"/>
        <v>-</v>
      </c>
      <c r="G133" s="485" t="str">
        <f>IF((B133&gt;0),(VLOOKUP($B133,'Vlookup Tables'!$B$23:$F$33,2,TRUE)),"-")</f>
        <v>-</v>
      </c>
      <c r="H133" s="586" t="str">
        <f t="shared" si="8"/>
        <v>-</v>
      </c>
      <c r="I133" s="476" t="str">
        <f>IF((B133&gt;0),('Vlookup Tables'!$B$35),"-")</f>
        <v>-</v>
      </c>
      <c r="J133" s="477" t="str">
        <f>IF(B133&gt;0,(IF(D133="2-Way",VLOOKUP($G133,'Vlookup Tables'!$C$23:$F$33,2,FALSE),VLOOKUP($G133,'Vlookup Tables'!$C$23:$F$33,3,FALSE))),"-")</f>
        <v>-</v>
      </c>
      <c r="K133" s="478" t="str">
        <f>IF(B133&gt;0,(VLOOKUP(J133,'Valve Reference'!$A$2:$K$389,4)),"-")</f>
        <v>-</v>
      </c>
      <c r="L133" s="478" t="str">
        <f>IF(B133&gt;0,(VLOOKUP(J133,'Valve Reference'!$A$2:$K$389,5)),"-")</f>
        <v>-</v>
      </c>
      <c r="M133" s="478" t="str">
        <f>IF(B133&gt;0,(VLOOKUP(J133,'Valve Reference'!$A$2:$K$389,8)),"-")</f>
        <v>-</v>
      </c>
      <c r="N133" s="478" t="str">
        <f>IF(B133&gt;0,(VLOOKUP(J133,'Valve Reference'!$A$2:$K$389,10)),"-")</f>
        <v>-</v>
      </c>
      <c r="O133" s="479" t="str">
        <f>IF(B133&gt;0,(VLOOKUP(J133,'Valve Reference'!$A$2:$K$389,11)),"-")</f>
        <v>-</v>
      </c>
      <c r="P133" s="480" t="str">
        <f>IF(B133&gt;0,(VLOOKUP(I133,'Actuator Reference'!$A$2:$H$54,2)),"-")</f>
        <v>-</v>
      </c>
      <c r="Q133" s="480" t="str">
        <f>IF(B133&gt;0,(VLOOKUP(I133,'Actuator Reference'!$A$2:$H$54,5)),"-")</f>
        <v>-</v>
      </c>
      <c r="R133" s="480" t="str">
        <f>IF(B133&gt;0,(VLOOKUP(I133,'Actuator Reference'!$A$2:$H$54,6)),"-")</f>
        <v>-</v>
      </c>
      <c r="S133" s="480" t="str">
        <f>IF(B133&gt;0,(VLOOKUP(I133,'Actuator Reference'!$A$2:$H$54,7)),"-")</f>
        <v>-</v>
      </c>
      <c r="T133" s="481" t="str">
        <f>IF(B133&gt;0,(VLOOKUP(I133,'Actuator Reference'!$A$2:$H$54,8)),"-")</f>
        <v>-</v>
      </c>
      <c r="U133" s="39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5">
        <v>1</v>
      </c>
      <c r="AG133" s="35" t="s">
        <v>1097</v>
      </c>
      <c r="AH133" s="38" t="str">
        <f t="shared" si="9"/>
        <v>---</v>
      </c>
      <c r="AI133" s="594" t="str">
        <f t="shared" ref="AI133:AI153" si="10">CONCATENATE("=",A133)</f>
        <v>=0</v>
      </c>
      <c r="AJ133" s="595" t="s">
        <v>1339</v>
      </c>
      <c r="AK133" s="593">
        <v>4</v>
      </c>
      <c r="AL133" s="593" t="s">
        <v>1338</v>
      </c>
      <c r="AM133" s="38"/>
      <c r="AN133" s="38"/>
      <c r="AO133" s="38"/>
      <c r="AP133" s="38"/>
      <c r="AQ133" s="38"/>
      <c r="AR133" s="38"/>
      <c r="AS133" s="38"/>
      <c r="AT133" s="38"/>
      <c r="AU133" s="38"/>
      <c r="AV133" s="40"/>
      <c r="AW133" s="38"/>
      <c r="AX133" s="38"/>
      <c r="AY133" s="38"/>
      <c r="AZ133" s="38"/>
      <c r="BA133" s="38"/>
      <c r="BB133" s="38"/>
    </row>
    <row r="134" spans="1:54" ht="15" customHeight="1">
      <c r="A134" s="469" t="e">
        <f>'Box Schedule'!#REF!</f>
        <v>#REF!</v>
      </c>
      <c r="B134" s="482" t="e">
        <f>'Box Schedule'!#REF!</f>
        <v>#REF!</v>
      </c>
      <c r="C134" s="483" t="e">
        <f>IF((B134&gt;0),(VLOOKUP(J134,'Valve Reference'!$A$2:$K$389,3)),"-")</f>
        <v>#REF!</v>
      </c>
      <c r="D134" s="471" t="s">
        <v>577</v>
      </c>
      <c r="E134" s="484" t="e">
        <f>IF((B134&gt;0),('Vlookup Tables'!$B$37),"-")</f>
        <v>#REF!</v>
      </c>
      <c r="F134" s="585" t="e">
        <f t="shared" ref="F134:F153" si="11">IF((B134&gt;0),(B134/SQRT(E134)),"-")</f>
        <v>#REF!</v>
      </c>
      <c r="G134" s="485" t="e">
        <f>IF((B134&gt;0),(VLOOKUP($B134,'Vlookup Tables'!$B$23:$F$33,2,TRUE)),"-")</f>
        <v>#REF!</v>
      </c>
      <c r="H134" s="586" t="e">
        <f t="shared" ref="H134:H153" si="12">IF((B134&gt;0),(1/((G134/B134)^2)),"-")</f>
        <v>#REF!</v>
      </c>
      <c r="I134" s="476" t="e">
        <f>IF((B134&gt;0),('Vlookup Tables'!$B$35),"-")</f>
        <v>#REF!</v>
      </c>
      <c r="J134" s="477" t="e">
        <f>IF(B134&gt;0,(IF(D134="2-Way",VLOOKUP($G134,'Vlookup Tables'!$C$23:$F$33,2,FALSE),VLOOKUP($G134,'Vlookup Tables'!$C$23:$F$33,3,FALSE))),"-")</f>
        <v>#REF!</v>
      </c>
      <c r="K134" s="478" t="e">
        <f>IF(B134&gt;0,(VLOOKUP(J134,'Valve Reference'!$A$2:$K$389,4)),"-")</f>
        <v>#REF!</v>
      </c>
      <c r="L134" s="478" t="e">
        <f>IF(B134&gt;0,(VLOOKUP(J134,'Valve Reference'!$A$2:$K$389,5)),"-")</f>
        <v>#REF!</v>
      </c>
      <c r="M134" s="478" t="e">
        <f>IF(B134&gt;0,(VLOOKUP(J134,'Valve Reference'!$A$2:$K$389,8)),"-")</f>
        <v>#REF!</v>
      </c>
      <c r="N134" s="478" t="e">
        <f>IF(B134&gt;0,(VLOOKUP(J134,'Valve Reference'!$A$2:$K$389,10)),"-")</f>
        <v>#REF!</v>
      </c>
      <c r="O134" s="479" t="e">
        <f>IF(B134&gt;0,(VLOOKUP(J134,'Valve Reference'!$A$2:$K$389,11)),"-")</f>
        <v>#REF!</v>
      </c>
      <c r="P134" s="480" t="e">
        <f>IF(B134&gt;0,(VLOOKUP(I134,'Actuator Reference'!$A$2:$H$54,2)),"-")</f>
        <v>#REF!</v>
      </c>
      <c r="Q134" s="480" t="e">
        <f>IF(B134&gt;0,(VLOOKUP(I134,'Actuator Reference'!$A$2:$H$54,5)),"-")</f>
        <v>#REF!</v>
      </c>
      <c r="R134" s="480" t="e">
        <f>IF(B134&gt;0,(VLOOKUP(I134,'Actuator Reference'!$A$2:$H$54,6)),"-")</f>
        <v>#REF!</v>
      </c>
      <c r="S134" s="480" t="e">
        <f>IF(B134&gt;0,(VLOOKUP(I134,'Actuator Reference'!$A$2:$H$54,7)),"-")</f>
        <v>#REF!</v>
      </c>
      <c r="T134" s="481" t="e">
        <f>IF(B134&gt;0,(VLOOKUP(I134,'Actuator Reference'!$A$2:$H$54,8)),"-")</f>
        <v>#REF!</v>
      </c>
      <c r="U134" s="39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5">
        <v>1</v>
      </c>
      <c r="AG134" s="35" t="s">
        <v>1097</v>
      </c>
      <c r="AH134" s="38" t="e">
        <f t="shared" si="9"/>
        <v>#REF!</v>
      </c>
      <c r="AI134" s="594" t="e">
        <f t="shared" si="10"/>
        <v>#REF!</v>
      </c>
      <c r="AJ134" s="595" t="s">
        <v>1339</v>
      </c>
      <c r="AK134" s="593">
        <v>4</v>
      </c>
      <c r="AL134" s="593" t="s">
        <v>1338</v>
      </c>
      <c r="AM134" s="38"/>
      <c r="AN134" s="38"/>
      <c r="AO134" s="38"/>
      <c r="AP134" s="38"/>
      <c r="AQ134" s="38"/>
      <c r="AR134" s="38"/>
      <c r="AS134" s="38"/>
      <c r="AT134" s="38"/>
      <c r="AU134" s="38"/>
      <c r="AV134" s="40"/>
      <c r="AW134" s="38"/>
      <c r="AX134" s="38"/>
      <c r="AY134" s="38"/>
      <c r="AZ134" s="38"/>
      <c r="BA134" s="38"/>
      <c r="BB134" s="38"/>
    </row>
    <row r="135" spans="1:54" ht="15" customHeight="1">
      <c r="A135" s="469" t="e">
        <f>'Box Schedule'!#REF!</f>
        <v>#REF!</v>
      </c>
      <c r="B135" s="482" t="e">
        <f>'Box Schedule'!#REF!</f>
        <v>#REF!</v>
      </c>
      <c r="C135" s="483" t="e">
        <f>IF((B135&gt;0),(VLOOKUP(J135,'Valve Reference'!$A$2:$K$389,3)),"-")</f>
        <v>#REF!</v>
      </c>
      <c r="D135" s="471" t="s">
        <v>577</v>
      </c>
      <c r="E135" s="484" t="e">
        <f>IF((B135&gt;0),('Vlookup Tables'!$B$37),"-")</f>
        <v>#REF!</v>
      </c>
      <c r="F135" s="585" t="e">
        <f t="shared" si="11"/>
        <v>#REF!</v>
      </c>
      <c r="G135" s="485" t="e">
        <f>IF((B135&gt;0),(VLOOKUP($B135,'Vlookup Tables'!$B$23:$F$33,2,TRUE)),"-")</f>
        <v>#REF!</v>
      </c>
      <c r="H135" s="586" t="e">
        <f t="shared" si="12"/>
        <v>#REF!</v>
      </c>
      <c r="I135" s="476" t="e">
        <f>IF((B135&gt;0),('Vlookup Tables'!$B$35),"-")</f>
        <v>#REF!</v>
      </c>
      <c r="J135" s="477" t="e">
        <f>IF(B135&gt;0,(IF(D135="2-Way",VLOOKUP($G135,'Vlookup Tables'!$C$23:$F$33,2,FALSE),VLOOKUP($G135,'Vlookup Tables'!$C$23:$F$33,3,FALSE))),"-")</f>
        <v>#REF!</v>
      </c>
      <c r="K135" s="478" t="e">
        <f>IF(B135&gt;0,(VLOOKUP(J135,'Valve Reference'!$A$2:$K$389,4)),"-")</f>
        <v>#REF!</v>
      </c>
      <c r="L135" s="478" t="e">
        <f>IF(B135&gt;0,(VLOOKUP(J135,'Valve Reference'!$A$2:$K$389,5)),"-")</f>
        <v>#REF!</v>
      </c>
      <c r="M135" s="478" t="e">
        <f>IF(B135&gt;0,(VLOOKUP(J135,'Valve Reference'!$A$2:$K$389,8)),"-")</f>
        <v>#REF!</v>
      </c>
      <c r="N135" s="478" t="e">
        <f>IF(B135&gt;0,(VLOOKUP(J135,'Valve Reference'!$A$2:$K$389,10)),"-")</f>
        <v>#REF!</v>
      </c>
      <c r="O135" s="479" t="e">
        <f>IF(B135&gt;0,(VLOOKUP(J135,'Valve Reference'!$A$2:$K$389,11)),"-")</f>
        <v>#REF!</v>
      </c>
      <c r="P135" s="480" t="e">
        <f>IF(B135&gt;0,(VLOOKUP(I135,'Actuator Reference'!$A$2:$H$54,2)),"-")</f>
        <v>#REF!</v>
      </c>
      <c r="Q135" s="480" t="e">
        <f>IF(B135&gt;0,(VLOOKUP(I135,'Actuator Reference'!$A$2:$H$54,5)),"-")</f>
        <v>#REF!</v>
      </c>
      <c r="R135" s="480" t="e">
        <f>IF(B135&gt;0,(VLOOKUP(I135,'Actuator Reference'!$A$2:$H$54,6)),"-")</f>
        <v>#REF!</v>
      </c>
      <c r="S135" s="480" t="e">
        <f>IF(B135&gt;0,(VLOOKUP(I135,'Actuator Reference'!$A$2:$H$54,7)),"-")</f>
        <v>#REF!</v>
      </c>
      <c r="T135" s="481" t="e">
        <f>IF(B135&gt;0,(VLOOKUP(I135,'Actuator Reference'!$A$2:$H$54,8)),"-")</f>
        <v>#REF!</v>
      </c>
      <c r="U135" s="39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5">
        <v>1</v>
      </c>
      <c r="AG135" s="35" t="s">
        <v>1097</v>
      </c>
      <c r="AH135" s="38" t="e">
        <f t="shared" si="9"/>
        <v>#REF!</v>
      </c>
      <c r="AI135" s="594" t="e">
        <f t="shared" si="10"/>
        <v>#REF!</v>
      </c>
      <c r="AJ135" s="595" t="s">
        <v>1339</v>
      </c>
      <c r="AK135" s="593">
        <v>4</v>
      </c>
      <c r="AL135" s="593" t="s">
        <v>1338</v>
      </c>
      <c r="AM135" s="38"/>
      <c r="AN135" s="38"/>
      <c r="AO135" s="38"/>
      <c r="AP135" s="38"/>
      <c r="AQ135" s="38"/>
      <c r="AR135" s="38"/>
      <c r="AS135" s="38"/>
      <c r="AT135" s="38"/>
      <c r="AU135" s="38"/>
      <c r="AV135" s="40"/>
      <c r="AW135" s="38"/>
      <c r="AX135" s="38"/>
      <c r="AY135" s="38"/>
      <c r="AZ135" s="38"/>
      <c r="BA135" s="38"/>
      <c r="BB135" s="38"/>
    </row>
    <row r="136" spans="1:54" ht="15" customHeight="1">
      <c r="A136" s="469" t="e">
        <f>'Box Schedule'!#REF!</f>
        <v>#REF!</v>
      </c>
      <c r="B136" s="482" t="e">
        <f>'Box Schedule'!#REF!</f>
        <v>#REF!</v>
      </c>
      <c r="C136" s="483" t="e">
        <f>IF((B136&gt;0),(VLOOKUP(J136,'Valve Reference'!$A$2:$K$389,3)),"-")</f>
        <v>#REF!</v>
      </c>
      <c r="D136" s="471" t="s">
        <v>577</v>
      </c>
      <c r="E136" s="484" t="e">
        <f>IF((B136&gt;0),('Vlookup Tables'!$B$37),"-")</f>
        <v>#REF!</v>
      </c>
      <c r="F136" s="585" t="e">
        <f t="shared" si="11"/>
        <v>#REF!</v>
      </c>
      <c r="G136" s="485" t="e">
        <f>IF((B136&gt;0),(VLOOKUP($B136,'Vlookup Tables'!$B$23:$F$33,2,TRUE)),"-")</f>
        <v>#REF!</v>
      </c>
      <c r="H136" s="586" t="e">
        <f t="shared" si="12"/>
        <v>#REF!</v>
      </c>
      <c r="I136" s="476" t="e">
        <f>IF((B136&gt;0),('Vlookup Tables'!$B$35),"-")</f>
        <v>#REF!</v>
      </c>
      <c r="J136" s="477" t="e">
        <f>IF(B136&gt;0,(IF(D136="2-Way",VLOOKUP($G136,'Vlookup Tables'!$C$23:$F$33,2,FALSE),VLOOKUP($G136,'Vlookup Tables'!$C$23:$F$33,3,FALSE))),"-")</f>
        <v>#REF!</v>
      </c>
      <c r="K136" s="478" t="e">
        <f>IF(B136&gt;0,(VLOOKUP(J136,'Valve Reference'!$A$2:$K$389,4)),"-")</f>
        <v>#REF!</v>
      </c>
      <c r="L136" s="478" t="e">
        <f>IF(B136&gt;0,(VLOOKUP(J136,'Valve Reference'!$A$2:$K$389,5)),"-")</f>
        <v>#REF!</v>
      </c>
      <c r="M136" s="478" t="e">
        <f>IF(B136&gt;0,(VLOOKUP(J136,'Valve Reference'!$A$2:$K$389,8)),"-")</f>
        <v>#REF!</v>
      </c>
      <c r="N136" s="478" t="e">
        <f>IF(B136&gt;0,(VLOOKUP(J136,'Valve Reference'!$A$2:$K$389,10)),"-")</f>
        <v>#REF!</v>
      </c>
      <c r="O136" s="479" t="e">
        <f>IF(B136&gt;0,(VLOOKUP(J136,'Valve Reference'!$A$2:$K$389,11)),"-")</f>
        <v>#REF!</v>
      </c>
      <c r="P136" s="480" t="e">
        <f>IF(B136&gt;0,(VLOOKUP(I136,'Actuator Reference'!$A$2:$H$54,2)),"-")</f>
        <v>#REF!</v>
      </c>
      <c r="Q136" s="480" t="e">
        <f>IF(B136&gt;0,(VLOOKUP(I136,'Actuator Reference'!$A$2:$H$54,5)),"-")</f>
        <v>#REF!</v>
      </c>
      <c r="R136" s="480" t="e">
        <f>IF(B136&gt;0,(VLOOKUP(I136,'Actuator Reference'!$A$2:$H$54,6)),"-")</f>
        <v>#REF!</v>
      </c>
      <c r="S136" s="480" t="e">
        <f>IF(B136&gt;0,(VLOOKUP(I136,'Actuator Reference'!$A$2:$H$54,7)),"-")</f>
        <v>#REF!</v>
      </c>
      <c r="T136" s="481" t="e">
        <f>IF(B136&gt;0,(VLOOKUP(I136,'Actuator Reference'!$A$2:$H$54,8)),"-")</f>
        <v>#REF!</v>
      </c>
      <c r="U136" s="39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5">
        <v>1</v>
      </c>
      <c r="AG136" s="35" t="s">
        <v>1097</v>
      </c>
      <c r="AH136" s="38" t="e">
        <f t="shared" si="9"/>
        <v>#REF!</v>
      </c>
      <c r="AI136" s="594" t="e">
        <f t="shared" si="10"/>
        <v>#REF!</v>
      </c>
      <c r="AJ136" s="595" t="s">
        <v>1339</v>
      </c>
      <c r="AK136" s="593">
        <v>4</v>
      </c>
      <c r="AL136" s="593" t="s">
        <v>1338</v>
      </c>
      <c r="AM136" s="38"/>
      <c r="AN136" s="38"/>
      <c r="AO136" s="38"/>
      <c r="AP136" s="38"/>
      <c r="AQ136" s="38"/>
      <c r="AR136" s="38"/>
      <c r="AS136" s="38"/>
      <c r="AT136" s="38"/>
      <c r="AU136" s="38"/>
      <c r="AV136" s="40"/>
      <c r="AW136" s="38"/>
      <c r="AX136" s="38"/>
      <c r="AY136" s="38"/>
      <c r="AZ136" s="38"/>
      <c r="BA136" s="38"/>
      <c r="BB136" s="38"/>
    </row>
    <row r="137" spans="1:54" ht="15" customHeight="1">
      <c r="A137" s="469" t="e">
        <f>'Box Schedule'!#REF!</f>
        <v>#REF!</v>
      </c>
      <c r="B137" s="482" t="e">
        <f>'Box Schedule'!#REF!</f>
        <v>#REF!</v>
      </c>
      <c r="C137" s="483" t="e">
        <f>IF((B137&gt;0),(VLOOKUP(J137,'Valve Reference'!$A$2:$K$389,3)),"-")</f>
        <v>#REF!</v>
      </c>
      <c r="D137" s="471" t="s">
        <v>577</v>
      </c>
      <c r="E137" s="484" t="e">
        <f>IF((B137&gt;0),('Vlookup Tables'!$B$37),"-")</f>
        <v>#REF!</v>
      </c>
      <c r="F137" s="585" t="e">
        <f t="shared" si="11"/>
        <v>#REF!</v>
      </c>
      <c r="G137" s="485" t="e">
        <f>IF((B137&gt;0),(VLOOKUP($B137,'Vlookup Tables'!$B$23:$F$33,2,TRUE)),"-")</f>
        <v>#REF!</v>
      </c>
      <c r="H137" s="586" t="e">
        <f t="shared" si="12"/>
        <v>#REF!</v>
      </c>
      <c r="I137" s="476" t="e">
        <f>IF((B137&gt;0),('Vlookup Tables'!$B$35),"-")</f>
        <v>#REF!</v>
      </c>
      <c r="J137" s="477" t="e">
        <f>IF(B137&gt;0,(IF(D137="2-Way",VLOOKUP($G137,'Vlookup Tables'!$C$23:$F$33,2,FALSE),VLOOKUP($G137,'Vlookup Tables'!$C$23:$F$33,3,FALSE))),"-")</f>
        <v>#REF!</v>
      </c>
      <c r="K137" s="478" t="e">
        <f>IF(B137&gt;0,(VLOOKUP(J137,'Valve Reference'!$A$2:$K$389,4)),"-")</f>
        <v>#REF!</v>
      </c>
      <c r="L137" s="478" t="e">
        <f>IF(B137&gt;0,(VLOOKUP(J137,'Valve Reference'!$A$2:$K$389,5)),"-")</f>
        <v>#REF!</v>
      </c>
      <c r="M137" s="478" t="e">
        <f>IF(B137&gt;0,(VLOOKUP(J137,'Valve Reference'!$A$2:$K$389,8)),"-")</f>
        <v>#REF!</v>
      </c>
      <c r="N137" s="478" t="e">
        <f>IF(B137&gt;0,(VLOOKUP(J137,'Valve Reference'!$A$2:$K$389,10)),"-")</f>
        <v>#REF!</v>
      </c>
      <c r="O137" s="479" t="e">
        <f>IF(B137&gt;0,(VLOOKUP(J137,'Valve Reference'!$A$2:$K$389,11)),"-")</f>
        <v>#REF!</v>
      </c>
      <c r="P137" s="480" t="e">
        <f>IF(B137&gt;0,(VLOOKUP(I137,'Actuator Reference'!$A$2:$H$54,2)),"-")</f>
        <v>#REF!</v>
      </c>
      <c r="Q137" s="480" t="e">
        <f>IF(B137&gt;0,(VLOOKUP(I137,'Actuator Reference'!$A$2:$H$54,5)),"-")</f>
        <v>#REF!</v>
      </c>
      <c r="R137" s="480" t="e">
        <f>IF(B137&gt;0,(VLOOKUP(I137,'Actuator Reference'!$A$2:$H$54,6)),"-")</f>
        <v>#REF!</v>
      </c>
      <c r="S137" s="480" t="e">
        <f>IF(B137&gt;0,(VLOOKUP(I137,'Actuator Reference'!$A$2:$H$54,7)),"-")</f>
        <v>#REF!</v>
      </c>
      <c r="T137" s="481" t="e">
        <f>IF(B137&gt;0,(VLOOKUP(I137,'Actuator Reference'!$A$2:$H$54,8)),"-")</f>
        <v>#REF!</v>
      </c>
      <c r="U137" s="39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5">
        <v>1</v>
      </c>
      <c r="AG137" s="35" t="s">
        <v>1097</v>
      </c>
      <c r="AH137" s="38" t="e">
        <f t="shared" si="9"/>
        <v>#REF!</v>
      </c>
      <c r="AI137" s="594" t="e">
        <f t="shared" si="10"/>
        <v>#REF!</v>
      </c>
      <c r="AJ137" s="595" t="s">
        <v>1339</v>
      </c>
      <c r="AK137" s="593">
        <v>4</v>
      </c>
      <c r="AL137" s="593" t="s">
        <v>1338</v>
      </c>
      <c r="AM137" s="38"/>
      <c r="AN137" s="38"/>
      <c r="AO137" s="38"/>
      <c r="AP137" s="38"/>
      <c r="AQ137" s="38"/>
      <c r="AR137" s="38"/>
      <c r="AS137" s="38"/>
      <c r="AT137" s="38"/>
      <c r="AU137" s="38"/>
      <c r="AV137" s="40"/>
      <c r="AW137" s="38"/>
      <c r="AX137" s="38"/>
      <c r="AY137" s="38"/>
      <c r="AZ137" s="38"/>
      <c r="BA137" s="38"/>
      <c r="BB137" s="38"/>
    </row>
    <row r="138" spans="1:54" ht="15" customHeight="1">
      <c r="A138" s="469" t="e">
        <f>'Box Schedule'!#REF!</f>
        <v>#REF!</v>
      </c>
      <c r="B138" s="482" t="e">
        <f>'Box Schedule'!#REF!</f>
        <v>#REF!</v>
      </c>
      <c r="C138" s="483" t="e">
        <f>IF((B138&gt;0),(VLOOKUP(J138,'Valve Reference'!$A$2:$K$389,3)),"-")</f>
        <v>#REF!</v>
      </c>
      <c r="D138" s="471" t="s">
        <v>577</v>
      </c>
      <c r="E138" s="484" t="e">
        <f>IF((B138&gt;0),('Vlookup Tables'!$B$37),"-")</f>
        <v>#REF!</v>
      </c>
      <c r="F138" s="585" t="e">
        <f t="shared" si="11"/>
        <v>#REF!</v>
      </c>
      <c r="G138" s="485" t="e">
        <f>IF((B138&gt;0),(VLOOKUP($B138,'Vlookup Tables'!$B$23:$F$33,2,TRUE)),"-")</f>
        <v>#REF!</v>
      </c>
      <c r="H138" s="586" t="e">
        <f t="shared" si="12"/>
        <v>#REF!</v>
      </c>
      <c r="I138" s="476" t="e">
        <f>IF((B138&gt;0),('Vlookup Tables'!$B$35),"-")</f>
        <v>#REF!</v>
      </c>
      <c r="J138" s="477" t="e">
        <f>IF(B138&gt;0,(IF(D138="2-Way",VLOOKUP($G138,'Vlookup Tables'!$C$23:$F$33,2,FALSE),VLOOKUP($G138,'Vlookup Tables'!$C$23:$F$33,3,FALSE))),"-")</f>
        <v>#REF!</v>
      </c>
      <c r="K138" s="478" t="e">
        <f>IF(B138&gt;0,(VLOOKUP(J138,'Valve Reference'!$A$2:$K$389,4)),"-")</f>
        <v>#REF!</v>
      </c>
      <c r="L138" s="478" t="e">
        <f>IF(B138&gt;0,(VLOOKUP(J138,'Valve Reference'!$A$2:$K$389,5)),"-")</f>
        <v>#REF!</v>
      </c>
      <c r="M138" s="478" t="e">
        <f>IF(B138&gt;0,(VLOOKUP(J138,'Valve Reference'!$A$2:$K$389,8)),"-")</f>
        <v>#REF!</v>
      </c>
      <c r="N138" s="478" t="e">
        <f>IF(B138&gt;0,(VLOOKUP(J138,'Valve Reference'!$A$2:$K$389,10)),"-")</f>
        <v>#REF!</v>
      </c>
      <c r="O138" s="479" t="e">
        <f>IF(B138&gt;0,(VLOOKUP(J138,'Valve Reference'!$A$2:$K$389,11)),"-")</f>
        <v>#REF!</v>
      </c>
      <c r="P138" s="480" t="e">
        <f>IF(B138&gt;0,(VLOOKUP(I138,'Actuator Reference'!$A$2:$H$54,2)),"-")</f>
        <v>#REF!</v>
      </c>
      <c r="Q138" s="480" t="e">
        <f>IF(B138&gt;0,(VLOOKUP(I138,'Actuator Reference'!$A$2:$H$54,5)),"-")</f>
        <v>#REF!</v>
      </c>
      <c r="R138" s="480" t="e">
        <f>IF(B138&gt;0,(VLOOKUP(I138,'Actuator Reference'!$A$2:$H$54,6)),"-")</f>
        <v>#REF!</v>
      </c>
      <c r="S138" s="480" t="e">
        <f>IF(B138&gt;0,(VLOOKUP(I138,'Actuator Reference'!$A$2:$H$54,7)),"-")</f>
        <v>#REF!</v>
      </c>
      <c r="T138" s="481" t="e">
        <f>IF(B138&gt;0,(VLOOKUP(I138,'Actuator Reference'!$A$2:$H$54,8)),"-")</f>
        <v>#REF!</v>
      </c>
      <c r="U138" s="39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5">
        <v>1</v>
      </c>
      <c r="AG138" s="35" t="s">
        <v>1097</v>
      </c>
      <c r="AH138" s="38" t="e">
        <f t="shared" si="9"/>
        <v>#REF!</v>
      </c>
      <c r="AI138" s="594" t="e">
        <f t="shared" si="10"/>
        <v>#REF!</v>
      </c>
      <c r="AJ138" s="595" t="s">
        <v>1339</v>
      </c>
      <c r="AK138" s="593">
        <v>4</v>
      </c>
      <c r="AL138" s="593" t="s">
        <v>1338</v>
      </c>
      <c r="AM138" s="38"/>
      <c r="AN138" s="38"/>
      <c r="AO138" s="38"/>
      <c r="AP138" s="38"/>
      <c r="AQ138" s="38"/>
      <c r="AR138" s="38"/>
      <c r="AS138" s="38"/>
      <c r="AT138" s="38"/>
      <c r="AU138" s="38"/>
      <c r="AV138" s="40"/>
      <c r="AW138" s="38"/>
      <c r="AX138" s="38"/>
      <c r="AY138" s="38"/>
      <c r="AZ138" s="38"/>
      <c r="BA138" s="38"/>
      <c r="BB138" s="38"/>
    </row>
    <row r="139" spans="1:54" ht="15" customHeight="1">
      <c r="A139" s="469" t="e">
        <f>'Box Schedule'!#REF!</f>
        <v>#REF!</v>
      </c>
      <c r="B139" s="482" t="e">
        <f>'Box Schedule'!#REF!</f>
        <v>#REF!</v>
      </c>
      <c r="C139" s="483" t="e">
        <f>IF((B139&gt;0),(VLOOKUP(J139,'Valve Reference'!$A$2:$K$389,3)),"-")</f>
        <v>#REF!</v>
      </c>
      <c r="D139" s="471" t="s">
        <v>577</v>
      </c>
      <c r="E139" s="484" t="e">
        <f>IF((B139&gt;0),('Vlookup Tables'!$B$37),"-")</f>
        <v>#REF!</v>
      </c>
      <c r="F139" s="585" t="e">
        <f t="shared" si="11"/>
        <v>#REF!</v>
      </c>
      <c r="G139" s="485" t="e">
        <f>IF((B139&gt;0),(VLOOKUP($B139,'Vlookup Tables'!$B$23:$F$33,2,TRUE)),"-")</f>
        <v>#REF!</v>
      </c>
      <c r="H139" s="586" t="e">
        <f t="shared" si="12"/>
        <v>#REF!</v>
      </c>
      <c r="I139" s="476" t="e">
        <f>IF((B139&gt;0),('Vlookup Tables'!$B$35),"-")</f>
        <v>#REF!</v>
      </c>
      <c r="J139" s="477" t="e">
        <f>IF(B139&gt;0,(IF(D139="2-Way",VLOOKUP($G139,'Vlookup Tables'!$C$23:$F$33,2,FALSE),VLOOKUP($G139,'Vlookup Tables'!$C$23:$F$33,3,FALSE))),"-")</f>
        <v>#REF!</v>
      </c>
      <c r="K139" s="478" t="e">
        <f>IF(B139&gt;0,(VLOOKUP(J139,'Valve Reference'!$A$2:$K$389,4)),"-")</f>
        <v>#REF!</v>
      </c>
      <c r="L139" s="478" t="e">
        <f>IF(B139&gt;0,(VLOOKUP(J139,'Valve Reference'!$A$2:$K$389,5)),"-")</f>
        <v>#REF!</v>
      </c>
      <c r="M139" s="478" t="e">
        <f>IF(B139&gt;0,(VLOOKUP(J139,'Valve Reference'!$A$2:$K$389,8)),"-")</f>
        <v>#REF!</v>
      </c>
      <c r="N139" s="478" t="e">
        <f>IF(B139&gt;0,(VLOOKUP(J139,'Valve Reference'!$A$2:$K$389,10)),"-")</f>
        <v>#REF!</v>
      </c>
      <c r="O139" s="479" t="e">
        <f>IF(B139&gt;0,(VLOOKUP(J139,'Valve Reference'!$A$2:$K$389,11)),"-")</f>
        <v>#REF!</v>
      </c>
      <c r="P139" s="480" t="e">
        <f>IF(B139&gt;0,(VLOOKUP(I139,'Actuator Reference'!$A$2:$H$54,2)),"-")</f>
        <v>#REF!</v>
      </c>
      <c r="Q139" s="480" t="e">
        <f>IF(B139&gt;0,(VLOOKUP(I139,'Actuator Reference'!$A$2:$H$54,5)),"-")</f>
        <v>#REF!</v>
      </c>
      <c r="R139" s="480" t="e">
        <f>IF(B139&gt;0,(VLOOKUP(I139,'Actuator Reference'!$A$2:$H$54,6)),"-")</f>
        <v>#REF!</v>
      </c>
      <c r="S139" s="480" t="e">
        <f>IF(B139&gt;0,(VLOOKUP(I139,'Actuator Reference'!$A$2:$H$54,7)),"-")</f>
        <v>#REF!</v>
      </c>
      <c r="T139" s="481" t="e">
        <f>IF(B139&gt;0,(VLOOKUP(I139,'Actuator Reference'!$A$2:$H$54,8)),"-")</f>
        <v>#REF!</v>
      </c>
      <c r="U139" s="39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5">
        <v>1</v>
      </c>
      <c r="AG139" s="35" t="s">
        <v>1097</v>
      </c>
      <c r="AH139" s="38" t="e">
        <f t="shared" si="9"/>
        <v>#REF!</v>
      </c>
      <c r="AI139" s="594" t="e">
        <f t="shared" si="10"/>
        <v>#REF!</v>
      </c>
      <c r="AJ139" s="595" t="s">
        <v>1339</v>
      </c>
      <c r="AK139" s="593">
        <v>4</v>
      </c>
      <c r="AL139" s="593" t="s">
        <v>1338</v>
      </c>
      <c r="AM139" s="38"/>
      <c r="AN139" s="38"/>
      <c r="AO139" s="38"/>
      <c r="AP139" s="38"/>
      <c r="AQ139" s="38"/>
      <c r="AR139" s="38"/>
      <c r="AS139" s="38"/>
      <c r="AT139" s="38"/>
      <c r="AU139" s="38"/>
      <c r="AV139" s="40"/>
      <c r="AW139" s="38"/>
      <c r="AX139" s="38"/>
      <c r="AY139" s="38"/>
      <c r="AZ139" s="38"/>
      <c r="BA139" s="38"/>
      <c r="BB139" s="38"/>
    </row>
    <row r="140" spans="1:54" ht="15" customHeight="1">
      <c r="A140" s="469" t="e">
        <f>'Box Schedule'!#REF!</f>
        <v>#REF!</v>
      </c>
      <c r="B140" s="482" t="e">
        <f>'Box Schedule'!#REF!</f>
        <v>#REF!</v>
      </c>
      <c r="C140" s="483" t="e">
        <f>IF((B140&gt;0),(VLOOKUP(J140,'Valve Reference'!$A$2:$K$389,3)),"-")</f>
        <v>#REF!</v>
      </c>
      <c r="D140" s="471" t="s">
        <v>577</v>
      </c>
      <c r="E140" s="484" t="e">
        <f>IF((B140&gt;0),('Vlookup Tables'!$B$37),"-")</f>
        <v>#REF!</v>
      </c>
      <c r="F140" s="585" t="e">
        <f t="shared" si="11"/>
        <v>#REF!</v>
      </c>
      <c r="G140" s="485" t="e">
        <f>IF((B140&gt;0),(VLOOKUP($B140,'Vlookup Tables'!$B$23:$F$33,2,TRUE)),"-")</f>
        <v>#REF!</v>
      </c>
      <c r="H140" s="586" t="e">
        <f t="shared" si="12"/>
        <v>#REF!</v>
      </c>
      <c r="I140" s="476" t="e">
        <f>IF((B140&gt;0),('Vlookup Tables'!$B$35),"-")</f>
        <v>#REF!</v>
      </c>
      <c r="J140" s="477" t="e">
        <f>IF(B140&gt;0,(IF(D140="2-Way",VLOOKUP($G140,'Vlookup Tables'!$C$23:$F$33,2,FALSE),VLOOKUP($G140,'Vlookup Tables'!$C$23:$F$33,3,FALSE))),"-")</f>
        <v>#REF!</v>
      </c>
      <c r="K140" s="478" t="e">
        <f>IF(B140&gt;0,(VLOOKUP(J140,'Valve Reference'!$A$2:$K$389,4)),"-")</f>
        <v>#REF!</v>
      </c>
      <c r="L140" s="478" t="e">
        <f>IF(B140&gt;0,(VLOOKUP(J140,'Valve Reference'!$A$2:$K$389,5)),"-")</f>
        <v>#REF!</v>
      </c>
      <c r="M140" s="478" t="e">
        <f>IF(B140&gt;0,(VLOOKUP(J140,'Valve Reference'!$A$2:$K$389,8)),"-")</f>
        <v>#REF!</v>
      </c>
      <c r="N140" s="478" t="e">
        <f>IF(B140&gt;0,(VLOOKUP(J140,'Valve Reference'!$A$2:$K$389,10)),"-")</f>
        <v>#REF!</v>
      </c>
      <c r="O140" s="479" t="e">
        <f>IF(B140&gt;0,(VLOOKUP(J140,'Valve Reference'!$A$2:$K$389,11)),"-")</f>
        <v>#REF!</v>
      </c>
      <c r="P140" s="480" t="e">
        <f>IF(B140&gt;0,(VLOOKUP(I140,'Actuator Reference'!$A$2:$H$54,2)),"-")</f>
        <v>#REF!</v>
      </c>
      <c r="Q140" s="480" t="e">
        <f>IF(B140&gt;0,(VLOOKUP(I140,'Actuator Reference'!$A$2:$H$54,5)),"-")</f>
        <v>#REF!</v>
      </c>
      <c r="R140" s="480" t="e">
        <f>IF(B140&gt;0,(VLOOKUP(I140,'Actuator Reference'!$A$2:$H$54,6)),"-")</f>
        <v>#REF!</v>
      </c>
      <c r="S140" s="480" t="e">
        <f>IF(B140&gt;0,(VLOOKUP(I140,'Actuator Reference'!$A$2:$H$54,7)),"-")</f>
        <v>#REF!</v>
      </c>
      <c r="T140" s="481" t="e">
        <f>IF(B140&gt;0,(VLOOKUP(I140,'Actuator Reference'!$A$2:$H$54,8)),"-")</f>
        <v>#REF!</v>
      </c>
      <c r="U140" s="39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5">
        <v>1</v>
      </c>
      <c r="AG140" s="35" t="s">
        <v>1097</v>
      </c>
      <c r="AH140" s="38" t="e">
        <f t="shared" si="9"/>
        <v>#REF!</v>
      </c>
      <c r="AI140" s="594" t="e">
        <f t="shared" si="10"/>
        <v>#REF!</v>
      </c>
      <c r="AJ140" s="595" t="s">
        <v>1339</v>
      </c>
      <c r="AK140" s="593">
        <v>4</v>
      </c>
      <c r="AL140" s="593" t="s">
        <v>1338</v>
      </c>
      <c r="AM140" s="38"/>
      <c r="AN140" s="38"/>
      <c r="AO140" s="38"/>
      <c r="AP140" s="38"/>
      <c r="AQ140" s="38"/>
      <c r="AR140" s="38"/>
      <c r="AS140" s="38"/>
      <c r="AT140" s="38"/>
      <c r="AU140" s="38"/>
      <c r="AV140" s="40"/>
      <c r="AW140" s="38"/>
      <c r="AX140" s="38"/>
      <c r="AY140" s="38"/>
      <c r="AZ140" s="38"/>
      <c r="BA140" s="38"/>
      <c r="BB140" s="38"/>
    </row>
    <row r="141" spans="1:54" ht="15" customHeight="1">
      <c r="A141" s="469" t="e">
        <f>'Box Schedule'!#REF!</f>
        <v>#REF!</v>
      </c>
      <c r="B141" s="482" t="e">
        <f>'Box Schedule'!#REF!</f>
        <v>#REF!</v>
      </c>
      <c r="C141" s="483" t="e">
        <f>IF((B141&gt;0),(VLOOKUP(J141,'Valve Reference'!$A$2:$K$389,3)),"-")</f>
        <v>#REF!</v>
      </c>
      <c r="D141" s="471" t="s">
        <v>577</v>
      </c>
      <c r="E141" s="484" t="e">
        <f>IF((B141&gt;0),('Vlookup Tables'!$B$37),"-")</f>
        <v>#REF!</v>
      </c>
      <c r="F141" s="585" t="e">
        <f t="shared" si="11"/>
        <v>#REF!</v>
      </c>
      <c r="G141" s="485" t="e">
        <f>IF((B141&gt;0),(VLOOKUP($B141,'Vlookup Tables'!$B$23:$F$33,2,TRUE)),"-")</f>
        <v>#REF!</v>
      </c>
      <c r="H141" s="586" t="e">
        <f t="shared" si="12"/>
        <v>#REF!</v>
      </c>
      <c r="I141" s="476" t="e">
        <f>IF((B141&gt;0),('Vlookup Tables'!$B$35),"-")</f>
        <v>#REF!</v>
      </c>
      <c r="J141" s="477" t="e">
        <f>IF(B141&gt;0,(IF(D141="2-Way",VLOOKUP($G141,'Vlookup Tables'!$C$23:$F$33,2,FALSE),VLOOKUP($G141,'Vlookup Tables'!$C$23:$F$33,3,FALSE))),"-")</f>
        <v>#REF!</v>
      </c>
      <c r="K141" s="478" t="e">
        <f>IF(B141&gt;0,(VLOOKUP(J141,'Valve Reference'!$A$2:$K$389,4)),"-")</f>
        <v>#REF!</v>
      </c>
      <c r="L141" s="478" t="e">
        <f>IF(B141&gt;0,(VLOOKUP(J141,'Valve Reference'!$A$2:$K$389,5)),"-")</f>
        <v>#REF!</v>
      </c>
      <c r="M141" s="478" t="e">
        <f>IF(B141&gt;0,(VLOOKUP(J141,'Valve Reference'!$A$2:$K$389,8)),"-")</f>
        <v>#REF!</v>
      </c>
      <c r="N141" s="478" t="e">
        <f>IF(B141&gt;0,(VLOOKUP(J141,'Valve Reference'!$A$2:$K$389,10)),"-")</f>
        <v>#REF!</v>
      </c>
      <c r="O141" s="479" t="e">
        <f>IF(B141&gt;0,(VLOOKUP(J141,'Valve Reference'!$A$2:$K$389,11)),"-")</f>
        <v>#REF!</v>
      </c>
      <c r="P141" s="480" t="e">
        <f>IF(B141&gt;0,(VLOOKUP(I141,'Actuator Reference'!$A$2:$H$54,2)),"-")</f>
        <v>#REF!</v>
      </c>
      <c r="Q141" s="480" t="e">
        <f>IF(B141&gt;0,(VLOOKUP(I141,'Actuator Reference'!$A$2:$H$54,5)),"-")</f>
        <v>#REF!</v>
      </c>
      <c r="R141" s="480" t="e">
        <f>IF(B141&gt;0,(VLOOKUP(I141,'Actuator Reference'!$A$2:$H$54,6)),"-")</f>
        <v>#REF!</v>
      </c>
      <c r="S141" s="480" t="e">
        <f>IF(B141&gt;0,(VLOOKUP(I141,'Actuator Reference'!$A$2:$H$54,7)),"-")</f>
        <v>#REF!</v>
      </c>
      <c r="T141" s="481" t="e">
        <f>IF(B141&gt;0,(VLOOKUP(I141,'Actuator Reference'!$A$2:$H$54,8)),"-")</f>
        <v>#REF!</v>
      </c>
      <c r="U141" s="39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5">
        <v>1</v>
      </c>
      <c r="AG141" s="35" t="s">
        <v>1097</v>
      </c>
      <c r="AH141" s="38" t="e">
        <f t="shared" si="9"/>
        <v>#REF!</v>
      </c>
      <c r="AI141" s="594" t="e">
        <f t="shared" si="10"/>
        <v>#REF!</v>
      </c>
      <c r="AJ141" s="595" t="s">
        <v>1339</v>
      </c>
      <c r="AK141" s="593">
        <v>4</v>
      </c>
      <c r="AL141" s="593" t="s">
        <v>1338</v>
      </c>
      <c r="AM141" s="38"/>
      <c r="AN141" s="38"/>
      <c r="AO141" s="38"/>
      <c r="AP141" s="38"/>
      <c r="AQ141" s="38"/>
      <c r="AR141" s="38"/>
      <c r="AS141" s="38"/>
      <c r="AT141" s="38"/>
      <c r="AU141" s="38"/>
      <c r="AV141" s="40"/>
      <c r="AW141" s="38"/>
      <c r="AX141" s="38"/>
      <c r="AY141" s="38"/>
      <c r="AZ141" s="38"/>
      <c r="BA141" s="38"/>
      <c r="BB141" s="38"/>
    </row>
    <row r="142" spans="1:54" ht="15" customHeight="1">
      <c r="A142" s="469" t="e">
        <f>'Box Schedule'!#REF!</f>
        <v>#REF!</v>
      </c>
      <c r="B142" s="482" t="e">
        <f>'Box Schedule'!#REF!</f>
        <v>#REF!</v>
      </c>
      <c r="C142" s="483" t="e">
        <f>IF((B142&gt;0),(VLOOKUP(J142,'Valve Reference'!$A$2:$K$389,3)),"-")</f>
        <v>#REF!</v>
      </c>
      <c r="D142" s="471" t="s">
        <v>577</v>
      </c>
      <c r="E142" s="484" t="e">
        <f>IF((B142&gt;0),('Vlookup Tables'!$B$37),"-")</f>
        <v>#REF!</v>
      </c>
      <c r="F142" s="585" t="e">
        <f t="shared" si="11"/>
        <v>#REF!</v>
      </c>
      <c r="G142" s="485" t="e">
        <f>IF((B142&gt;0),(VLOOKUP($B142,'Vlookup Tables'!$B$23:$F$33,2,TRUE)),"-")</f>
        <v>#REF!</v>
      </c>
      <c r="H142" s="586" t="e">
        <f t="shared" si="12"/>
        <v>#REF!</v>
      </c>
      <c r="I142" s="476" t="e">
        <f>IF((B142&gt;0),('Vlookup Tables'!$B$35),"-")</f>
        <v>#REF!</v>
      </c>
      <c r="J142" s="477" t="e">
        <f>IF(B142&gt;0,(IF(D142="2-Way",VLOOKUP($G142,'Vlookup Tables'!$C$23:$F$33,2,FALSE),VLOOKUP($G142,'Vlookup Tables'!$C$23:$F$33,3,FALSE))),"-")</f>
        <v>#REF!</v>
      </c>
      <c r="K142" s="478" t="e">
        <f>IF(B142&gt;0,(VLOOKUP(J142,'Valve Reference'!$A$2:$K$389,4)),"-")</f>
        <v>#REF!</v>
      </c>
      <c r="L142" s="478" t="e">
        <f>IF(B142&gt;0,(VLOOKUP(J142,'Valve Reference'!$A$2:$K$389,5)),"-")</f>
        <v>#REF!</v>
      </c>
      <c r="M142" s="478" t="e">
        <f>IF(B142&gt;0,(VLOOKUP(J142,'Valve Reference'!$A$2:$K$389,8)),"-")</f>
        <v>#REF!</v>
      </c>
      <c r="N142" s="478" t="e">
        <f>IF(B142&gt;0,(VLOOKUP(J142,'Valve Reference'!$A$2:$K$389,10)),"-")</f>
        <v>#REF!</v>
      </c>
      <c r="O142" s="479" t="e">
        <f>IF(B142&gt;0,(VLOOKUP(J142,'Valve Reference'!$A$2:$K$389,11)),"-")</f>
        <v>#REF!</v>
      </c>
      <c r="P142" s="480" t="e">
        <f>IF(B142&gt;0,(VLOOKUP(I142,'Actuator Reference'!$A$2:$H$54,2)),"-")</f>
        <v>#REF!</v>
      </c>
      <c r="Q142" s="480" t="e">
        <f>IF(B142&gt;0,(VLOOKUP(I142,'Actuator Reference'!$A$2:$H$54,5)),"-")</f>
        <v>#REF!</v>
      </c>
      <c r="R142" s="480" t="e">
        <f>IF(B142&gt;0,(VLOOKUP(I142,'Actuator Reference'!$A$2:$H$54,6)),"-")</f>
        <v>#REF!</v>
      </c>
      <c r="S142" s="480" t="e">
        <f>IF(B142&gt;0,(VLOOKUP(I142,'Actuator Reference'!$A$2:$H$54,7)),"-")</f>
        <v>#REF!</v>
      </c>
      <c r="T142" s="481" t="e">
        <f>IF(B142&gt;0,(VLOOKUP(I142,'Actuator Reference'!$A$2:$H$54,8)),"-")</f>
        <v>#REF!</v>
      </c>
      <c r="U142" s="39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5">
        <v>1</v>
      </c>
      <c r="AG142" s="35" t="s">
        <v>1097</v>
      </c>
      <c r="AH142" s="38" t="e">
        <f t="shared" si="9"/>
        <v>#REF!</v>
      </c>
      <c r="AI142" s="594" t="e">
        <f t="shared" si="10"/>
        <v>#REF!</v>
      </c>
      <c r="AJ142" s="595" t="s">
        <v>1339</v>
      </c>
      <c r="AK142" s="593">
        <v>4</v>
      </c>
      <c r="AL142" s="593" t="s">
        <v>1338</v>
      </c>
      <c r="AM142" s="38"/>
      <c r="AN142" s="38"/>
      <c r="AO142" s="38"/>
      <c r="AP142" s="38"/>
      <c r="AQ142" s="38"/>
      <c r="AR142" s="38"/>
      <c r="AS142" s="38"/>
      <c r="AT142" s="38"/>
      <c r="AU142" s="38"/>
      <c r="AV142" s="40"/>
      <c r="AW142" s="38"/>
      <c r="AX142" s="38"/>
      <c r="AY142" s="38"/>
      <c r="AZ142" s="38"/>
      <c r="BA142" s="38"/>
      <c r="BB142" s="38"/>
    </row>
    <row r="143" spans="1:54" ht="15" customHeight="1">
      <c r="A143" s="469" t="e">
        <f>'Box Schedule'!#REF!</f>
        <v>#REF!</v>
      </c>
      <c r="B143" s="482" t="e">
        <f>'Box Schedule'!#REF!</f>
        <v>#REF!</v>
      </c>
      <c r="C143" s="483" t="e">
        <f>IF((B143&gt;0),(VLOOKUP(J143,'Valve Reference'!$A$2:$K$389,3)),"-")</f>
        <v>#REF!</v>
      </c>
      <c r="D143" s="471" t="s">
        <v>580</v>
      </c>
      <c r="E143" s="484" t="e">
        <f>IF((B143&gt;0),('Vlookup Tables'!$B$37),"-")</f>
        <v>#REF!</v>
      </c>
      <c r="F143" s="585" t="e">
        <f t="shared" si="11"/>
        <v>#REF!</v>
      </c>
      <c r="G143" s="485" t="e">
        <f>IF((B143&gt;0),(VLOOKUP($B143,'Vlookup Tables'!$B$23:$F$33,2,TRUE)),"-")</f>
        <v>#REF!</v>
      </c>
      <c r="H143" s="586" t="e">
        <f t="shared" si="12"/>
        <v>#REF!</v>
      </c>
      <c r="I143" s="476" t="e">
        <f>IF((B143&gt;0),('Vlookup Tables'!$B$35),"-")</f>
        <v>#REF!</v>
      </c>
      <c r="J143" s="477" t="e">
        <f>IF(B143&gt;0,(IF(D143="2-Way",VLOOKUP($G143,'Vlookup Tables'!$C$23:$F$33,2,FALSE),VLOOKUP($G143,'Vlookup Tables'!$C$23:$F$33,3,FALSE))),"-")</f>
        <v>#REF!</v>
      </c>
      <c r="K143" s="478" t="e">
        <f>IF(B143&gt;0,(VLOOKUP(J143,'Valve Reference'!$A$2:$K$389,4)),"-")</f>
        <v>#REF!</v>
      </c>
      <c r="L143" s="478" t="e">
        <f>IF(B143&gt;0,(VLOOKUP(J143,'Valve Reference'!$A$2:$K$389,5)),"-")</f>
        <v>#REF!</v>
      </c>
      <c r="M143" s="478" t="e">
        <f>IF(B143&gt;0,(VLOOKUP(J143,'Valve Reference'!$A$2:$K$389,8)),"-")</f>
        <v>#REF!</v>
      </c>
      <c r="N143" s="478" t="e">
        <f>IF(B143&gt;0,(VLOOKUP(J143,'Valve Reference'!$A$2:$K$389,10)),"-")</f>
        <v>#REF!</v>
      </c>
      <c r="O143" s="479" t="e">
        <f>IF(B143&gt;0,(VLOOKUP(J143,'Valve Reference'!$A$2:$K$389,11)),"-")</f>
        <v>#REF!</v>
      </c>
      <c r="P143" s="480" t="e">
        <f>IF(B143&gt;0,(VLOOKUP(I143,'Actuator Reference'!$A$2:$H$54,2)),"-")</f>
        <v>#REF!</v>
      </c>
      <c r="Q143" s="480" t="e">
        <f>IF(B143&gt;0,(VLOOKUP(I143,'Actuator Reference'!$A$2:$H$54,5)),"-")</f>
        <v>#REF!</v>
      </c>
      <c r="R143" s="480" t="e">
        <f>IF(B143&gt;0,(VLOOKUP(I143,'Actuator Reference'!$A$2:$H$54,6)),"-")</f>
        <v>#REF!</v>
      </c>
      <c r="S143" s="480" t="e">
        <f>IF(B143&gt;0,(VLOOKUP(I143,'Actuator Reference'!$A$2:$H$54,7)),"-")</f>
        <v>#REF!</v>
      </c>
      <c r="T143" s="481" t="e">
        <f>IF(B143&gt;0,(VLOOKUP(I143,'Actuator Reference'!$A$2:$H$54,8)),"-")</f>
        <v>#REF!</v>
      </c>
      <c r="U143" s="39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5">
        <v>1</v>
      </c>
      <c r="AG143" s="35" t="s">
        <v>1097</v>
      </c>
      <c r="AH143" s="38" t="e">
        <f t="shared" si="9"/>
        <v>#REF!</v>
      </c>
      <c r="AI143" s="594" t="e">
        <f t="shared" si="10"/>
        <v>#REF!</v>
      </c>
      <c r="AJ143" s="595" t="s">
        <v>1339</v>
      </c>
      <c r="AK143" s="593">
        <v>4</v>
      </c>
      <c r="AL143" s="593" t="s">
        <v>1338</v>
      </c>
      <c r="AM143" s="38"/>
      <c r="AN143" s="38"/>
      <c r="AO143" s="38"/>
      <c r="AP143" s="38"/>
      <c r="AQ143" s="38"/>
      <c r="AR143" s="38"/>
      <c r="AS143" s="38"/>
      <c r="AT143" s="38"/>
      <c r="AU143" s="38"/>
      <c r="AV143" s="40"/>
      <c r="AW143" s="38"/>
      <c r="AX143" s="38"/>
      <c r="AY143" s="38"/>
      <c r="AZ143" s="38"/>
      <c r="BA143" s="38"/>
      <c r="BB143" s="38"/>
    </row>
    <row r="144" spans="1:54" ht="15" customHeight="1">
      <c r="A144" s="469" t="e">
        <f>'Box Schedule'!#REF!</f>
        <v>#REF!</v>
      </c>
      <c r="B144" s="482" t="e">
        <f>'Box Schedule'!#REF!</f>
        <v>#REF!</v>
      </c>
      <c r="C144" s="483" t="e">
        <f>IF((B144&gt;0),(VLOOKUP(J144,'Valve Reference'!$A$2:$K$389,3)),"-")</f>
        <v>#REF!</v>
      </c>
      <c r="D144" s="471" t="s">
        <v>580</v>
      </c>
      <c r="E144" s="484" t="e">
        <f>IF((B144&gt;0),('Vlookup Tables'!$B$37),"-")</f>
        <v>#REF!</v>
      </c>
      <c r="F144" s="585" t="e">
        <f t="shared" si="11"/>
        <v>#REF!</v>
      </c>
      <c r="G144" s="485" t="e">
        <f>IF((B144&gt;0),(VLOOKUP($B144,'Vlookup Tables'!$B$23:$F$33,2,TRUE)),"-")</f>
        <v>#REF!</v>
      </c>
      <c r="H144" s="586" t="e">
        <f t="shared" si="12"/>
        <v>#REF!</v>
      </c>
      <c r="I144" s="476" t="e">
        <f>IF((B144&gt;0),('Vlookup Tables'!$B$35),"-")</f>
        <v>#REF!</v>
      </c>
      <c r="J144" s="477" t="e">
        <f>IF(B144&gt;0,(IF(D144="2-Way",VLOOKUP($G144,'Vlookup Tables'!$C$23:$F$33,2,FALSE),VLOOKUP($G144,'Vlookup Tables'!$C$23:$F$33,3,FALSE))),"-")</f>
        <v>#REF!</v>
      </c>
      <c r="K144" s="478" t="e">
        <f>IF(B144&gt;0,(VLOOKUP(J144,'Valve Reference'!$A$2:$K$389,4)),"-")</f>
        <v>#REF!</v>
      </c>
      <c r="L144" s="478" t="e">
        <f>IF(B144&gt;0,(VLOOKUP(J144,'Valve Reference'!$A$2:$K$389,5)),"-")</f>
        <v>#REF!</v>
      </c>
      <c r="M144" s="478" t="e">
        <f>IF(B144&gt;0,(VLOOKUP(J144,'Valve Reference'!$A$2:$K$389,8)),"-")</f>
        <v>#REF!</v>
      </c>
      <c r="N144" s="478" t="e">
        <f>IF(B144&gt;0,(VLOOKUP(J144,'Valve Reference'!$A$2:$K$389,10)),"-")</f>
        <v>#REF!</v>
      </c>
      <c r="O144" s="479" t="e">
        <f>IF(B144&gt;0,(VLOOKUP(J144,'Valve Reference'!$A$2:$K$389,11)),"-")</f>
        <v>#REF!</v>
      </c>
      <c r="P144" s="480" t="e">
        <f>IF(B144&gt;0,(VLOOKUP(I144,'Actuator Reference'!$A$2:$H$54,2)),"-")</f>
        <v>#REF!</v>
      </c>
      <c r="Q144" s="480" t="e">
        <f>IF(B144&gt;0,(VLOOKUP(I144,'Actuator Reference'!$A$2:$H$54,5)),"-")</f>
        <v>#REF!</v>
      </c>
      <c r="R144" s="480" t="e">
        <f>IF(B144&gt;0,(VLOOKUP(I144,'Actuator Reference'!$A$2:$H$54,6)),"-")</f>
        <v>#REF!</v>
      </c>
      <c r="S144" s="480" t="e">
        <f>IF(B144&gt;0,(VLOOKUP(I144,'Actuator Reference'!$A$2:$H$54,7)),"-")</f>
        <v>#REF!</v>
      </c>
      <c r="T144" s="481" t="e">
        <f>IF(B144&gt;0,(VLOOKUP(I144,'Actuator Reference'!$A$2:$H$54,8)),"-")</f>
        <v>#REF!</v>
      </c>
      <c r="U144" s="39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5">
        <v>1</v>
      </c>
      <c r="AG144" s="35" t="s">
        <v>1097</v>
      </c>
      <c r="AH144" s="38" t="e">
        <f t="shared" si="9"/>
        <v>#REF!</v>
      </c>
      <c r="AI144" s="594" t="e">
        <f t="shared" si="10"/>
        <v>#REF!</v>
      </c>
      <c r="AJ144" s="595" t="s">
        <v>1339</v>
      </c>
      <c r="AK144" s="593">
        <v>4</v>
      </c>
      <c r="AL144" s="593" t="s">
        <v>1338</v>
      </c>
      <c r="AM144" s="38"/>
      <c r="AN144" s="38"/>
      <c r="AO144" s="38"/>
      <c r="AP144" s="38"/>
      <c r="AQ144" s="38"/>
      <c r="AR144" s="38"/>
      <c r="AS144" s="38"/>
      <c r="AT144" s="38"/>
      <c r="AU144" s="38"/>
      <c r="AV144" s="40"/>
      <c r="AW144" s="38"/>
      <c r="AX144" s="38"/>
      <c r="AY144" s="38"/>
      <c r="AZ144" s="38"/>
      <c r="BA144" s="38"/>
      <c r="BB144" s="38"/>
    </row>
    <row r="145" spans="1:54" ht="15" customHeight="1">
      <c r="A145" s="469" t="e">
        <f>'Box Schedule'!#REF!</f>
        <v>#REF!</v>
      </c>
      <c r="B145" s="482" t="e">
        <f>'Box Schedule'!#REF!</f>
        <v>#REF!</v>
      </c>
      <c r="C145" s="483" t="e">
        <f>IF((B145&gt;0),(VLOOKUP(J145,'Valve Reference'!$A$2:$K$389,3)),"-")</f>
        <v>#REF!</v>
      </c>
      <c r="D145" s="471" t="s">
        <v>577</v>
      </c>
      <c r="E145" s="484" t="e">
        <f>IF((B145&gt;0),('Vlookup Tables'!$B$37),"-")</f>
        <v>#REF!</v>
      </c>
      <c r="F145" s="585" t="e">
        <f t="shared" si="11"/>
        <v>#REF!</v>
      </c>
      <c r="G145" s="485" t="e">
        <f>IF((B145&gt;0),(VLOOKUP($B145,'Vlookup Tables'!$B$23:$F$33,2,TRUE)),"-")</f>
        <v>#REF!</v>
      </c>
      <c r="H145" s="586" t="e">
        <f t="shared" si="12"/>
        <v>#REF!</v>
      </c>
      <c r="I145" s="476" t="e">
        <f>IF((B145&gt;0),('Vlookup Tables'!$B$35),"-")</f>
        <v>#REF!</v>
      </c>
      <c r="J145" s="477" t="e">
        <f>IF(B145&gt;0,(IF(D145="2-Way",VLOOKUP($G145,'Vlookup Tables'!$C$23:$F$33,2,FALSE),VLOOKUP($G145,'Vlookup Tables'!$C$23:$F$33,3,FALSE))),"-")</f>
        <v>#REF!</v>
      </c>
      <c r="K145" s="478" t="e">
        <f>IF(B145&gt;0,(VLOOKUP(J145,'Valve Reference'!$A$2:$K$389,4)),"-")</f>
        <v>#REF!</v>
      </c>
      <c r="L145" s="478" t="e">
        <f>IF(B145&gt;0,(VLOOKUP(J145,'Valve Reference'!$A$2:$K$389,5)),"-")</f>
        <v>#REF!</v>
      </c>
      <c r="M145" s="478" t="e">
        <f>IF(B145&gt;0,(VLOOKUP(J145,'Valve Reference'!$A$2:$K$389,8)),"-")</f>
        <v>#REF!</v>
      </c>
      <c r="N145" s="478" t="e">
        <f>IF(B145&gt;0,(VLOOKUP(J145,'Valve Reference'!$A$2:$K$389,10)),"-")</f>
        <v>#REF!</v>
      </c>
      <c r="O145" s="479" t="e">
        <f>IF(B145&gt;0,(VLOOKUP(J145,'Valve Reference'!$A$2:$K$389,11)),"-")</f>
        <v>#REF!</v>
      </c>
      <c r="P145" s="480" t="e">
        <f>IF(B145&gt;0,(VLOOKUP(I145,'Actuator Reference'!$A$2:$H$54,2)),"-")</f>
        <v>#REF!</v>
      </c>
      <c r="Q145" s="480" t="e">
        <f>IF(B145&gt;0,(VLOOKUP(I145,'Actuator Reference'!$A$2:$H$54,5)),"-")</f>
        <v>#REF!</v>
      </c>
      <c r="R145" s="480" t="e">
        <f>IF(B145&gt;0,(VLOOKUP(I145,'Actuator Reference'!$A$2:$H$54,6)),"-")</f>
        <v>#REF!</v>
      </c>
      <c r="S145" s="480" t="e">
        <f>IF(B145&gt;0,(VLOOKUP(I145,'Actuator Reference'!$A$2:$H$54,7)),"-")</f>
        <v>#REF!</v>
      </c>
      <c r="T145" s="481" t="e">
        <f>IF(B145&gt;0,(VLOOKUP(I145,'Actuator Reference'!$A$2:$H$54,8)),"-")</f>
        <v>#REF!</v>
      </c>
      <c r="U145" s="39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5">
        <v>1</v>
      </c>
      <c r="AG145" s="35" t="s">
        <v>1097</v>
      </c>
      <c r="AH145" s="38" t="e">
        <f t="shared" si="9"/>
        <v>#REF!</v>
      </c>
      <c r="AI145" s="594" t="e">
        <f t="shared" si="10"/>
        <v>#REF!</v>
      </c>
      <c r="AJ145" s="595" t="s">
        <v>1339</v>
      </c>
      <c r="AK145" s="593">
        <v>4</v>
      </c>
      <c r="AL145" s="593" t="s">
        <v>1338</v>
      </c>
      <c r="AM145" s="38"/>
      <c r="AN145" s="38"/>
      <c r="AO145" s="38"/>
      <c r="AP145" s="38"/>
      <c r="AQ145" s="38"/>
      <c r="AR145" s="38"/>
      <c r="AS145" s="38"/>
      <c r="AT145" s="38"/>
      <c r="AU145" s="38"/>
      <c r="AV145" s="40"/>
      <c r="AW145" s="38"/>
      <c r="AX145" s="38"/>
      <c r="AY145" s="38"/>
      <c r="AZ145" s="38"/>
      <c r="BA145" s="38"/>
      <c r="BB145" s="38"/>
    </row>
    <row r="146" spans="1:54" ht="15" customHeight="1">
      <c r="A146" s="469" t="e">
        <f>'Box Schedule'!#REF!</f>
        <v>#REF!</v>
      </c>
      <c r="B146" s="482" t="e">
        <f>'Box Schedule'!#REF!</f>
        <v>#REF!</v>
      </c>
      <c r="C146" s="483" t="e">
        <f>IF((B146&gt;0),(VLOOKUP(J146,'Valve Reference'!$A$2:$K$389,3)),"-")</f>
        <v>#REF!</v>
      </c>
      <c r="D146" s="471" t="s">
        <v>577</v>
      </c>
      <c r="E146" s="484" t="e">
        <f>IF((B146&gt;0),('Vlookup Tables'!$B$37),"-")</f>
        <v>#REF!</v>
      </c>
      <c r="F146" s="585" t="e">
        <f t="shared" si="11"/>
        <v>#REF!</v>
      </c>
      <c r="G146" s="485" t="e">
        <f>IF((B146&gt;0),(VLOOKUP($B146,'Vlookup Tables'!$B$23:$F$33,2,TRUE)),"-")</f>
        <v>#REF!</v>
      </c>
      <c r="H146" s="586" t="e">
        <f t="shared" si="12"/>
        <v>#REF!</v>
      </c>
      <c r="I146" s="476" t="e">
        <f>IF((B146&gt;0),('Vlookup Tables'!$B$35),"-")</f>
        <v>#REF!</v>
      </c>
      <c r="J146" s="477" t="e">
        <f>IF(B146&gt;0,(IF(D146="2-Way",VLOOKUP($G146,'Vlookup Tables'!$C$23:$F$33,2,FALSE),VLOOKUP($G146,'Vlookup Tables'!$C$23:$F$33,3,FALSE))),"-")</f>
        <v>#REF!</v>
      </c>
      <c r="K146" s="478" t="e">
        <f>IF(B146&gt;0,(VLOOKUP(J146,'Valve Reference'!$A$2:$K$389,4)),"-")</f>
        <v>#REF!</v>
      </c>
      <c r="L146" s="478" t="e">
        <f>IF(B146&gt;0,(VLOOKUP(J146,'Valve Reference'!$A$2:$K$389,5)),"-")</f>
        <v>#REF!</v>
      </c>
      <c r="M146" s="478" t="e">
        <f>IF(B146&gt;0,(VLOOKUP(J146,'Valve Reference'!$A$2:$K$389,8)),"-")</f>
        <v>#REF!</v>
      </c>
      <c r="N146" s="478" t="e">
        <f>IF(B146&gt;0,(VLOOKUP(J146,'Valve Reference'!$A$2:$K$389,10)),"-")</f>
        <v>#REF!</v>
      </c>
      <c r="O146" s="479" t="e">
        <f>IF(B146&gt;0,(VLOOKUP(J146,'Valve Reference'!$A$2:$K$389,11)),"-")</f>
        <v>#REF!</v>
      </c>
      <c r="P146" s="480" t="e">
        <f>IF(B146&gt;0,(VLOOKUP(I146,'Actuator Reference'!$A$2:$H$54,2)),"-")</f>
        <v>#REF!</v>
      </c>
      <c r="Q146" s="480" t="e">
        <f>IF(B146&gt;0,(VLOOKUP(I146,'Actuator Reference'!$A$2:$H$54,5)),"-")</f>
        <v>#REF!</v>
      </c>
      <c r="R146" s="480" t="e">
        <f>IF(B146&gt;0,(VLOOKUP(I146,'Actuator Reference'!$A$2:$H$54,6)),"-")</f>
        <v>#REF!</v>
      </c>
      <c r="S146" s="480" t="e">
        <f>IF(B146&gt;0,(VLOOKUP(I146,'Actuator Reference'!$A$2:$H$54,7)),"-")</f>
        <v>#REF!</v>
      </c>
      <c r="T146" s="481" t="e">
        <f>IF(B146&gt;0,(VLOOKUP(I146,'Actuator Reference'!$A$2:$H$54,8)),"-")</f>
        <v>#REF!</v>
      </c>
      <c r="U146" s="39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5">
        <v>1</v>
      </c>
      <c r="AG146" s="35" t="s">
        <v>1097</v>
      </c>
      <c r="AH146" s="38" t="e">
        <f t="shared" si="9"/>
        <v>#REF!</v>
      </c>
      <c r="AI146" s="594" t="e">
        <f t="shared" si="10"/>
        <v>#REF!</v>
      </c>
      <c r="AJ146" s="595" t="s">
        <v>1339</v>
      </c>
      <c r="AK146" s="593">
        <v>4</v>
      </c>
      <c r="AL146" s="593" t="s">
        <v>1338</v>
      </c>
      <c r="AM146" s="38"/>
      <c r="AN146" s="38"/>
      <c r="AO146" s="38"/>
      <c r="AP146" s="38"/>
      <c r="AQ146" s="38"/>
      <c r="AR146" s="38"/>
      <c r="AS146" s="38"/>
      <c r="AT146" s="38"/>
      <c r="AU146" s="38"/>
      <c r="AV146" s="40"/>
      <c r="AW146" s="38"/>
      <c r="AX146" s="38"/>
      <c r="AY146" s="38"/>
      <c r="AZ146" s="38"/>
      <c r="BA146" s="38"/>
      <c r="BB146" s="38"/>
    </row>
    <row r="147" spans="1:54" ht="15" customHeight="1">
      <c r="A147" s="469" t="e">
        <f>'Box Schedule'!#REF!</f>
        <v>#REF!</v>
      </c>
      <c r="B147" s="482" t="e">
        <f>'Box Schedule'!#REF!</f>
        <v>#REF!</v>
      </c>
      <c r="C147" s="483" t="e">
        <f>IF((B147&gt;0),(VLOOKUP(J147,'Valve Reference'!$A$2:$K$389,3)),"-")</f>
        <v>#REF!</v>
      </c>
      <c r="D147" s="471" t="s">
        <v>579</v>
      </c>
      <c r="E147" s="484" t="e">
        <f>IF((B147&gt;0),('Vlookup Tables'!$B$37),"-")</f>
        <v>#REF!</v>
      </c>
      <c r="F147" s="585" t="e">
        <f t="shared" si="11"/>
        <v>#REF!</v>
      </c>
      <c r="G147" s="485" t="e">
        <f>IF((B147&gt;0),(VLOOKUP($B147,'Vlookup Tables'!$B$23:$F$33,2,TRUE)),"-")</f>
        <v>#REF!</v>
      </c>
      <c r="H147" s="586" t="e">
        <f t="shared" si="12"/>
        <v>#REF!</v>
      </c>
      <c r="I147" s="476" t="e">
        <f>IF((B147&gt;0),('Vlookup Tables'!$B$35),"-")</f>
        <v>#REF!</v>
      </c>
      <c r="J147" s="477" t="e">
        <f>IF(B147&gt;0,(IF(D147="2-Way",VLOOKUP($G147,'Vlookup Tables'!$C$23:$F$33,2,FALSE),VLOOKUP($G147,'Vlookup Tables'!$C$23:$F$33,3,FALSE))),"-")</f>
        <v>#REF!</v>
      </c>
      <c r="K147" s="478" t="e">
        <f>IF(B147&gt;0,(VLOOKUP(J147,'Valve Reference'!$A$2:$K$389,4)),"-")</f>
        <v>#REF!</v>
      </c>
      <c r="L147" s="478" t="e">
        <f>IF(B147&gt;0,(VLOOKUP(J147,'Valve Reference'!$A$2:$K$389,5)),"-")</f>
        <v>#REF!</v>
      </c>
      <c r="M147" s="478" t="e">
        <f>IF(B147&gt;0,(VLOOKUP(J147,'Valve Reference'!$A$2:$K$389,8)),"-")</f>
        <v>#REF!</v>
      </c>
      <c r="N147" s="478" t="e">
        <f>IF(B147&gt;0,(VLOOKUP(J147,'Valve Reference'!$A$2:$K$389,10)),"-")</f>
        <v>#REF!</v>
      </c>
      <c r="O147" s="479" t="e">
        <f>IF(B147&gt;0,(VLOOKUP(J147,'Valve Reference'!$A$2:$K$389,11)),"-")</f>
        <v>#REF!</v>
      </c>
      <c r="P147" s="480" t="e">
        <f>IF(B147&gt;0,(VLOOKUP(I147,'Actuator Reference'!$A$2:$H$54,2)),"-")</f>
        <v>#REF!</v>
      </c>
      <c r="Q147" s="480" t="e">
        <f>IF(B147&gt;0,(VLOOKUP(I147,'Actuator Reference'!$A$2:$H$54,5)),"-")</f>
        <v>#REF!</v>
      </c>
      <c r="R147" s="480" t="e">
        <f>IF(B147&gt;0,(VLOOKUP(I147,'Actuator Reference'!$A$2:$H$54,6)),"-")</f>
        <v>#REF!</v>
      </c>
      <c r="S147" s="480" t="e">
        <f>IF(B147&gt;0,(VLOOKUP(I147,'Actuator Reference'!$A$2:$H$54,7)),"-")</f>
        <v>#REF!</v>
      </c>
      <c r="T147" s="481" t="e">
        <f>IF(B147&gt;0,(VLOOKUP(I147,'Actuator Reference'!$A$2:$H$54,8)),"-")</f>
        <v>#REF!</v>
      </c>
      <c r="U147" s="39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5">
        <v>1</v>
      </c>
      <c r="AG147" s="35" t="s">
        <v>1097</v>
      </c>
      <c r="AH147" s="38" t="e">
        <f t="shared" si="9"/>
        <v>#REF!</v>
      </c>
      <c r="AI147" s="594" t="e">
        <f t="shared" si="10"/>
        <v>#REF!</v>
      </c>
      <c r="AJ147" s="595" t="s">
        <v>1339</v>
      </c>
      <c r="AK147" s="593">
        <v>4</v>
      </c>
      <c r="AL147" s="593" t="s">
        <v>1338</v>
      </c>
      <c r="AM147" s="38"/>
      <c r="AN147" s="38"/>
      <c r="AO147" s="38"/>
      <c r="AP147" s="38"/>
      <c r="AQ147" s="38"/>
      <c r="AR147" s="38"/>
      <c r="AS147" s="38"/>
      <c r="AT147" s="38"/>
      <c r="AU147" s="38"/>
      <c r="AV147" s="40"/>
      <c r="AW147" s="38"/>
      <c r="AX147" s="38"/>
      <c r="AY147" s="38"/>
      <c r="AZ147" s="38"/>
      <c r="BA147" s="38"/>
      <c r="BB147" s="38"/>
    </row>
    <row r="148" spans="1:54" ht="15" customHeight="1">
      <c r="A148" s="469" t="e">
        <f>'Box Schedule'!#REF!</f>
        <v>#REF!</v>
      </c>
      <c r="B148" s="482" t="e">
        <f>'Box Schedule'!#REF!</f>
        <v>#REF!</v>
      </c>
      <c r="C148" s="483" t="e">
        <f>IF((B148&gt;0),(VLOOKUP(J148,'Valve Reference'!$A$2:$K$389,3)),"-")</f>
        <v>#REF!</v>
      </c>
      <c r="D148" s="471" t="s">
        <v>577</v>
      </c>
      <c r="E148" s="484" t="e">
        <f>IF((B148&gt;0),('Vlookup Tables'!$B$37),"-")</f>
        <v>#REF!</v>
      </c>
      <c r="F148" s="585" t="e">
        <f t="shared" si="11"/>
        <v>#REF!</v>
      </c>
      <c r="G148" s="485" t="e">
        <f>IF((B148&gt;0),(VLOOKUP($B148,'Vlookup Tables'!$B$23:$F$33,2,TRUE)),"-")</f>
        <v>#REF!</v>
      </c>
      <c r="H148" s="586" t="e">
        <f t="shared" si="12"/>
        <v>#REF!</v>
      </c>
      <c r="I148" s="476" t="e">
        <f>IF((B148&gt;0),('Vlookup Tables'!$B$35),"-")</f>
        <v>#REF!</v>
      </c>
      <c r="J148" s="477" t="e">
        <f>IF(B148&gt;0,(IF(D148="2-Way",VLOOKUP($G148,'Vlookup Tables'!$C$23:$F$33,2,FALSE),VLOOKUP($G148,'Vlookup Tables'!$C$23:$F$33,3,FALSE))),"-")</f>
        <v>#REF!</v>
      </c>
      <c r="K148" s="478" t="e">
        <f>IF(B148&gt;0,(VLOOKUP(J148,'Valve Reference'!$A$2:$K$389,4)),"-")</f>
        <v>#REF!</v>
      </c>
      <c r="L148" s="478" t="e">
        <f>IF(B148&gt;0,(VLOOKUP(J148,'Valve Reference'!$A$2:$K$389,5)),"-")</f>
        <v>#REF!</v>
      </c>
      <c r="M148" s="478" t="e">
        <f>IF(B148&gt;0,(VLOOKUP(J148,'Valve Reference'!$A$2:$K$389,8)),"-")</f>
        <v>#REF!</v>
      </c>
      <c r="N148" s="478" t="e">
        <f>IF(B148&gt;0,(VLOOKUP(J148,'Valve Reference'!$A$2:$K$389,10)),"-")</f>
        <v>#REF!</v>
      </c>
      <c r="O148" s="479" t="e">
        <f>IF(B148&gt;0,(VLOOKUP(J148,'Valve Reference'!$A$2:$K$389,11)),"-")</f>
        <v>#REF!</v>
      </c>
      <c r="P148" s="480" t="e">
        <f>IF(B148&gt;0,(VLOOKUP(I148,'Actuator Reference'!$A$2:$H$54,2)),"-")</f>
        <v>#REF!</v>
      </c>
      <c r="Q148" s="480" t="e">
        <f>IF(B148&gt;0,(VLOOKUP(I148,'Actuator Reference'!$A$2:$H$54,5)),"-")</f>
        <v>#REF!</v>
      </c>
      <c r="R148" s="480" t="e">
        <f>IF(B148&gt;0,(VLOOKUP(I148,'Actuator Reference'!$A$2:$H$54,6)),"-")</f>
        <v>#REF!</v>
      </c>
      <c r="S148" s="480" t="e">
        <f>IF(B148&gt;0,(VLOOKUP(I148,'Actuator Reference'!$A$2:$H$54,7)),"-")</f>
        <v>#REF!</v>
      </c>
      <c r="T148" s="481" t="e">
        <f>IF(B148&gt;0,(VLOOKUP(I148,'Actuator Reference'!$A$2:$H$54,8)),"-")</f>
        <v>#REF!</v>
      </c>
      <c r="U148" s="39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5">
        <v>1</v>
      </c>
      <c r="AG148" s="35" t="s">
        <v>1097</v>
      </c>
      <c r="AH148" s="38" t="e">
        <f t="shared" si="9"/>
        <v>#REF!</v>
      </c>
      <c r="AI148" s="594" t="e">
        <f t="shared" si="10"/>
        <v>#REF!</v>
      </c>
      <c r="AJ148" s="595" t="s">
        <v>1339</v>
      </c>
      <c r="AK148" s="593">
        <v>4</v>
      </c>
      <c r="AL148" s="593" t="s">
        <v>1338</v>
      </c>
      <c r="AM148" s="38"/>
      <c r="AN148" s="38"/>
      <c r="AO148" s="38"/>
      <c r="AP148" s="38"/>
      <c r="AQ148" s="38"/>
      <c r="AR148" s="38"/>
      <c r="AS148" s="38"/>
      <c r="AT148" s="38"/>
      <c r="AU148" s="38"/>
      <c r="AV148" s="40"/>
      <c r="AW148" s="38"/>
      <c r="AX148" s="38"/>
      <c r="AY148" s="38"/>
      <c r="AZ148" s="38"/>
      <c r="BA148" s="38"/>
      <c r="BB148" s="38"/>
    </row>
    <row r="149" spans="1:54" ht="15" customHeight="1">
      <c r="A149" s="469" t="e">
        <f>'Box Schedule'!#REF!</f>
        <v>#REF!</v>
      </c>
      <c r="B149" s="482" t="e">
        <f>'Box Schedule'!#REF!</f>
        <v>#REF!</v>
      </c>
      <c r="C149" s="483" t="e">
        <f>IF((B149&gt;0),(VLOOKUP(J149,'Valve Reference'!$A$2:$K$389,3)),"-")</f>
        <v>#REF!</v>
      </c>
      <c r="D149" s="471" t="s">
        <v>577</v>
      </c>
      <c r="E149" s="484" t="e">
        <f>IF((B149&gt;0),('Vlookup Tables'!$B$37),"-")</f>
        <v>#REF!</v>
      </c>
      <c r="F149" s="585" t="e">
        <f t="shared" si="11"/>
        <v>#REF!</v>
      </c>
      <c r="G149" s="485" t="e">
        <f>IF((B149&gt;0),(VLOOKUP($B149,'Vlookup Tables'!$B$23:$F$33,2,TRUE)),"-")</f>
        <v>#REF!</v>
      </c>
      <c r="H149" s="586" t="e">
        <f t="shared" si="12"/>
        <v>#REF!</v>
      </c>
      <c r="I149" s="476" t="e">
        <f>IF((B149&gt;0),('Vlookup Tables'!$B$35),"-")</f>
        <v>#REF!</v>
      </c>
      <c r="J149" s="477" t="e">
        <f>IF(B149&gt;0,(IF(D149="2-Way",VLOOKUP($G149,'Vlookup Tables'!$C$23:$F$33,2,FALSE),VLOOKUP($G149,'Vlookup Tables'!$C$23:$F$33,3,FALSE))),"-")</f>
        <v>#REF!</v>
      </c>
      <c r="K149" s="478" t="e">
        <f>IF(B149&gt;0,(VLOOKUP(J149,'Valve Reference'!$A$2:$K$389,4)),"-")</f>
        <v>#REF!</v>
      </c>
      <c r="L149" s="478" t="e">
        <f>IF(B149&gt;0,(VLOOKUP(J149,'Valve Reference'!$A$2:$K$389,5)),"-")</f>
        <v>#REF!</v>
      </c>
      <c r="M149" s="478" t="e">
        <f>IF(B149&gt;0,(VLOOKUP(J149,'Valve Reference'!$A$2:$K$389,8)),"-")</f>
        <v>#REF!</v>
      </c>
      <c r="N149" s="478" t="e">
        <f>IF(B149&gt;0,(VLOOKUP(J149,'Valve Reference'!$A$2:$K$389,10)),"-")</f>
        <v>#REF!</v>
      </c>
      <c r="O149" s="479" t="e">
        <f>IF(B149&gt;0,(VLOOKUP(J149,'Valve Reference'!$A$2:$K$389,11)),"-")</f>
        <v>#REF!</v>
      </c>
      <c r="P149" s="480" t="e">
        <f>IF(B149&gt;0,(VLOOKUP(I149,'Actuator Reference'!$A$2:$H$54,2)),"-")</f>
        <v>#REF!</v>
      </c>
      <c r="Q149" s="480" t="e">
        <f>IF(B149&gt;0,(VLOOKUP(I149,'Actuator Reference'!$A$2:$H$54,5)),"-")</f>
        <v>#REF!</v>
      </c>
      <c r="R149" s="480" t="e">
        <f>IF(B149&gt;0,(VLOOKUP(I149,'Actuator Reference'!$A$2:$H$54,6)),"-")</f>
        <v>#REF!</v>
      </c>
      <c r="S149" s="480" t="e">
        <f>IF(B149&gt;0,(VLOOKUP(I149,'Actuator Reference'!$A$2:$H$54,7)),"-")</f>
        <v>#REF!</v>
      </c>
      <c r="T149" s="481" t="e">
        <f>IF(B149&gt;0,(VLOOKUP(I149,'Actuator Reference'!$A$2:$H$54,8)),"-")</f>
        <v>#REF!</v>
      </c>
      <c r="U149" s="39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5">
        <v>1</v>
      </c>
      <c r="AG149" s="35" t="s">
        <v>1097</v>
      </c>
      <c r="AH149" s="38" t="e">
        <f t="shared" si="9"/>
        <v>#REF!</v>
      </c>
      <c r="AI149" s="594" t="e">
        <f t="shared" si="10"/>
        <v>#REF!</v>
      </c>
      <c r="AJ149" s="595" t="s">
        <v>1339</v>
      </c>
      <c r="AK149" s="593">
        <v>4</v>
      </c>
      <c r="AL149" s="593" t="s">
        <v>1338</v>
      </c>
      <c r="AM149" s="38"/>
      <c r="AN149" s="38"/>
      <c r="AO149" s="38"/>
      <c r="AP149" s="38"/>
      <c r="AQ149" s="38"/>
      <c r="AR149" s="38"/>
      <c r="AS149" s="38"/>
      <c r="AT149" s="38"/>
      <c r="AU149" s="38"/>
      <c r="AV149" s="40"/>
      <c r="AW149" s="38"/>
      <c r="AX149" s="38"/>
      <c r="AY149" s="38"/>
      <c r="AZ149" s="38"/>
      <c r="BA149" s="38"/>
      <c r="BB149" s="38"/>
    </row>
    <row r="150" spans="1:54" ht="15" customHeight="1">
      <c r="A150" s="469" t="e">
        <f>'Box Schedule'!#REF!</f>
        <v>#REF!</v>
      </c>
      <c r="B150" s="482" t="e">
        <f>'Box Schedule'!#REF!</f>
        <v>#REF!</v>
      </c>
      <c r="C150" s="483" t="e">
        <f>IF((B150&gt;0),(VLOOKUP(J150,'Valve Reference'!$A$2:$K$389,3)),"-")</f>
        <v>#REF!</v>
      </c>
      <c r="D150" s="471" t="s">
        <v>577</v>
      </c>
      <c r="E150" s="484" t="e">
        <f>IF((B150&gt;0),('Vlookup Tables'!$B$37),"-")</f>
        <v>#REF!</v>
      </c>
      <c r="F150" s="585" t="e">
        <f t="shared" si="11"/>
        <v>#REF!</v>
      </c>
      <c r="G150" s="485" t="e">
        <f>IF((B150&gt;0),(VLOOKUP($B150,'Vlookup Tables'!$B$23:$F$33,2,TRUE)),"-")</f>
        <v>#REF!</v>
      </c>
      <c r="H150" s="586" t="e">
        <f t="shared" si="12"/>
        <v>#REF!</v>
      </c>
      <c r="I150" s="476" t="e">
        <f>IF((B150&gt;0),('Vlookup Tables'!$B$35),"-")</f>
        <v>#REF!</v>
      </c>
      <c r="J150" s="477" t="e">
        <f>IF(B150&gt;0,(IF(D150="2-Way",VLOOKUP($G150,'Vlookup Tables'!$C$23:$F$33,2,FALSE),VLOOKUP($G150,'Vlookup Tables'!$C$23:$F$33,3,FALSE))),"-")</f>
        <v>#REF!</v>
      </c>
      <c r="K150" s="478" t="e">
        <f>IF(B150&gt;0,(VLOOKUP(J150,'Valve Reference'!$A$2:$K$389,4)),"-")</f>
        <v>#REF!</v>
      </c>
      <c r="L150" s="478" t="e">
        <f>IF(B150&gt;0,(VLOOKUP(J150,'Valve Reference'!$A$2:$K$389,5)),"-")</f>
        <v>#REF!</v>
      </c>
      <c r="M150" s="478" t="e">
        <f>IF(B150&gt;0,(VLOOKUP(J150,'Valve Reference'!$A$2:$K$389,8)),"-")</f>
        <v>#REF!</v>
      </c>
      <c r="N150" s="478" t="e">
        <f>IF(B150&gt;0,(VLOOKUP(J150,'Valve Reference'!$A$2:$K$389,10)),"-")</f>
        <v>#REF!</v>
      </c>
      <c r="O150" s="479" t="e">
        <f>IF(B150&gt;0,(VLOOKUP(J150,'Valve Reference'!$A$2:$K$389,11)),"-")</f>
        <v>#REF!</v>
      </c>
      <c r="P150" s="480" t="e">
        <f>IF(B150&gt;0,(VLOOKUP(I150,'Actuator Reference'!$A$2:$H$54,2)),"-")</f>
        <v>#REF!</v>
      </c>
      <c r="Q150" s="480" t="e">
        <f>IF(B150&gt;0,(VLOOKUP(I150,'Actuator Reference'!$A$2:$H$54,5)),"-")</f>
        <v>#REF!</v>
      </c>
      <c r="R150" s="480" t="e">
        <f>IF(B150&gt;0,(VLOOKUP(I150,'Actuator Reference'!$A$2:$H$54,6)),"-")</f>
        <v>#REF!</v>
      </c>
      <c r="S150" s="480" t="e">
        <f>IF(B150&gt;0,(VLOOKUP(I150,'Actuator Reference'!$A$2:$H$54,7)),"-")</f>
        <v>#REF!</v>
      </c>
      <c r="T150" s="481" t="e">
        <f>IF(B150&gt;0,(VLOOKUP(I150,'Actuator Reference'!$A$2:$H$54,8)),"-")</f>
        <v>#REF!</v>
      </c>
      <c r="U150" s="39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5">
        <v>1</v>
      </c>
      <c r="AG150" s="35" t="s">
        <v>1097</v>
      </c>
      <c r="AH150" s="38" t="e">
        <f t="shared" si="9"/>
        <v>#REF!</v>
      </c>
      <c r="AI150" s="594" t="e">
        <f t="shared" si="10"/>
        <v>#REF!</v>
      </c>
      <c r="AJ150" s="595" t="s">
        <v>1339</v>
      </c>
      <c r="AK150" s="593">
        <v>4</v>
      </c>
      <c r="AL150" s="593" t="s">
        <v>1338</v>
      </c>
      <c r="AM150" s="38"/>
      <c r="AN150" s="38"/>
      <c r="AO150" s="38"/>
      <c r="AP150" s="38"/>
      <c r="AQ150" s="38"/>
      <c r="AR150" s="38"/>
      <c r="AS150" s="38"/>
      <c r="AT150" s="38"/>
      <c r="AU150" s="38"/>
      <c r="AV150" s="40"/>
      <c r="AW150" s="38"/>
      <c r="AX150" s="38"/>
      <c r="AY150" s="38"/>
      <c r="AZ150" s="38"/>
      <c r="BA150" s="38"/>
      <c r="BB150" s="38"/>
    </row>
    <row r="151" spans="1:54" ht="15" customHeight="1">
      <c r="A151" s="469" t="e">
        <f>'Box Schedule'!#REF!</f>
        <v>#REF!</v>
      </c>
      <c r="B151" s="482" t="e">
        <f>'Box Schedule'!#REF!</f>
        <v>#REF!</v>
      </c>
      <c r="C151" s="483" t="e">
        <f>IF((B151&gt;0),(VLOOKUP(J151,'Valve Reference'!$A$2:$K$389,3)),"-")</f>
        <v>#REF!</v>
      </c>
      <c r="D151" s="471" t="s">
        <v>577</v>
      </c>
      <c r="E151" s="484" t="e">
        <f>IF((B151&gt;0),('Vlookup Tables'!$B$37),"-")</f>
        <v>#REF!</v>
      </c>
      <c r="F151" s="585" t="e">
        <f t="shared" si="11"/>
        <v>#REF!</v>
      </c>
      <c r="G151" s="485" t="e">
        <f>IF((B151&gt;0),(VLOOKUP($B151,'Vlookup Tables'!$B$23:$F$33,2,TRUE)),"-")</f>
        <v>#REF!</v>
      </c>
      <c r="H151" s="586" t="e">
        <f t="shared" si="12"/>
        <v>#REF!</v>
      </c>
      <c r="I151" s="476" t="e">
        <f>IF((B151&gt;0),('Vlookup Tables'!$B$35),"-")</f>
        <v>#REF!</v>
      </c>
      <c r="J151" s="477" t="e">
        <f>IF(B151&gt;0,(IF(D151="2-Way",VLOOKUP($G151,'Vlookup Tables'!$C$23:$F$33,2,FALSE),VLOOKUP($G151,'Vlookup Tables'!$C$23:$F$33,3,FALSE))),"-")</f>
        <v>#REF!</v>
      </c>
      <c r="K151" s="478" t="e">
        <f>IF(B151&gt;0,(VLOOKUP(J151,'Valve Reference'!$A$2:$K$389,4)),"-")</f>
        <v>#REF!</v>
      </c>
      <c r="L151" s="478" t="e">
        <f>IF(B151&gt;0,(VLOOKUP(J151,'Valve Reference'!$A$2:$K$389,5)),"-")</f>
        <v>#REF!</v>
      </c>
      <c r="M151" s="478" t="e">
        <f>IF(B151&gt;0,(VLOOKUP(J151,'Valve Reference'!$A$2:$K$389,8)),"-")</f>
        <v>#REF!</v>
      </c>
      <c r="N151" s="478" t="e">
        <f>IF(B151&gt;0,(VLOOKUP(J151,'Valve Reference'!$A$2:$K$389,10)),"-")</f>
        <v>#REF!</v>
      </c>
      <c r="O151" s="479" t="e">
        <f>IF(B151&gt;0,(VLOOKUP(J151,'Valve Reference'!$A$2:$K$389,11)),"-")</f>
        <v>#REF!</v>
      </c>
      <c r="P151" s="480" t="e">
        <f>IF(B151&gt;0,(VLOOKUP(I151,'Actuator Reference'!$A$2:$H$54,2)),"-")</f>
        <v>#REF!</v>
      </c>
      <c r="Q151" s="480" t="e">
        <f>IF(B151&gt;0,(VLOOKUP(I151,'Actuator Reference'!$A$2:$H$54,5)),"-")</f>
        <v>#REF!</v>
      </c>
      <c r="R151" s="480" t="e">
        <f>IF(B151&gt;0,(VLOOKUP(I151,'Actuator Reference'!$A$2:$H$54,6)),"-")</f>
        <v>#REF!</v>
      </c>
      <c r="S151" s="480" t="e">
        <f>IF(B151&gt;0,(VLOOKUP(I151,'Actuator Reference'!$A$2:$H$54,7)),"-")</f>
        <v>#REF!</v>
      </c>
      <c r="T151" s="481" t="e">
        <f>IF(B151&gt;0,(VLOOKUP(I151,'Actuator Reference'!$A$2:$H$54,8)),"-")</f>
        <v>#REF!</v>
      </c>
      <c r="U151" s="39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5">
        <v>1</v>
      </c>
      <c r="AG151" s="35" t="s">
        <v>1097</v>
      </c>
      <c r="AH151" s="38" t="e">
        <f t="shared" si="9"/>
        <v>#REF!</v>
      </c>
      <c r="AI151" s="594" t="e">
        <f t="shared" si="10"/>
        <v>#REF!</v>
      </c>
      <c r="AJ151" s="595" t="s">
        <v>1339</v>
      </c>
      <c r="AK151" s="593">
        <v>4</v>
      </c>
      <c r="AL151" s="593" t="s">
        <v>1338</v>
      </c>
      <c r="AM151" s="38"/>
      <c r="AN151" s="38"/>
      <c r="AO151" s="38"/>
      <c r="AP151" s="38"/>
      <c r="AQ151" s="38"/>
      <c r="AR151" s="38"/>
      <c r="AS151" s="38"/>
      <c r="AT151" s="38"/>
      <c r="AU151" s="38"/>
      <c r="AV151" s="40"/>
      <c r="AW151" s="38"/>
      <c r="AX151" s="38"/>
      <c r="AY151" s="38"/>
      <c r="AZ151" s="38"/>
      <c r="BA151" s="38"/>
      <c r="BB151" s="38"/>
    </row>
    <row r="152" spans="1:54" ht="15" customHeight="1">
      <c r="A152" s="469" t="e">
        <f>'Box Schedule'!#REF!</f>
        <v>#REF!</v>
      </c>
      <c r="B152" s="482" t="e">
        <f>'Box Schedule'!#REF!</f>
        <v>#REF!</v>
      </c>
      <c r="C152" s="483" t="e">
        <f>IF((B152&gt;0),(VLOOKUP(J152,'Valve Reference'!$A$2:$K$389,3)),"-")</f>
        <v>#REF!</v>
      </c>
      <c r="D152" s="471" t="s">
        <v>577</v>
      </c>
      <c r="E152" s="484" t="e">
        <f>IF((B152&gt;0),('Vlookup Tables'!$B$37),"-")</f>
        <v>#REF!</v>
      </c>
      <c r="F152" s="585" t="e">
        <f t="shared" si="11"/>
        <v>#REF!</v>
      </c>
      <c r="G152" s="485" t="e">
        <f>IF((B152&gt;0),(VLOOKUP($B152,'Vlookup Tables'!$B$23:$F$33,2,TRUE)),"-")</f>
        <v>#REF!</v>
      </c>
      <c r="H152" s="586" t="e">
        <f t="shared" si="12"/>
        <v>#REF!</v>
      </c>
      <c r="I152" s="476" t="e">
        <f>IF((B152&gt;0),('Vlookup Tables'!$B$35),"-")</f>
        <v>#REF!</v>
      </c>
      <c r="J152" s="477" t="e">
        <f>IF(B152&gt;0,(IF(D152="2-Way",VLOOKUP($G152,'Vlookup Tables'!$C$23:$F$33,2,FALSE),VLOOKUP($G152,'Vlookup Tables'!$C$23:$F$33,3,FALSE))),"-")</f>
        <v>#REF!</v>
      </c>
      <c r="K152" s="478" t="e">
        <f>IF(B152&gt;0,(VLOOKUP(J152,'Valve Reference'!$A$2:$K$389,4)),"-")</f>
        <v>#REF!</v>
      </c>
      <c r="L152" s="478" t="e">
        <f>IF(B152&gt;0,(VLOOKUP(J152,'Valve Reference'!$A$2:$K$389,5)),"-")</f>
        <v>#REF!</v>
      </c>
      <c r="M152" s="478" t="e">
        <f>IF(B152&gt;0,(VLOOKUP(J152,'Valve Reference'!$A$2:$K$389,8)),"-")</f>
        <v>#REF!</v>
      </c>
      <c r="N152" s="478" t="e">
        <f>IF(B152&gt;0,(VLOOKUP(J152,'Valve Reference'!$A$2:$K$389,10)),"-")</f>
        <v>#REF!</v>
      </c>
      <c r="O152" s="479" t="e">
        <f>IF(B152&gt;0,(VLOOKUP(J152,'Valve Reference'!$A$2:$K$389,11)),"-")</f>
        <v>#REF!</v>
      </c>
      <c r="P152" s="480" t="e">
        <f>IF(B152&gt;0,(VLOOKUP(I152,'Actuator Reference'!$A$2:$H$54,2)),"-")</f>
        <v>#REF!</v>
      </c>
      <c r="Q152" s="480" t="e">
        <f>IF(B152&gt;0,(VLOOKUP(I152,'Actuator Reference'!$A$2:$H$54,5)),"-")</f>
        <v>#REF!</v>
      </c>
      <c r="R152" s="480" t="e">
        <f>IF(B152&gt;0,(VLOOKUP(I152,'Actuator Reference'!$A$2:$H$54,6)),"-")</f>
        <v>#REF!</v>
      </c>
      <c r="S152" s="480" t="e">
        <f>IF(B152&gt;0,(VLOOKUP(I152,'Actuator Reference'!$A$2:$H$54,7)),"-")</f>
        <v>#REF!</v>
      </c>
      <c r="T152" s="481" t="e">
        <f>IF(B152&gt;0,(VLOOKUP(I152,'Actuator Reference'!$A$2:$H$54,8)),"-")</f>
        <v>#REF!</v>
      </c>
      <c r="U152" s="39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5">
        <v>1</v>
      </c>
      <c r="AG152" s="35" t="s">
        <v>1097</v>
      </c>
      <c r="AH152" s="38" t="e">
        <f>CONCATENATE(I152,"-",J152)</f>
        <v>#REF!</v>
      </c>
      <c r="AI152" s="594" t="e">
        <f t="shared" si="10"/>
        <v>#REF!</v>
      </c>
      <c r="AJ152" s="595" t="s">
        <v>1339</v>
      </c>
      <c r="AK152" s="593">
        <v>4</v>
      </c>
      <c r="AL152" s="593" t="s">
        <v>1338</v>
      </c>
      <c r="AM152" s="38"/>
      <c r="AN152" s="38"/>
      <c r="AO152" s="38"/>
      <c r="AP152" s="38"/>
      <c r="AQ152" s="38"/>
      <c r="AR152" s="38"/>
      <c r="AS152" s="38"/>
      <c r="AT152" s="38"/>
      <c r="AU152" s="38"/>
      <c r="AV152" s="40"/>
      <c r="AW152" s="38"/>
      <c r="AX152" s="38"/>
      <c r="AY152" s="38"/>
      <c r="AZ152" s="38"/>
      <c r="BA152" s="38"/>
      <c r="BB152" s="38"/>
    </row>
    <row r="153" spans="1:54" ht="15" customHeight="1">
      <c r="A153" s="469" t="e">
        <f>'Box Schedule'!#REF!</f>
        <v>#REF!</v>
      </c>
      <c r="B153" s="482" t="e">
        <f>'Box Schedule'!#REF!</f>
        <v>#REF!</v>
      </c>
      <c r="C153" s="483" t="e">
        <f>IF((B153&gt;0),(VLOOKUP(J153,'Valve Reference'!$A$2:$K$389,3)),"-")</f>
        <v>#REF!</v>
      </c>
      <c r="D153" s="471" t="s">
        <v>577</v>
      </c>
      <c r="E153" s="484" t="e">
        <f>IF((B153&gt;0),('Vlookup Tables'!$B$37),"-")</f>
        <v>#REF!</v>
      </c>
      <c r="F153" s="585" t="e">
        <f t="shared" si="11"/>
        <v>#REF!</v>
      </c>
      <c r="G153" s="485" t="e">
        <f>IF((B153&gt;0),(VLOOKUP($B153,'Vlookup Tables'!$B$23:$F$33,2,TRUE)),"-")</f>
        <v>#REF!</v>
      </c>
      <c r="H153" s="586" t="e">
        <f t="shared" si="12"/>
        <v>#REF!</v>
      </c>
      <c r="I153" s="476" t="e">
        <f>IF((B153&gt;0),('Vlookup Tables'!$B$35),"-")</f>
        <v>#REF!</v>
      </c>
      <c r="J153" s="477" t="e">
        <f>IF(B153&gt;0,(IF(D153="2-Way",VLOOKUP($G153,'Vlookup Tables'!$C$23:$F$33,2,FALSE),VLOOKUP($G153,'Vlookup Tables'!$C$23:$F$33,3,FALSE))),"-")</f>
        <v>#REF!</v>
      </c>
      <c r="K153" s="478" t="e">
        <f>IF(B153&gt;0,(VLOOKUP(J153,'Valve Reference'!$A$2:$K$389,4)),"-")</f>
        <v>#REF!</v>
      </c>
      <c r="L153" s="478" t="e">
        <f>IF(B153&gt;0,(VLOOKUP(J153,'Valve Reference'!$A$2:$K$389,5)),"-")</f>
        <v>#REF!</v>
      </c>
      <c r="M153" s="478" t="e">
        <f>IF(B153&gt;0,(VLOOKUP(J153,'Valve Reference'!$A$2:$K$389,8)),"-")</f>
        <v>#REF!</v>
      </c>
      <c r="N153" s="478" t="e">
        <f>IF(B153&gt;0,(VLOOKUP(J153,'Valve Reference'!$A$2:$K$389,10)),"-")</f>
        <v>#REF!</v>
      </c>
      <c r="O153" s="479" t="e">
        <f>IF(B153&gt;0,(VLOOKUP(J153,'Valve Reference'!$A$2:$K$389,11)),"-")</f>
        <v>#REF!</v>
      </c>
      <c r="P153" s="480" t="e">
        <f>IF(B153&gt;0,(VLOOKUP(I153,'Actuator Reference'!$A$2:$H$54,2)),"-")</f>
        <v>#REF!</v>
      </c>
      <c r="Q153" s="480" t="e">
        <f>IF(B153&gt;0,(VLOOKUP(I153,'Actuator Reference'!$A$2:$H$54,5)),"-")</f>
        <v>#REF!</v>
      </c>
      <c r="R153" s="480" t="e">
        <f>IF(B153&gt;0,(VLOOKUP(I153,'Actuator Reference'!$A$2:$H$54,6)),"-")</f>
        <v>#REF!</v>
      </c>
      <c r="S153" s="480" t="e">
        <f>IF(B153&gt;0,(VLOOKUP(I153,'Actuator Reference'!$A$2:$H$54,7)),"-")</f>
        <v>#REF!</v>
      </c>
      <c r="T153" s="481" t="e">
        <f>IF(B153&gt;0,(VLOOKUP(I153,'Actuator Reference'!$A$2:$H$54,8)),"-")</f>
        <v>#REF!</v>
      </c>
      <c r="U153" s="39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5">
        <v>1</v>
      </c>
      <c r="AG153" s="35" t="s">
        <v>1097</v>
      </c>
      <c r="AH153" s="38" t="e">
        <f>CONCATENATE(I153,"-",J153)</f>
        <v>#REF!</v>
      </c>
      <c r="AI153" s="594" t="e">
        <f t="shared" si="10"/>
        <v>#REF!</v>
      </c>
      <c r="AJ153" s="595" t="s">
        <v>1339</v>
      </c>
      <c r="AK153" s="593">
        <v>4</v>
      </c>
      <c r="AL153" s="593" t="s">
        <v>1338</v>
      </c>
      <c r="AM153" s="38"/>
      <c r="AN153" s="38"/>
      <c r="AO153" s="38"/>
      <c r="AP153" s="38"/>
      <c r="AQ153" s="38"/>
      <c r="AR153" s="38"/>
      <c r="AS153" s="38"/>
      <c r="AT153" s="38"/>
      <c r="AU153" s="38"/>
      <c r="AV153" s="40"/>
      <c r="AW153" s="38"/>
      <c r="AX153" s="38"/>
      <c r="AY153" s="38"/>
      <c r="AZ153" s="38"/>
      <c r="BA153" s="38"/>
      <c r="BB153" s="38"/>
    </row>
    <row r="154" spans="1:54" ht="15" customHeight="1">
      <c r="A154" s="469" t="e">
        <f>'Box Schedule'!#REF!</f>
        <v>#REF!</v>
      </c>
      <c r="B154" s="482" t="e">
        <f>'Box Schedule'!#REF!</f>
        <v>#REF!</v>
      </c>
      <c r="C154" s="483" t="e">
        <f>IF((B154&gt;0),(VLOOKUP(J154,'Valve Reference'!$A$2:$K$389,3)),"-")</f>
        <v>#REF!</v>
      </c>
      <c r="D154" s="471" t="s">
        <v>577</v>
      </c>
      <c r="E154" s="484" t="e">
        <f>IF((B154&gt;0),('Vlookup Tables'!$B$37),"-")</f>
        <v>#REF!</v>
      </c>
      <c r="F154" s="585" t="e">
        <f t="shared" ref="F154:F162" si="13">IF((B154&gt;0),(B154/SQRT(E154)),"-")</f>
        <v>#REF!</v>
      </c>
      <c r="G154" s="485" t="e">
        <f>IF((B154&gt;0),(VLOOKUP($B154,'Vlookup Tables'!$B$23:$F$33,2,TRUE)),"-")</f>
        <v>#REF!</v>
      </c>
      <c r="H154" s="586" t="e">
        <f t="shared" ref="H154:H162" si="14">IF((B154&gt;0),(1/((G154/B154)^2)),"-")</f>
        <v>#REF!</v>
      </c>
      <c r="I154" s="476" t="e">
        <f>IF((B154&gt;0),('Vlookup Tables'!$B$35),"-")</f>
        <v>#REF!</v>
      </c>
      <c r="J154" s="477" t="e">
        <f>IF(B154&gt;0,(IF(D154="2-Way",VLOOKUP($G154,'Vlookup Tables'!$C$23:$F$33,2,FALSE),VLOOKUP($G154,'Vlookup Tables'!$C$23:$F$33,3,FALSE))),"-")</f>
        <v>#REF!</v>
      </c>
      <c r="K154" s="478" t="e">
        <f>IF(B154&gt;0,(VLOOKUP(J154,'Valve Reference'!$A$2:$K$389,4)),"-")</f>
        <v>#REF!</v>
      </c>
      <c r="L154" s="478" t="e">
        <f>IF(B154&gt;0,(VLOOKUP(J154,'Valve Reference'!$A$2:$K$389,5)),"-")</f>
        <v>#REF!</v>
      </c>
      <c r="M154" s="478" t="e">
        <f>IF(B154&gt;0,(VLOOKUP(J154,'Valve Reference'!$A$2:$K$389,8)),"-")</f>
        <v>#REF!</v>
      </c>
      <c r="N154" s="478" t="e">
        <f>IF(B154&gt;0,(VLOOKUP(J154,'Valve Reference'!$A$2:$K$389,10)),"-")</f>
        <v>#REF!</v>
      </c>
      <c r="O154" s="479" t="e">
        <f>IF(B154&gt;0,(VLOOKUP(J154,'Valve Reference'!$A$2:$K$389,11)),"-")</f>
        <v>#REF!</v>
      </c>
      <c r="P154" s="480" t="e">
        <f>IF(B154&gt;0,(VLOOKUP(I154,'Actuator Reference'!$A$2:$H$54,2)),"-")</f>
        <v>#REF!</v>
      </c>
      <c r="Q154" s="480" t="e">
        <f>IF(B154&gt;0,(VLOOKUP(I154,'Actuator Reference'!$A$2:$H$54,5)),"-")</f>
        <v>#REF!</v>
      </c>
      <c r="R154" s="480" t="e">
        <f>IF(B154&gt;0,(VLOOKUP(I154,'Actuator Reference'!$A$2:$H$54,6)),"-")</f>
        <v>#REF!</v>
      </c>
      <c r="S154" s="480" t="e">
        <f>IF(B154&gt;0,(VLOOKUP(I154,'Actuator Reference'!$A$2:$H$54,7)),"-")</f>
        <v>#REF!</v>
      </c>
      <c r="T154" s="481" t="e">
        <f>IF(B154&gt;0,(VLOOKUP(I154,'Actuator Reference'!$A$2:$H$54,8)),"-")</f>
        <v>#REF!</v>
      </c>
      <c r="U154" s="596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35">
        <v>1</v>
      </c>
      <c r="AG154" s="35" t="s">
        <v>1097</v>
      </c>
      <c r="AH154" s="597" t="e">
        <f t="shared" ref="AH154:AH160" si="15">CONCATENATE(I154,"-",J154)</f>
        <v>#REF!</v>
      </c>
      <c r="AI154" s="594" t="e">
        <f t="shared" ref="AI154:AI162" si="16">CONCATENATE("=",A154)</f>
        <v>#REF!</v>
      </c>
      <c r="AJ154" s="597" t="s">
        <v>1339</v>
      </c>
      <c r="AK154" s="597">
        <v>4</v>
      </c>
      <c r="AL154" s="597" t="s">
        <v>1338</v>
      </c>
      <c r="AM154" s="597"/>
      <c r="AN154" s="597"/>
      <c r="AO154" s="597"/>
      <c r="AP154" s="597"/>
      <c r="AQ154" s="597"/>
      <c r="AR154" s="597"/>
      <c r="AS154" s="597"/>
      <c r="AT154" s="597"/>
      <c r="AU154" s="597"/>
      <c r="AV154" s="40"/>
      <c r="AW154" s="597"/>
      <c r="AX154" s="597"/>
      <c r="AY154" s="597"/>
      <c r="AZ154" s="597"/>
      <c r="BA154" s="597"/>
      <c r="BB154" s="597"/>
    </row>
    <row r="155" spans="1:54" ht="15" customHeight="1">
      <c r="A155" s="469" t="e">
        <f>'Box Schedule'!#REF!</f>
        <v>#REF!</v>
      </c>
      <c r="B155" s="482" t="e">
        <f>'Box Schedule'!#REF!</f>
        <v>#REF!</v>
      </c>
      <c r="C155" s="483" t="e">
        <f>IF((B155&gt;0),(VLOOKUP(J155,'Valve Reference'!$A$2:$K$389,3)),"-")</f>
        <v>#REF!</v>
      </c>
      <c r="D155" s="471" t="s">
        <v>579</v>
      </c>
      <c r="E155" s="484" t="e">
        <f>IF((B155&gt;0),('Vlookup Tables'!$B$37),"-")</f>
        <v>#REF!</v>
      </c>
      <c r="F155" s="585" t="e">
        <f t="shared" si="13"/>
        <v>#REF!</v>
      </c>
      <c r="G155" s="485" t="e">
        <f>IF((B155&gt;0),(VLOOKUP($B155,'Vlookup Tables'!$B$23:$F$33,2,TRUE)),"-")</f>
        <v>#REF!</v>
      </c>
      <c r="H155" s="586" t="e">
        <f t="shared" si="14"/>
        <v>#REF!</v>
      </c>
      <c r="I155" s="476" t="e">
        <f>IF((B155&gt;0),('Vlookup Tables'!$B$35),"-")</f>
        <v>#REF!</v>
      </c>
      <c r="J155" s="477" t="e">
        <f>IF(B155&gt;0,(IF(D155="2-Way",VLOOKUP($G155,'Vlookup Tables'!$C$23:$F$33,2,FALSE),VLOOKUP($G155,'Vlookup Tables'!$C$23:$F$33,3,FALSE))),"-")</f>
        <v>#REF!</v>
      </c>
      <c r="K155" s="478" t="e">
        <f>IF(B155&gt;0,(VLOOKUP(J155,'Valve Reference'!$A$2:$K$389,4)),"-")</f>
        <v>#REF!</v>
      </c>
      <c r="L155" s="478" t="e">
        <f>IF(B155&gt;0,(VLOOKUP(J155,'Valve Reference'!$A$2:$K$389,5)),"-")</f>
        <v>#REF!</v>
      </c>
      <c r="M155" s="478" t="e">
        <f>IF(B155&gt;0,(VLOOKUP(J155,'Valve Reference'!$A$2:$K$389,8)),"-")</f>
        <v>#REF!</v>
      </c>
      <c r="N155" s="478" t="e">
        <f>IF(B155&gt;0,(VLOOKUP(J155,'Valve Reference'!$A$2:$K$389,10)),"-")</f>
        <v>#REF!</v>
      </c>
      <c r="O155" s="479" t="e">
        <f>IF(B155&gt;0,(VLOOKUP(J155,'Valve Reference'!$A$2:$K$389,11)),"-")</f>
        <v>#REF!</v>
      </c>
      <c r="P155" s="480" t="e">
        <f>IF(B155&gt;0,(VLOOKUP(I155,'Actuator Reference'!$A$2:$H$54,2)),"-")</f>
        <v>#REF!</v>
      </c>
      <c r="Q155" s="480" t="e">
        <f>IF(B155&gt;0,(VLOOKUP(I155,'Actuator Reference'!$A$2:$H$54,5)),"-")</f>
        <v>#REF!</v>
      </c>
      <c r="R155" s="480" t="e">
        <f>IF(B155&gt;0,(VLOOKUP(I155,'Actuator Reference'!$A$2:$H$54,6)),"-")</f>
        <v>#REF!</v>
      </c>
      <c r="S155" s="480" t="e">
        <f>IF(B155&gt;0,(VLOOKUP(I155,'Actuator Reference'!$A$2:$H$54,7)),"-")</f>
        <v>#REF!</v>
      </c>
      <c r="T155" s="481" t="e">
        <f>IF(B155&gt;0,(VLOOKUP(I155,'Actuator Reference'!$A$2:$H$54,8)),"-")</f>
        <v>#REF!</v>
      </c>
      <c r="U155" s="596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35">
        <v>1</v>
      </c>
      <c r="AG155" s="35" t="s">
        <v>1097</v>
      </c>
      <c r="AH155" s="597" t="e">
        <f t="shared" si="15"/>
        <v>#REF!</v>
      </c>
      <c r="AI155" s="594" t="e">
        <f t="shared" si="16"/>
        <v>#REF!</v>
      </c>
      <c r="AJ155" s="597" t="s">
        <v>1339</v>
      </c>
      <c r="AK155" s="597">
        <v>4</v>
      </c>
      <c r="AL155" s="597" t="s">
        <v>1338</v>
      </c>
      <c r="AM155" s="597"/>
      <c r="AN155" s="597"/>
      <c r="AO155" s="597"/>
      <c r="AP155" s="597"/>
      <c r="AQ155" s="597"/>
      <c r="AR155" s="597"/>
      <c r="AS155" s="597"/>
      <c r="AT155" s="597"/>
      <c r="AU155" s="597"/>
      <c r="AV155" s="40"/>
      <c r="AW155" s="597"/>
      <c r="AX155" s="597"/>
      <c r="AY155" s="597"/>
      <c r="AZ155" s="597"/>
      <c r="BA155" s="597"/>
      <c r="BB155" s="597"/>
    </row>
    <row r="156" spans="1:54" ht="15" customHeight="1">
      <c r="A156" s="469" t="e">
        <f>'Box Schedule'!#REF!</f>
        <v>#REF!</v>
      </c>
      <c r="B156" s="482" t="e">
        <f>'Box Schedule'!#REF!</f>
        <v>#REF!</v>
      </c>
      <c r="C156" s="483" t="e">
        <f>IF((B156&gt;0),(VLOOKUP(J156,'Valve Reference'!$A$2:$K$389,3)),"-")</f>
        <v>#REF!</v>
      </c>
      <c r="D156" s="471" t="s">
        <v>577</v>
      </c>
      <c r="E156" s="484" t="e">
        <f>IF((B156&gt;0),('Vlookup Tables'!$B$37),"-")</f>
        <v>#REF!</v>
      </c>
      <c r="F156" s="585" t="e">
        <f t="shared" si="13"/>
        <v>#REF!</v>
      </c>
      <c r="G156" s="485" t="e">
        <f>IF((B156&gt;0),(VLOOKUP($B156,'Vlookup Tables'!$B$23:$F$33,2,TRUE)),"-")</f>
        <v>#REF!</v>
      </c>
      <c r="H156" s="586" t="e">
        <f t="shared" si="14"/>
        <v>#REF!</v>
      </c>
      <c r="I156" s="476" t="e">
        <f>IF((B156&gt;0),('Vlookup Tables'!$B$35),"-")</f>
        <v>#REF!</v>
      </c>
      <c r="J156" s="477" t="e">
        <f>IF(B156&gt;0,(IF(D156="2-Way",VLOOKUP($G156,'Vlookup Tables'!$C$23:$F$33,2,FALSE),VLOOKUP($G156,'Vlookup Tables'!$C$23:$F$33,3,FALSE))),"-")</f>
        <v>#REF!</v>
      </c>
      <c r="K156" s="478" t="e">
        <f>IF(B156&gt;0,(VLOOKUP(J156,'Valve Reference'!$A$2:$K$389,4)),"-")</f>
        <v>#REF!</v>
      </c>
      <c r="L156" s="478" t="e">
        <f>IF(B156&gt;0,(VLOOKUP(J156,'Valve Reference'!$A$2:$K$389,5)),"-")</f>
        <v>#REF!</v>
      </c>
      <c r="M156" s="478" t="e">
        <f>IF(B156&gt;0,(VLOOKUP(J156,'Valve Reference'!$A$2:$K$389,8)),"-")</f>
        <v>#REF!</v>
      </c>
      <c r="N156" s="478" t="e">
        <f>IF(B156&gt;0,(VLOOKUP(J156,'Valve Reference'!$A$2:$K$389,10)),"-")</f>
        <v>#REF!</v>
      </c>
      <c r="O156" s="479" t="e">
        <f>IF(B156&gt;0,(VLOOKUP(J156,'Valve Reference'!$A$2:$K$389,11)),"-")</f>
        <v>#REF!</v>
      </c>
      <c r="P156" s="480" t="e">
        <f>IF(B156&gt;0,(VLOOKUP(I156,'Actuator Reference'!$A$2:$H$54,2)),"-")</f>
        <v>#REF!</v>
      </c>
      <c r="Q156" s="480" t="e">
        <f>IF(B156&gt;0,(VLOOKUP(I156,'Actuator Reference'!$A$2:$H$54,5)),"-")</f>
        <v>#REF!</v>
      </c>
      <c r="R156" s="480" t="e">
        <f>IF(B156&gt;0,(VLOOKUP(I156,'Actuator Reference'!$A$2:$H$54,6)),"-")</f>
        <v>#REF!</v>
      </c>
      <c r="S156" s="480" t="e">
        <f>IF(B156&gt;0,(VLOOKUP(I156,'Actuator Reference'!$A$2:$H$54,7)),"-")</f>
        <v>#REF!</v>
      </c>
      <c r="T156" s="481" t="e">
        <f>IF(B156&gt;0,(VLOOKUP(I156,'Actuator Reference'!$A$2:$H$54,8)),"-")</f>
        <v>#REF!</v>
      </c>
      <c r="U156" s="596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35">
        <v>1</v>
      </c>
      <c r="AG156" s="35" t="s">
        <v>1097</v>
      </c>
      <c r="AH156" s="597" t="e">
        <f t="shared" si="15"/>
        <v>#REF!</v>
      </c>
      <c r="AI156" s="594" t="e">
        <f t="shared" si="16"/>
        <v>#REF!</v>
      </c>
      <c r="AJ156" s="597" t="s">
        <v>1339</v>
      </c>
      <c r="AK156" s="597">
        <v>4</v>
      </c>
      <c r="AL156" s="597" t="s">
        <v>1338</v>
      </c>
      <c r="AM156" s="597"/>
      <c r="AN156" s="597"/>
      <c r="AO156" s="597"/>
      <c r="AP156" s="597"/>
      <c r="AQ156" s="597"/>
      <c r="AR156" s="597"/>
      <c r="AS156" s="597"/>
      <c r="AT156" s="597"/>
      <c r="AU156" s="597"/>
      <c r="AV156" s="40"/>
      <c r="AW156" s="597"/>
      <c r="AX156" s="597"/>
      <c r="AY156" s="597"/>
      <c r="AZ156" s="597"/>
      <c r="BA156" s="597"/>
      <c r="BB156" s="597"/>
    </row>
    <row r="157" spans="1:54" ht="15" customHeight="1">
      <c r="A157" s="469" t="e">
        <f>'Box Schedule'!#REF!</f>
        <v>#REF!</v>
      </c>
      <c r="B157" s="482" t="e">
        <f>'Box Schedule'!#REF!</f>
        <v>#REF!</v>
      </c>
      <c r="C157" s="483" t="e">
        <f>IF((B157&gt;0),(VLOOKUP(J157,'Valve Reference'!$A$2:$K$389,3)),"-")</f>
        <v>#REF!</v>
      </c>
      <c r="D157" s="471" t="s">
        <v>577</v>
      </c>
      <c r="E157" s="484" t="e">
        <f>IF((B157&gt;0),('Vlookup Tables'!$B$37),"-")</f>
        <v>#REF!</v>
      </c>
      <c r="F157" s="585" t="e">
        <f t="shared" si="13"/>
        <v>#REF!</v>
      </c>
      <c r="G157" s="485" t="e">
        <f>IF((B157&gt;0),(VLOOKUP($B157,'Vlookup Tables'!$B$23:$F$33,2,TRUE)),"-")</f>
        <v>#REF!</v>
      </c>
      <c r="H157" s="586" t="e">
        <f t="shared" si="14"/>
        <v>#REF!</v>
      </c>
      <c r="I157" s="476" t="e">
        <f>IF((B157&gt;0),('Vlookup Tables'!$B$35),"-")</f>
        <v>#REF!</v>
      </c>
      <c r="J157" s="477" t="e">
        <f>IF(B157&gt;0,(IF(D157="2-Way",VLOOKUP($G157,'Vlookup Tables'!$C$23:$F$33,2,FALSE),VLOOKUP($G157,'Vlookup Tables'!$C$23:$F$33,3,FALSE))),"-")</f>
        <v>#REF!</v>
      </c>
      <c r="K157" s="478" t="e">
        <f>IF(B157&gt;0,(VLOOKUP(J157,'Valve Reference'!$A$2:$K$389,4)),"-")</f>
        <v>#REF!</v>
      </c>
      <c r="L157" s="478" t="e">
        <f>IF(B157&gt;0,(VLOOKUP(J157,'Valve Reference'!$A$2:$K$389,5)),"-")</f>
        <v>#REF!</v>
      </c>
      <c r="M157" s="478" t="e">
        <f>IF(B157&gt;0,(VLOOKUP(J157,'Valve Reference'!$A$2:$K$389,8)),"-")</f>
        <v>#REF!</v>
      </c>
      <c r="N157" s="478" t="e">
        <f>IF(B157&gt;0,(VLOOKUP(J157,'Valve Reference'!$A$2:$K$389,10)),"-")</f>
        <v>#REF!</v>
      </c>
      <c r="O157" s="479" t="e">
        <f>IF(B157&gt;0,(VLOOKUP(J157,'Valve Reference'!$A$2:$K$389,11)),"-")</f>
        <v>#REF!</v>
      </c>
      <c r="P157" s="480" t="e">
        <f>IF(B157&gt;0,(VLOOKUP(I157,'Actuator Reference'!$A$2:$H$54,2)),"-")</f>
        <v>#REF!</v>
      </c>
      <c r="Q157" s="480" t="e">
        <f>IF(B157&gt;0,(VLOOKUP(I157,'Actuator Reference'!$A$2:$H$54,5)),"-")</f>
        <v>#REF!</v>
      </c>
      <c r="R157" s="480" t="e">
        <f>IF(B157&gt;0,(VLOOKUP(I157,'Actuator Reference'!$A$2:$H$54,6)),"-")</f>
        <v>#REF!</v>
      </c>
      <c r="S157" s="480" t="e">
        <f>IF(B157&gt;0,(VLOOKUP(I157,'Actuator Reference'!$A$2:$H$54,7)),"-")</f>
        <v>#REF!</v>
      </c>
      <c r="T157" s="481" t="e">
        <f>IF(B157&gt;0,(VLOOKUP(I157,'Actuator Reference'!$A$2:$H$54,8)),"-")</f>
        <v>#REF!</v>
      </c>
      <c r="U157" s="596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35">
        <v>1</v>
      </c>
      <c r="AG157" s="35" t="s">
        <v>1097</v>
      </c>
      <c r="AH157" s="597" t="e">
        <f t="shared" si="15"/>
        <v>#REF!</v>
      </c>
      <c r="AI157" s="594" t="e">
        <f t="shared" si="16"/>
        <v>#REF!</v>
      </c>
      <c r="AJ157" s="597" t="s">
        <v>1339</v>
      </c>
      <c r="AK157" s="597">
        <v>4</v>
      </c>
      <c r="AL157" s="597" t="s">
        <v>1338</v>
      </c>
      <c r="AM157" s="597"/>
      <c r="AN157" s="597"/>
      <c r="AO157" s="597"/>
      <c r="AP157" s="597"/>
      <c r="AQ157" s="597"/>
      <c r="AR157" s="597"/>
      <c r="AS157" s="597"/>
      <c r="AT157" s="597"/>
      <c r="AU157" s="597"/>
      <c r="AV157" s="40"/>
      <c r="AW157" s="597"/>
      <c r="AX157" s="597"/>
      <c r="AY157" s="597"/>
      <c r="AZ157" s="597"/>
      <c r="BA157" s="597"/>
      <c r="BB157" s="597"/>
    </row>
    <row r="158" spans="1:54" ht="15" customHeight="1">
      <c r="A158" s="469" t="e">
        <f>'Box Schedule'!#REF!</f>
        <v>#REF!</v>
      </c>
      <c r="B158" s="482" t="e">
        <f>'Box Schedule'!#REF!</f>
        <v>#REF!</v>
      </c>
      <c r="C158" s="483" t="e">
        <f>IF((B158&gt;0),(VLOOKUP(J158,'Valve Reference'!$A$2:$K$389,3)),"-")</f>
        <v>#REF!</v>
      </c>
      <c r="D158" s="471" t="s">
        <v>577</v>
      </c>
      <c r="E158" s="484" t="e">
        <f>IF((B158&gt;0),('Vlookup Tables'!$B$37),"-")</f>
        <v>#REF!</v>
      </c>
      <c r="F158" s="585" t="e">
        <f t="shared" si="13"/>
        <v>#REF!</v>
      </c>
      <c r="G158" s="485" t="e">
        <f>IF((B158&gt;0),(VLOOKUP($B158,'Vlookup Tables'!$B$23:$F$33,2,TRUE)),"-")</f>
        <v>#REF!</v>
      </c>
      <c r="H158" s="586" t="e">
        <f t="shared" si="14"/>
        <v>#REF!</v>
      </c>
      <c r="I158" s="476" t="e">
        <f>IF((B158&gt;0),('Vlookup Tables'!$B$35),"-")</f>
        <v>#REF!</v>
      </c>
      <c r="J158" s="477" t="e">
        <f>IF(B158&gt;0,(IF(D158="2-Way",VLOOKUP($G158,'Vlookup Tables'!$C$23:$F$33,2,FALSE),VLOOKUP($G158,'Vlookup Tables'!$C$23:$F$33,3,FALSE))),"-")</f>
        <v>#REF!</v>
      </c>
      <c r="K158" s="478" t="e">
        <f>IF(B158&gt;0,(VLOOKUP(J158,'Valve Reference'!$A$2:$K$389,4)),"-")</f>
        <v>#REF!</v>
      </c>
      <c r="L158" s="478" t="e">
        <f>IF(B158&gt;0,(VLOOKUP(J158,'Valve Reference'!$A$2:$K$389,5)),"-")</f>
        <v>#REF!</v>
      </c>
      <c r="M158" s="478" t="e">
        <f>IF(B158&gt;0,(VLOOKUP(J158,'Valve Reference'!$A$2:$K$389,8)),"-")</f>
        <v>#REF!</v>
      </c>
      <c r="N158" s="478" t="e">
        <f>IF(B158&gt;0,(VLOOKUP(J158,'Valve Reference'!$A$2:$K$389,10)),"-")</f>
        <v>#REF!</v>
      </c>
      <c r="O158" s="479" t="e">
        <f>IF(B158&gt;0,(VLOOKUP(J158,'Valve Reference'!$A$2:$K$389,11)),"-")</f>
        <v>#REF!</v>
      </c>
      <c r="P158" s="480" t="e">
        <f>IF(B158&gt;0,(VLOOKUP(I158,'Actuator Reference'!$A$2:$H$54,2)),"-")</f>
        <v>#REF!</v>
      </c>
      <c r="Q158" s="480" t="e">
        <f>IF(B158&gt;0,(VLOOKUP(I158,'Actuator Reference'!$A$2:$H$54,5)),"-")</f>
        <v>#REF!</v>
      </c>
      <c r="R158" s="480" t="e">
        <f>IF(B158&gt;0,(VLOOKUP(I158,'Actuator Reference'!$A$2:$H$54,6)),"-")</f>
        <v>#REF!</v>
      </c>
      <c r="S158" s="480" t="e">
        <f>IF(B158&gt;0,(VLOOKUP(I158,'Actuator Reference'!$A$2:$H$54,7)),"-")</f>
        <v>#REF!</v>
      </c>
      <c r="T158" s="481" t="e">
        <f>IF(B158&gt;0,(VLOOKUP(I158,'Actuator Reference'!$A$2:$H$54,8)),"-")</f>
        <v>#REF!</v>
      </c>
      <c r="U158" s="596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35">
        <v>1</v>
      </c>
      <c r="AG158" s="35" t="s">
        <v>1097</v>
      </c>
      <c r="AH158" s="597" t="e">
        <f t="shared" si="15"/>
        <v>#REF!</v>
      </c>
      <c r="AI158" s="594" t="e">
        <f t="shared" si="16"/>
        <v>#REF!</v>
      </c>
      <c r="AJ158" s="597" t="s">
        <v>1339</v>
      </c>
      <c r="AK158" s="597">
        <v>4</v>
      </c>
      <c r="AL158" s="597" t="s">
        <v>1338</v>
      </c>
      <c r="AM158" s="597"/>
      <c r="AN158" s="597"/>
      <c r="AO158" s="597"/>
      <c r="AP158" s="597"/>
      <c r="AQ158" s="597"/>
      <c r="AR158" s="597"/>
      <c r="AS158" s="597"/>
      <c r="AT158" s="597"/>
      <c r="AU158" s="597"/>
      <c r="AV158" s="40"/>
      <c r="AW158" s="597"/>
      <c r="AX158" s="597"/>
      <c r="AY158" s="597"/>
      <c r="AZ158" s="597"/>
      <c r="BA158" s="597"/>
      <c r="BB158" s="597"/>
    </row>
    <row r="159" spans="1:54" ht="15" customHeight="1">
      <c r="A159" s="469" t="e">
        <f>'Box Schedule'!#REF!</f>
        <v>#REF!</v>
      </c>
      <c r="B159" s="482" t="e">
        <f>'Box Schedule'!#REF!</f>
        <v>#REF!</v>
      </c>
      <c r="C159" s="483" t="e">
        <f>IF((B159&gt;0),(VLOOKUP(J159,'Valve Reference'!$A$2:$K$389,3)),"-")</f>
        <v>#REF!</v>
      </c>
      <c r="D159" s="471" t="s">
        <v>577</v>
      </c>
      <c r="E159" s="484" t="e">
        <f>IF((B159&gt;0),('Vlookup Tables'!$B$37),"-")</f>
        <v>#REF!</v>
      </c>
      <c r="F159" s="585" t="e">
        <f t="shared" si="13"/>
        <v>#REF!</v>
      </c>
      <c r="G159" s="485" t="e">
        <f>IF((B159&gt;0),(VLOOKUP($B159,'Vlookup Tables'!$B$23:$F$33,2,TRUE)),"-")</f>
        <v>#REF!</v>
      </c>
      <c r="H159" s="586" t="e">
        <f t="shared" si="14"/>
        <v>#REF!</v>
      </c>
      <c r="I159" s="476" t="e">
        <f>IF((B159&gt;0),('Vlookup Tables'!$B$35),"-")</f>
        <v>#REF!</v>
      </c>
      <c r="J159" s="477" t="e">
        <f>IF(B159&gt;0,(IF(D159="2-Way",VLOOKUP($G159,'Vlookup Tables'!$C$23:$F$33,2,FALSE),VLOOKUP($G159,'Vlookup Tables'!$C$23:$F$33,3,FALSE))),"-")</f>
        <v>#REF!</v>
      </c>
      <c r="K159" s="478" t="e">
        <f>IF(B159&gt;0,(VLOOKUP(J159,'Valve Reference'!$A$2:$K$389,4)),"-")</f>
        <v>#REF!</v>
      </c>
      <c r="L159" s="478" t="e">
        <f>IF(B159&gt;0,(VLOOKUP(J159,'Valve Reference'!$A$2:$K$389,5)),"-")</f>
        <v>#REF!</v>
      </c>
      <c r="M159" s="478" t="e">
        <f>IF(B159&gt;0,(VLOOKUP(J159,'Valve Reference'!$A$2:$K$389,8)),"-")</f>
        <v>#REF!</v>
      </c>
      <c r="N159" s="478" t="e">
        <f>IF(B159&gt;0,(VLOOKUP(J159,'Valve Reference'!$A$2:$K$389,10)),"-")</f>
        <v>#REF!</v>
      </c>
      <c r="O159" s="479" t="e">
        <f>IF(B159&gt;0,(VLOOKUP(J159,'Valve Reference'!$A$2:$K$389,11)),"-")</f>
        <v>#REF!</v>
      </c>
      <c r="P159" s="480" t="e">
        <f>IF(B159&gt;0,(VLOOKUP(I159,'Actuator Reference'!$A$2:$H$54,2)),"-")</f>
        <v>#REF!</v>
      </c>
      <c r="Q159" s="480" t="e">
        <f>IF(B159&gt;0,(VLOOKUP(I159,'Actuator Reference'!$A$2:$H$54,5)),"-")</f>
        <v>#REF!</v>
      </c>
      <c r="R159" s="480" t="e">
        <f>IF(B159&gt;0,(VLOOKUP(I159,'Actuator Reference'!$A$2:$H$54,6)),"-")</f>
        <v>#REF!</v>
      </c>
      <c r="S159" s="480" t="e">
        <f>IF(B159&gt;0,(VLOOKUP(I159,'Actuator Reference'!$A$2:$H$54,7)),"-")</f>
        <v>#REF!</v>
      </c>
      <c r="T159" s="481" t="e">
        <f>IF(B159&gt;0,(VLOOKUP(I159,'Actuator Reference'!$A$2:$H$54,8)),"-")</f>
        <v>#REF!</v>
      </c>
      <c r="U159" s="596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35">
        <v>1</v>
      </c>
      <c r="AG159" s="35" t="s">
        <v>1097</v>
      </c>
      <c r="AH159" s="597" t="e">
        <f t="shared" si="15"/>
        <v>#REF!</v>
      </c>
      <c r="AI159" s="594" t="e">
        <f t="shared" si="16"/>
        <v>#REF!</v>
      </c>
      <c r="AJ159" s="597" t="s">
        <v>1339</v>
      </c>
      <c r="AK159" s="597">
        <v>4</v>
      </c>
      <c r="AL159" s="597" t="s">
        <v>1338</v>
      </c>
      <c r="AM159" s="597"/>
      <c r="AN159" s="597"/>
      <c r="AO159" s="597"/>
      <c r="AP159" s="597"/>
      <c r="AQ159" s="597"/>
      <c r="AR159" s="597"/>
      <c r="AS159" s="597"/>
      <c r="AT159" s="597"/>
      <c r="AU159" s="597"/>
      <c r="AV159" s="40"/>
      <c r="AW159" s="597"/>
      <c r="AX159" s="597"/>
      <c r="AY159" s="597"/>
      <c r="AZ159" s="597"/>
      <c r="BA159" s="597"/>
      <c r="BB159" s="597"/>
    </row>
    <row r="160" spans="1:54" ht="15" customHeight="1">
      <c r="A160" s="469" t="e">
        <f>'Box Schedule'!#REF!</f>
        <v>#REF!</v>
      </c>
      <c r="B160" s="482" t="e">
        <f>'Box Schedule'!#REF!</f>
        <v>#REF!</v>
      </c>
      <c r="C160" s="483" t="e">
        <f>IF((B160&gt;0),(VLOOKUP(J160,'Valve Reference'!$A$2:$K$389,3)),"-")</f>
        <v>#REF!</v>
      </c>
      <c r="D160" s="471" t="s">
        <v>577</v>
      </c>
      <c r="E160" s="484" t="e">
        <f>IF((B160&gt;0),('Vlookup Tables'!$B$37),"-")</f>
        <v>#REF!</v>
      </c>
      <c r="F160" s="585" t="e">
        <f t="shared" si="13"/>
        <v>#REF!</v>
      </c>
      <c r="G160" s="485" t="e">
        <f>IF((B160&gt;0),(VLOOKUP($B160,'Vlookup Tables'!$B$23:$F$33,2,TRUE)),"-")</f>
        <v>#REF!</v>
      </c>
      <c r="H160" s="586" t="e">
        <f t="shared" si="14"/>
        <v>#REF!</v>
      </c>
      <c r="I160" s="476" t="e">
        <f>IF((B160&gt;0),('Vlookup Tables'!$B$35),"-")</f>
        <v>#REF!</v>
      </c>
      <c r="J160" s="477" t="e">
        <f>IF(B160&gt;0,(IF(D160="2-Way",VLOOKUP($G160,'Vlookup Tables'!$C$23:$F$33,2,FALSE),VLOOKUP($G160,'Vlookup Tables'!$C$23:$F$33,3,FALSE))),"-")</f>
        <v>#REF!</v>
      </c>
      <c r="K160" s="478" t="e">
        <f>IF(B160&gt;0,(VLOOKUP(J160,'Valve Reference'!$A$2:$K$389,4)),"-")</f>
        <v>#REF!</v>
      </c>
      <c r="L160" s="478" t="e">
        <f>IF(B160&gt;0,(VLOOKUP(J160,'Valve Reference'!$A$2:$K$389,5)),"-")</f>
        <v>#REF!</v>
      </c>
      <c r="M160" s="478" t="e">
        <f>IF(B160&gt;0,(VLOOKUP(J160,'Valve Reference'!$A$2:$K$389,8)),"-")</f>
        <v>#REF!</v>
      </c>
      <c r="N160" s="478" t="e">
        <f>IF(B160&gt;0,(VLOOKUP(J160,'Valve Reference'!$A$2:$K$389,10)),"-")</f>
        <v>#REF!</v>
      </c>
      <c r="O160" s="479" t="e">
        <f>IF(B160&gt;0,(VLOOKUP(J160,'Valve Reference'!$A$2:$K$389,11)),"-")</f>
        <v>#REF!</v>
      </c>
      <c r="P160" s="480" t="e">
        <f>IF(B160&gt;0,(VLOOKUP(I160,'Actuator Reference'!$A$2:$H$54,2)),"-")</f>
        <v>#REF!</v>
      </c>
      <c r="Q160" s="480" t="e">
        <f>IF(B160&gt;0,(VLOOKUP(I160,'Actuator Reference'!$A$2:$H$54,5)),"-")</f>
        <v>#REF!</v>
      </c>
      <c r="R160" s="480" t="e">
        <f>IF(B160&gt;0,(VLOOKUP(I160,'Actuator Reference'!$A$2:$H$54,6)),"-")</f>
        <v>#REF!</v>
      </c>
      <c r="S160" s="480" t="e">
        <f>IF(B160&gt;0,(VLOOKUP(I160,'Actuator Reference'!$A$2:$H$54,7)),"-")</f>
        <v>#REF!</v>
      </c>
      <c r="T160" s="481" t="e">
        <f>IF(B160&gt;0,(VLOOKUP(I160,'Actuator Reference'!$A$2:$H$54,8)),"-")</f>
        <v>#REF!</v>
      </c>
      <c r="U160" s="596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35">
        <v>1</v>
      </c>
      <c r="AG160" s="35" t="s">
        <v>1097</v>
      </c>
      <c r="AH160" s="597" t="e">
        <f t="shared" si="15"/>
        <v>#REF!</v>
      </c>
      <c r="AI160" s="594" t="e">
        <f t="shared" si="16"/>
        <v>#REF!</v>
      </c>
      <c r="AJ160" s="597" t="s">
        <v>1339</v>
      </c>
      <c r="AK160" s="597">
        <v>4</v>
      </c>
      <c r="AL160" s="597" t="s">
        <v>1338</v>
      </c>
      <c r="AM160" s="597"/>
      <c r="AN160" s="597"/>
      <c r="AO160" s="597"/>
      <c r="AP160" s="597"/>
      <c r="AQ160" s="597"/>
      <c r="AR160" s="597"/>
      <c r="AS160" s="597"/>
      <c r="AT160" s="597"/>
      <c r="AU160" s="597"/>
      <c r="AV160" s="40"/>
      <c r="AW160" s="597"/>
      <c r="AX160" s="597"/>
      <c r="AY160" s="597"/>
      <c r="AZ160" s="597"/>
      <c r="BA160" s="597"/>
      <c r="BB160" s="597"/>
    </row>
    <row r="161" spans="1:54" ht="15" customHeight="1">
      <c r="A161" s="469" t="e">
        <f>'Box Schedule'!#REF!</f>
        <v>#REF!</v>
      </c>
      <c r="B161" s="482" t="e">
        <f>'Box Schedule'!#REF!</f>
        <v>#REF!</v>
      </c>
      <c r="C161" s="483" t="e">
        <f>IF((B161&gt;0),(VLOOKUP(J161,'Valve Reference'!$A$2:$K$389,3)),"-")</f>
        <v>#REF!</v>
      </c>
      <c r="D161" s="471" t="s">
        <v>577</v>
      </c>
      <c r="E161" s="484" t="e">
        <f>IF((B161&gt;0),('Vlookup Tables'!$B$37),"-")</f>
        <v>#REF!</v>
      </c>
      <c r="F161" s="585" t="e">
        <f t="shared" si="13"/>
        <v>#REF!</v>
      </c>
      <c r="G161" s="485" t="e">
        <f>IF((B161&gt;0),(VLOOKUP($B161,'Vlookup Tables'!$B$23:$F$33,2,TRUE)),"-")</f>
        <v>#REF!</v>
      </c>
      <c r="H161" s="586" t="e">
        <f t="shared" si="14"/>
        <v>#REF!</v>
      </c>
      <c r="I161" s="476" t="e">
        <f>IF((B161&gt;0),('Vlookup Tables'!$B$35),"-")</f>
        <v>#REF!</v>
      </c>
      <c r="J161" s="477" t="e">
        <f>IF(B161&gt;0,(IF(D161="2-Way",VLOOKUP($G161,'Vlookup Tables'!$C$23:$F$33,2,FALSE),VLOOKUP($G161,'Vlookup Tables'!$C$23:$F$33,3,FALSE))),"-")</f>
        <v>#REF!</v>
      </c>
      <c r="K161" s="478" t="e">
        <f>IF(B161&gt;0,(VLOOKUP(J161,'Valve Reference'!$A$2:$K$389,4)),"-")</f>
        <v>#REF!</v>
      </c>
      <c r="L161" s="478" t="e">
        <f>IF(B161&gt;0,(VLOOKUP(J161,'Valve Reference'!$A$2:$K$389,5)),"-")</f>
        <v>#REF!</v>
      </c>
      <c r="M161" s="478" t="e">
        <f>IF(B161&gt;0,(VLOOKUP(J161,'Valve Reference'!$A$2:$K$389,8)),"-")</f>
        <v>#REF!</v>
      </c>
      <c r="N161" s="478" t="e">
        <f>IF(B161&gt;0,(VLOOKUP(J161,'Valve Reference'!$A$2:$K$389,10)),"-")</f>
        <v>#REF!</v>
      </c>
      <c r="O161" s="479" t="e">
        <f>IF(B161&gt;0,(VLOOKUP(J161,'Valve Reference'!$A$2:$K$389,11)),"-")</f>
        <v>#REF!</v>
      </c>
      <c r="P161" s="480" t="e">
        <f>IF(B161&gt;0,(VLOOKUP(I161,'Actuator Reference'!$A$2:$H$54,2)),"-")</f>
        <v>#REF!</v>
      </c>
      <c r="Q161" s="480" t="e">
        <f>IF(B161&gt;0,(VLOOKUP(I161,'Actuator Reference'!$A$2:$H$54,5)),"-")</f>
        <v>#REF!</v>
      </c>
      <c r="R161" s="480" t="e">
        <f>IF(B161&gt;0,(VLOOKUP(I161,'Actuator Reference'!$A$2:$H$54,6)),"-")</f>
        <v>#REF!</v>
      </c>
      <c r="S161" s="480" t="e">
        <f>IF(B161&gt;0,(VLOOKUP(I161,'Actuator Reference'!$A$2:$H$54,7)),"-")</f>
        <v>#REF!</v>
      </c>
      <c r="T161" s="481" t="e">
        <f>IF(B161&gt;0,(VLOOKUP(I161,'Actuator Reference'!$A$2:$H$54,8)),"-")</f>
        <v>#REF!</v>
      </c>
      <c r="U161" s="596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35">
        <v>1</v>
      </c>
      <c r="AG161" s="35" t="s">
        <v>1097</v>
      </c>
      <c r="AH161" s="597" t="e">
        <f>CONCATENATE(I161,"-",J161)</f>
        <v>#REF!</v>
      </c>
      <c r="AI161" s="594" t="e">
        <f t="shared" si="16"/>
        <v>#REF!</v>
      </c>
      <c r="AJ161" s="597" t="s">
        <v>1339</v>
      </c>
      <c r="AK161" s="597">
        <v>4</v>
      </c>
      <c r="AL161" s="597" t="s">
        <v>1338</v>
      </c>
      <c r="AM161" s="597"/>
      <c r="AN161" s="597"/>
      <c r="AO161" s="597"/>
      <c r="AP161" s="597"/>
      <c r="AQ161" s="597"/>
      <c r="AR161" s="597"/>
      <c r="AS161" s="597"/>
      <c r="AT161" s="597"/>
      <c r="AU161" s="597"/>
      <c r="AV161" s="40"/>
      <c r="AW161" s="597"/>
      <c r="AX161" s="597"/>
      <c r="AY161" s="597"/>
      <c r="AZ161" s="597"/>
      <c r="BA161" s="597"/>
      <c r="BB161" s="597"/>
    </row>
    <row r="162" spans="1:54" ht="15" customHeight="1">
      <c r="A162" s="469" t="e">
        <f>'Box Schedule'!#REF!</f>
        <v>#REF!</v>
      </c>
      <c r="B162" s="482" t="e">
        <f>'Box Schedule'!#REF!</f>
        <v>#REF!</v>
      </c>
      <c r="C162" s="483" t="e">
        <f>IF((B162&gt;0),(VLOOKUP(J162,'Valve Reference'!$A$2:$K$389,3)),"-")</f>
        <v>#REF!</v>
      </c>
      <c r="D162" s="471" t="s">
        <v>577</v>
      </c>
      <c r="E162" s="484" t="e">
        <f>IF((B162&gt;0),('Vlookup Tables'!$B$37),"-")</f>
        <v>#REF!</v>
      </c>
      <c r="F162" s="585" t="e">
        <f t="shared" si="13"/>
        <v>#REF!</v>
      </c>
      <c r="G162" s="485" t="e">
        <f>IF((B162&gt;0),(VLOOKUP($B162,'Vlookup Tables'!$B$23:$F$33,2,TRUE)),"-")</f>
        <v>#REF!</v>
      </c>
      <c r="H162" s="586" t="e">
        <f t="shared" si="14"/>
        <v>#REF!</v>
      </c>
      <c r="I162" s="476" t="e">
        <f>IF((B162&gt;0),('Vlookup Tables'!$B$35),"-")</f>
        <v>#REF!</v>
      </c>
      <c r="J162" s="477" t="e">
        <f>IF(B162&gt;0,(IF(D162="2-Way",VLOOKUP($G162,'Vlookup Tables'!$C$23:$F$33,2,FALSE),VLOOKUP($G162,'Vlookup Tables'!$C$23:$F$33,3,FALSE))),"-")</f>
        <v>#REF!</v>
      </c>
      <c r="K162" s="478" t="e">
        <f>IF(B162&gt;0,(VLOOKUP(J162,'Valve Reference'!$A$2:$K$389,4)),"-")</f>
        <v>#REF!</v>
      </c>
      <c r="L162" s="478" t="e">
        <f>IF(B162&gt;0,(VLOOKUP(J162,'Valve Reference'!$A$2:$K$389,5)),"-")</f>
        <v>#REF!</v>
      </c>
      <c r="M162" s="478" t="e">
        <f>IF(B162&gt;0,(VLOOKUP(J162,'Valve Reference'!$A$2:$K$389,8)),"-")</f>
        <v>#REF!</v>
      </c>
      <c r="N162" s="478" t="e">
        <f>IF(B162&gt;0,(VLOOKUP(J162,'Valve Reference'!$A$2:$K$389,10)),"-")</f>
        <v>#REF!</v>
      </c>
      <c r="O162" s="479" t="e">
        <f>IF(B162&gt;0,(VLOOKUP(J162,'Valve Reference'!$A$2:$K$389,11)),"-")</f>
        <v>#REF!</v>
      </c>
      <c r="P162" s="480" t="e">
        <f>IF(B162&gt;0,(VLOOKUP(I162,'Actuator Reference'!$A$2:$H$54,2)),"-")</f>
        <v>#REF!</v>
      </c>
      <c r="Q162" s="480" t="e">
        <f>IF(B162&gt;0,(VLOOKUP(I162,'Actuator Reference'!$A$2:$H$54,5)),"-")</f>
        <v>#REF!</v>
      </c>
      <c r="R162" s="480" t="e">
        <f>IF(B162&gt;0,(VLOOKUP(I162,'Actuator Reference'!$A$2:$H$54,6)),"-")</f>
        <v>#REF!</v>
      </c>
      <c r="S162" s="480" t="e">
        <f>IF(B162&gt;0,(VLOOKUP(I162,'Actuator Reference'!$A$2:$H$54,7)),"-")</f>
        <v>#REF!</v>
      </c>
      <c r="T162" s="481" t="e">
        <f>IF(B162&gt;0,(VLOOKUP(I162,'Actuator Reference'!$A$2:$H$54,8)),"-")</f>
        <v>#REF!</v>
      </c>
      <c r="U162" s="596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35">
        <v>1</v>
      </c>
      <c r="AG162" s="35" t="s">
        <v>1097</v>
      </c>
      <c r="AH162" s="597" t="e">
        <f>CONCATENATE(I162,"-",J162)</f>
        <v>#REF!</v>
      </c>
      <c r="AI162" s="594" t="e">
        <f t="shared" si="16"/>
        <v>#REF!</v>
      </c>
      <c r="AJ162" s="597" t="s">
        <v>1339</v>
      </c>
      <c r="AK162" s="597">
        <v>4</v>
      </c>
      <c r="AL162" s="597" t="s">
        <v>1338</v>
      </c>
      <c r="AM162" s="597"/>
      <c r="AN162" s="597"/>
      <c r="AO162" s="597"/>
      <c r="AP162" s="597"/>
      <c r="AQ162" s="597"/>
      <c r="AR162" s="597"/>
      <c r="AS162" s="597"/>
      <c r="AT162" s="597"/>
      <c r="AU162" s="597"/>
      <c r="AV162" s="40"/>
      <c r="AW162" s="597"/>
      <c r="AX162" s="597"/>
      <c r="AY162" s="597"/>
      <c r="AZ162" s="597"/>
      <c r="BA162" s="597"/>
      <c r="BB162" s="597"/>
    </row>
    <row r="163" spans="1:54" ht="15" customHeight="1">
      <c r="A163" s="469" t="e">
        <f>'Box Schedule'!#REF!</f>
        <v>#REF!</v>
      </c>
      <c r="B163" s="482" t="e">
        <f>'Box Schedule'!#REF!</f>
        <v>#REF!</v>
      </c>
      <c r="C163" s="483" t="e">
        <f>IF((B163&gt;0),(VLOOKUP(J163,'Valve Reference'!$A$2:$K$389,3)),"-")</f>
        <v>#REF!</v>
      </c>
      <c r="D163" s="471" t="s">
        <v>577</v>
      </c>
      <c r="E163" s="484" t="e">
        <f>IF((B163&gt;0),('Vlookup Tables'!$B$37),"-")</f>
        <v>#REF!</v>
      </c>
      <c r="F163" s="585" t="e">
        <f t="shared" ref="F163:F180" si="17">IF((B163&gt;0),(B163/SQRT(E163)),"-")</f>
        <v>#REF!</v>
      </c>
      <c r="G163" s="485" t="e">
        <f>IF((B163&gt;0),(VLOOKUP($B163,'Vlookup Tables'!$B$23:$F$33,2,TRUE)),"-")</f>
        <v>#REF!</v>
      </c>
      <c r="H163" s="586" t="e">
        <f t="shared" ref="H163:H180" si="18">IF((B163&gt;0),(1/((G163/B163)^2)),"-")</f>
        <v>#REF!</v>
      </c>
      <c r="I163" s="476" t="e">
        <f>IF((B163&gt;0),('Vlookup Tables'!$B$35),"-")</f>
        <v>#REF!</v>
      </c>
      <c r="J163" s="477" t="e">
        <f>IF(B163&gt;0,(IF(D163="2-Way",VLOOKUP($G163,'Vlookup Tables'!$C$23:$F$33,2,FALSE),VLOOKUP($G163,'Vlookup Tables'!$C$23:$F$33,3,FALSE))),"-")</f>
        <v>#REF!</v>
      </c>
      <c r="K163" s="478" t="e">
        <f>IF(B163&gt;0,(VLOOKUP(J163,'Valve Reference'!$A$2:$K$389,4)),"-")</f>
        <v>#REF!</v>
      </c>
      <c r="L163" s="478" t="e">
        <f>IF(B163&gt;0,(VLOOKUP(J163,'Valve Reference'!$A$2:$K$389,5)),"-")</f>
        <v>#REF!</v>
      </c>
      <c r="M163" s="478" t="e">
        <f>IF(B163&gt;0,(VLOOKUP(J163,'Valve Reference'!$A$2:$K$389,8)),"-")</f>
        <v>#REF!</v>
      </c>
      <c r="N163" s="478" t="e">
        <f>IF(B163&gt;0,(VLOOKUP(J163,'Valve Reference'!$A$2:$K$389,10)),"-")</f>
        <v>#REF!</v>
      </c>
      <c r="O163" s="479" t="e">
        <f>IF(B163&gt;0,(VLOOKUP(J163,'Valve Reference'!$A$2:$K$389,11)),"-")</f>
        <v>#REF!</v>
      </c>
      <c r="P163" s="480" t="e">
        <f>IF(B163&gt;0,(VLOOKUP(I163,'Actuator Reference'!$A$2:$H$54,2)),"-")</f>
        <v>#REF!</v>
      </c>
      <c r="Q163" s="480" t="e">
        <f>IF(B163&gt;0,(VLOOKUP(I163,'Actuator Reference'!$A$2:$H$54,5)),"-")</f>
        <v>#REF!</v>
      </c>
      <c r="R163" s="480" t="e">
        <f>IF(B163&gt;0,(VLOOKUP(I163,'Actuator Reference'!$A$2:$H$54,6)),"-")</f>
        <v>#REF!</v>
      </c>
      <c r="S163" s="480" t="e">
        <f>IF(B163&gt;0,(VLOOKUP(I163,'Actuator Reference'!$A$2:$H$54,7)),"-")</f>
        <v>#REF!</v>
      </c>
      <c r="T163" s="481" t="e">
        <f>IF(B163&gt;0,(VLOOKUP(I163,'Actuator Reference'!$A$2:$H$54,8)),"-")</f>
        <v>#REF!</v>
      </c>
      <c r="U163" s="596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35">
        <v>1</v>
      </c>
      <c r="AG163" s="35" t="s">
        <v>1097</v>
      </c>
      <c r="AH163" s="597" t="e">
        <f t="shared" ref="AH163:AH169" si="19">CONCATENATE(I163,"-",J163)</f>
        <v>#REF!</v>
      </c>
      <c r="AI163" s="594" t="e">
        <f t="shared" ref="AI163:AI180" si="20">CONCATENATE("=",A163)</f>
        <v>#REF!</v>
      </c>
      <c r="AJ163" s="597" t="s">
        <v>1339</v>
      </c>
      <c r="AK163" s="597">
        <v>4</v>
      </c>
      <c r="AL163" s="597" t="s">
        <v>1338</v>
      </c>
      <c r="AM163" s="597"/>
      <c r="AN163" s="597"/>
      <c r="AO163" s="597"/>
      <c r="AP163" s="597"/>
      <c r="AQ163" s="597"/>
      <c r="AR163" s="597"/>
      <c r="AS163" s="597"/>
      <c r="AT163" s="597"/>
      <c r="AU163" s="597"/>
      <c r="AV163" s="40"/>
      <c r="AW163" s="597"/>
      <c r="AX163" s="597"/>
      <c r="AY163" s="597"/>
      <c r="AZ163" s="597"/>
      <c r="BA163" s="597"/>
      <c r="BB163" s="597"/>
    </row>
    <row r="164" spans="1:54" ht="15" customHeight="1">
      <c r="A164" s="469" t="e">
        <f>'Box Schedule'!#REF!</f>
        <v>#REF!</v>
      </c>
      <c r="B164" s="482" t="e">
        <f>'Box Schedule'!#REF!</f>
        <v>#REF!</v>
      </c>
      <c r="C164" s="483" t="e">
        <f>IF((B164&gt;0),(VLOOKUP(J164,'Valve Reference'!$A$2:$K$389,3)),"-")</f>
        <v>#REF!</v>
      </c>
      <c r="D164" s="471" t="s">
        <v>577</v>
      </c>
      <c r="E164" s="484" t="e">
        <f>IF((B164&gt;0),('Vlookup Tables'!$B$37),"-")</f>
        <v>#REF!</v>
      </c>
      <c r="F164" s="585" t="e">
        <f t="shared" si="17"/>
        <v>#REF!</v>
      </c>
      <c r="G164" s="485" t="e">
        <f>IF((B164&gt;0),(VLOOKUP($B164,'Vlookup Tables'!$B$23:$F$33,2,TRUE)),"-")</f>
        <v>#REF!</v>
      </c>
      <c r="H164" s="586" t="e">
        <f t="shared" si="18"/>
        <v>#REF!</v>
      </c>
      <c r="I164" s="476" t="e">
        <f>IF((B164&gt;0),('Vlookup Tables'!$B$35),"-")</f>
        <v>#REF!</v>
      </c>
      <c r="J164" s="477" t="e">
        <f>IF(B164&gt;0,(IF(D164="2-Way",VLOOKUP($G164,'Vlookup Tables'!$C$23:$F$33,2,FALSE),VLOOKUP($G164,'Vlookup Tables'!$C$23:$F$33,3,FALSE))),"-")</f>
        <v>#REF!</v>
      </c>
      <c r="K164" s="478" t="e">
        <f>IF(B164&gt;0,(VLOOKUP(J164,'Valve Reference'!$A$2:$K$389,4)),"-")</f>
        <v>#REF!</v>
      </c>
      <c r="L164" s="478" t="e">
        <f>IF(B164&gt;0,(VLOOKUP(J164,'Valve Reference'!$A$2:$K$389,5)),"-")</f>
        <v>#REF!</v>
      </c>
      <c r="M164" s="478" t="e">
        <f>IF(B164&gt;0,(VLOOKUP(J164,'Valve Reference'!$A$2:$K$389,8)),"-")</f>
        <v>#REF!</v>
      </c>
      <c r="N164" s="478" t="e">
        <f>IF(B164&gt;0,(VLOOKUP(J164,'Valve Reference'!$A$2:$K$389,10)),"-")</f>
        <v>#REF!</v>
      </c>
      <c r="O164" s="479" t="e">
        <f>IF(B164&gt;0,(VLOOKUP(J164,'Valve Reference'!$A$2:$K$389,11)),"-")</f>
        <v>#REF!</v>
      </c>
      <c r="P164" s="480" t="e">
        <f>IF(B164&gt;0,(VLOOKUP(I164,'Actuator Reference'!$A$2:$H$54,2)),"-")</f>
        <v>#REF!</v>
      </c>
      <c r="Q164" s="480" t="e">
        <f>IF(B164&gt;0,(VLOOKUP(I164,'Actuator Reference'!$A$2:$H$54,5)),"-")</f>
        <v>#REF!</v>
      </c>
      <c r="R164" s="480" t="e">
        <f>IF(B164&gt;0,(VLOOKUP(I164,'Actuator Reference'!$A$2:$H$54,6)),"-")</f>
        <v>#REF!</v>
      </c>
      <c r="S164" s="480" t="e">
        <f>IF(B164&gt;0,(VLOOKUP(I164,'Actuator Reference'!$A$2:$H$54,7)),"-")</f>
        <v>#REF!</v>
      </c>
      <c r="T164" s="481" t="e">
        <f>IF(B164&gt;0,(VLOOKUP(I164,'Actuator Reference'!$A$2:$H$54,8)),"-")</f>
        <v>#REF!</v>
      </c>
      <c r="U164" s="596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35">
        <v>1</v>
      </c>
      <c r="AG164" s="35" t="s">
        <v>1097</v>
      </c>
      <c r="AH164" s="597" t="e">
        <f t="shared" si="19"/>
        <v>#REF!</v>
      </c>
      <c r="AI164" s="594" t="e">
        <f t="shared" si="20"/>
        <v>#REF!</v>
      </c>
      <c r="AJ164" s="597" t="s">
        <v>1339</v>
      </c>
      <c r="AK164" s="597">
        <v>4</v>
      </c>
      <c r="AL164" s="597" t="s">
        <v>1338</v>
      </c>
      <c r="AM164" s="597"/>
      <c r="AN164" s="597"/>
      <c r="AO164" s="597"/>
      <c r="AP164" s="597"/>
      <c r="AQ164" s="597"/>
      <c r="AR164" s="597"/>
      <c r="AS164" s="597"/>
      <c r="AT164" s="597"/>
      <c r="AU164" s="597"/>
      <c r="AV164" s="40"/>
      <c r="AW164" s="597"/>
      <c r="AX164" s="597"/>
      <c r="AY164" s="597"/>
      <c r="AZ164" s="597"/>
      <c r="BA164" s="597"/>
      <c r="BB164" s="597"/>
    </row>
    <row r="165" spans="1:54" ht="15" customHeight="1">
      <c r="A165" s="469" t="e">
        <f>'Box Schedule'!#REF!</f>
        <v>#REF!</v>
      </c>
      <c r="B165" s="482" t="e">
        <f>'Box Schedule'!#REF!</f>
        <v>#REF!</v>
      </c>
      <c r="C165" s="483" t="e">
        <f>IF((B165&gt;0),(VLOOKUP(J165,'Valve Reference'!$A$2:$K$389,3)),"-")</f>
        <v>#REF!</v>
      </c>
      <c r="D165" s="471" t="s">
        <v>577</v>
      </c>
      <c r="E165" s="484" t="e">
        <f>IF((B165&gt;0),('Vlookup Tables'!$B$37),"-")</f>
        <v>#REF!</v>
      </c>
      <c r="F165" s="585" t="e">
        <f t="shared" si="17"/>
        <v>#REF!</v>
      </c>
      <c r="G165" s="485" t="e">
        <f>IF((B165&gt;0),(VLOOKUP($B165,'Vlookup Tables'!$B$23:$F$33,2,TRUE)),"-")</f>
        <v>#REF!</v>
      </c>
      <c r="H165" s="586" t="e">
        <f t="shared" si="18"/>
        <v>#REF!</v>
      </c>
      <c r="I165" s="476" t="e">
        <f>IF((B165&gt;0),('Vlookup Tables'!$B$35),"-")</f>
        <v>#REF!</v>
      </c>
      <c r="J165" s="477" t="e">
        <f>IF(B165&gt;0,(IF(D165="2-Way",VLOOKUP($G165,'Vlookup Tables'!$C$23:$F$33,2,FALSE),VLOOKUP($G165,'Vlookup Tables'!$C$23:$F$33,3,FALSE))),"-")</f>
        <v>#REF!</v>
      </c>
      <c r="K165" s="478" t="e">
        <f>IF(B165&gt;0,(VLOOKUP(J165,'Valve Reference'!$A$2:$K$389,4)),"-")</f>
        <v>#REF!</v>
      </c>
      <c r="L165" s="478" t="e">
        <f>IF(B165&gt;0,(VLOOKUP(J165,'Valve Reference'!$A$2:$K$389,5)),"-")</f>
        <v>#REF!</v>
      </c>
      <c r="M165" s="478" t="e">
        <f>IF(B165&gt;0,(VLOOKUP(J165,'Valve Reference'!$A$2:$K$389,8)),"-")</f>
        <v>#REF!</v>
      </c>
      <c r="N165" s="478" t="e">
        <f>IF(B165&gt;0,(VLOOKUP(J165,'Valve Reference'!$A$2:$K$389,10)),"-")</f>
        <v>#REF!</v>
      </c>
      <c r="O165" s="479" t="e">
        <f>IF(B165&gt;0,(VLOOKUP(J165,'Valve Reference'!$A$2:$K$389,11)),"-")</f>
        <v>#REF!</v>
      </c>
      <c r="P165" s="480" t="e">
        <f>IF(B165&gt;0,(VLOOKUP(I165,'Actuator Reference'!$A$2:$H$54,2)),"-")</f>
        <v>#REF!</v>
      </c>
      <c r="Q165" s="480" t="e">
        <f>IF(B165&gt;0,(VLOOKUP(I165,'Actuator Reference'!$A$2:$H$54,5)),"-")</f>
        <v>#REF!</v>
      </c>
      <c r="R165" s="480" t="e">
        <f>IF(B165&gt;0,(VLOOKUP(I165,'Actuator Reference'!$A$2:$H$54,6)),"-")</f>
        <v>#REF!</v>
      </c>
      <c r="S165" s="480" t="e">
        <f>IF(B165&gt;0,(VLOOKUP(I165,'Actuator Reference'!$A$2:$H$54,7)),"-")</f>
        <v>#REF!</v>
      </c>
      <c r="T165" s="481" t="e">
        <f>IF(B165&gt;0,(VLOOKUP(I165,'Actuator Reference'!$A$2:$H$54,8)),"-")</f>
        <v>#REF!</v>
      </c>
      <c r="U165" s="596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35">
        <v>1</v>
      </c>
      <c r="AG165" s="35" t="s">
        <v>1097</v>
      </c>
      <c r="AH165" s="597" t="e">
        <f t="shared" si="19"/>
        <v>#REF!</v>
      </c>
      <c r="AI165" s="594" t="e">
        <f t="shared" si="20"/>
        <v>#REF!</v>
      </c>
      <c r="AJ165" s="597" t="s">
        <v>1339</v>
      </c>
      <c r="AK165" s="597">
        <v>4</v>
      </c>
      <c r="AL165" s="597" t="s">
        <v>1338</v>
      </c>
      <c r="AM165" s="597"/>
      <c r="AN165" s="597"/>
      <c r="AO165" s="597"/>
      <c r="AP165" s="597"/>
      <c r="AQ165" s="597"/>
      <c r="AR165" s="597"/>
      <c r="AS165" s="597"/>
      <c r="AT165" s="597"/>
      <c r="AU165" s="597"/>
      <c r="AV165" s="40"/>
      <c r="AW165" s="597"/>
      <c r="AX165" s="597"/>
      <c r="AY165" s="597"/>
      <c r="AZ165" s="597"/>
      <c r="BA165" s="597"/>
      <c r="BB165" s="597"/>
    </row>
    <row r="166" spans="1:54" ht="15" customHeight="1">
      <c r="A166" s="469" t="e">
        <f>'Box Schedule'!#REF!</f>
        <v>#REF!</v>
      </c>
      <c r="B166" s="482" t="e">
        <f>'Box Schedule'!#REF!</f>
        <v>#REF!</v>
      </c>
      <c r="C166" s="483" t="e">
        <f>IF((B166&gt;0),(VLOOKUP(J166,'Valve Reference'!$A$2:$K$389,3)),"-")</f>
        <v>#REF!</v>
      </c>
      <c r="D166" s="471" t="s">
        <v>577</v>
      </c>
      <c r="E166" s="484" t="e">
        <f>IF((B166&gt;0),('Vlookup Tables'!$B$37),"-")</f>
        <v>#REF!</v>
      </c>
      <c r="F166" s="585" t="e">
        <f t="shared" si="17"/>
        <v>#REF!</v>
      </c>
      <c r="G166" s="485" t="e">
        <f>IF((B166&gt;0),(VLOOKUP($B166,'Vlookup Tables'!$B$23:$F$33,2,TRUE)),"-")</f>
        <v>#REF!</v>
      </c>
      <c r="H166" s="586" t="e">
        <f t="shared" si="18"/>
        <v>#REF!</v>
      </c>
      <c r="I166" s="476" t="e">
        <f>IF((B166&gt;0),('Vlookup Tables'!$B$35),"-")</f>
        <v>#REF!</v>
      </c>
      <c r="J166" s="477" t="e">
        <f>IF(B166&gt;0,(IF(D166="2-Way",VLOOKUP($G166,'Vlookup Tables'!$C$23:$F$33,2,FALSE),VLOOKUP($G166,'Vlookup Tables'!$C$23:$F$33,3,FALSE))),"-")</f>
        <v>#REF!</v>
      </c>
      <c r="K166" s="478" t="e">
        <f>IF(B166&gt;0,(VLOOKUP(J166,'Valve Reference'!$A$2:$K$389,4)),"-")</f>
        <v>#REF!</v>
      </c>
      <c r="L166" s="478" t="e">
        <f>IF(B166&gt;0,(VLOOKUP(J166,'Valve Reference'!$A$2:$K$389,5)),"-")</f>
        <v>#REF!</v>
      </c>
      <c r="M166" s="478" t="e">
        <f>IF(B166&gt;0,(VLOOKUP(J166,'Valve Reference'!$A$2:$K$389,8)),"-")</f>
        <v>#REF!</v>
      </c>
      <c r="N166" s="478" t="e">
        <f>IF(B166&gt;0,(VLOOKUP(J166,'Valve Reference'!$A$2:$K$389,10)),"-")</f>
        <v>#REF!</v>
      </c>
      <c r="O166" s="479" t="e">
        <f>IF(B166&gt;0,(VLOOKUP(J166,'Valve Reference'!$A$2:$K$389,11)),"-")</f>
        <v>#REF!</v>
      </c>
      <c r="P166" s="480" t="e">
        <f>IF(B166&gt;0,(VLOOKUP(I166,'Actuator Reference'!$A$2:$H$54,2)),"-")</f>
        <v>#REF!</v>
      </c>
      <c r="Q166" s="480" t="e">
        <f>IF(B166&gt;0,(VLOOKUP(I166,'Actuator Reference'!$A$2:$H$54,5)),"-")</f>
        <v>#REF!</v>
      </c>
      <c r="R166" s="480" t="e">
        <f>IF(B166&gt;0,(VLOOKUP(I166,'Actuator Reference'!$A$2:$H$54,6)),"-")</f>
        <v>#REF!</v>
      </c>
      <c r="S166" s="480" t="e">
        <f>IF(B166&gt;0,(VLOOKUP(I166,'Actuator Reference'!$A$2:$H$54,7)),"-")</f>
        <v>#REF!</v>
      </c>
      <c r="T166" s="481" t="e">
        <f>IF(B166&gt;0,(VLOOKUP(I166,'Actuator Reference'!$A$2:$H$54,8)),"-")</f>
        <v>#REF!</v>
      </c>
      <c r="U166" s="596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35">
        <v>1</v>
      </c>
      <c r="AG166" s="35" t="s">
        <v>1097</v>
      </c>
      <c r="AH166" s="597" t="e">
        <f t="shared" si="19"/>
        <v>#REF!</v>
      </c>
      <c r="AI166" s="594" t="e">
        <f t="shared" si="20"/>
        <v>#REF!</v>
      </c>
      <c r="AJ166" s="597" t="s">
        <v>1339</v>
      </c>
      <c r="AK166" s="597">
        <v>4</v>
      </c>
      <c r="AL166" s="597" t="s">
        <v>1338</v>
      </c>
      <c r="AM166" s="597"/>
      <c r="AN166" s="597"/>
      <c r="AO166" s="597"/>
      <c r="AP166" s="597"/>
      <c r="AQ166" s="597"/>
      <c r="AR166" s="597"/>
      <c r="AS166" s="597"/>
      <c r="AT166" s="597"/>
      <c r="AU166" s="597"/>
      <c r="AV166" s="40"/>
      <c r="AW166" s="597"/>
      <c r="AX166" s="597"/>
      <c r="AY166" s="597"/>
      <c r="AZ166" s="597"/>
      <c r="BA166" s="597"/>
      <c r="BB166" s="597"/>
    </row>
    <row r="167" spans="1:54" ht="15" customHeight="1">
      <c r="A167" s="469" t="e">
        <f>'Box Schedule'!#REF!</f>
        <v>#REF!</v>
      </c>
      <c r="B167" s="482" t="e">
        <f>'Box Schedule'!#REF!</f>
        <v>#REF!</v>
      </c>
      <c r="C167" s="483" t="e">
        <f>IF((B167&gt;0),(VLOOKUP(J167,'Valve Reference'!$A$2:$K$389,3)),"-")</f>
        <v>#REF!</v>
      </c>
      <c r="D167" s="471" t="s">
        <v>577</v>
      </c>
      <c r="E167" s="484" t="e">
        <f>IF((B167&gt;0),('Vlookup Tables'!$B$37),"-")</f>
        <v>#REF!</v>
      </c>
      <c r="F167" s="585" t="e">
        <f t="shared" si="17"/>
        <v>#REF!</v>
      </c>
      <c r="G167" s="485" t="e">
        <f>IF((B167&gt;0),(VLOOKUP($B167,'Vlookup Tables'!$B$23:$F$33,2,TRUE)),"-")</f>
        <v>#REF!</v>
      </c>
      <c r="H167" s="586" t="e">
        <f t="shared" si="18"/>
        <v>#REF!</v>
      </c>
      <c r="I167" s="476" t="e">
        <f>IF((B167&gt;0),('Vlookup Tables'!$B$35),"-")</f>
        <v>#REF!</v>
      </c>
      <c r="J167" s="477" t="e">
        <f>IF(B167&gt;0,(IF(D167="2-Way",VLOOKUP($G167,'Vlookup Tables'!$C$23:$F$33,2,FALSE),VLOOKUP($G167,'Vlookup Tables'!$C$23:$F$33,3,FALSE))),"-")</f>
        <v>#REF!</v>
      </c>
      <c r="K167" s="478" t="e">
        <f>IF(B167&gt;0,(VLOOKUP(J167,'Valve Reference'!$A$2:$K$389,4)),"-")</f>
        <v>#REF!</v>
      </c>
      <c r="L167" s="478" t="e">
        <f>IF(B167&gt;0,(VLOOKUP(J167,'Valve Reference'!$A$2:$K$389,5)),"-")</f>
        <v>#REF!</v>
      </c>
      <c r="M167" s="478" t="e">
        <f>IF(B167&gt;0,(VLOOKUP(J167,'Valve Reference'!$A$2:$K$389,8)),"-")</f>
        <v>#REF!</v>
      </c>
      <c r="N167" s="478" t="e">
        <f>IF(B167&gt;0,(VLOOKUP(J167,'Valve Reference'!$A$2:$K$389,10)),"-")</f>
        <v>#REF!</v>
      </c>
      <c r="O167" s="479" t="e">
        <f>IF(B167&gt;0,(VLOOKUP(J167,'Valve Reference'!$A$2:$K$389,11)),"-")</f>
        <v>#REF!</v>
      </c>
      <c r="P167" s="480" t="e">
        <f>IF(B167&gt;0,(VLOOKUP(I167,'Actuator Reference'!$A$2:$H$54,2)),"-")</f>
        <v>#REF!</v>
      </c>
      <c r="Q167" s="480" t="e">
        <f>IF(B167&gt;0,(VLOOKUP(I167,'Actuator Reference'!$A$2:$H$54,5)),"-")</f>
        <v>#REF!</v>
      </c>
      <c r="R167" s="480" t="e">
        <f>IF(B167&gt;0,(VLOOKUP(I167,'Actuator Reference'!$A$2:$H$54,6)),"-")</f>
        <v>#REF!</v>
      </c>
      <c r="S167" s="480" t="e">
        <f>IF(B167&gt;0,(VLOOKUP(I167,'Actuator Reference'!$A$2:$H$54,7)),"-")</f>
        <v>#REF!</v>
      </c>
      <c r="T167" s="481" t="e">
        <f>IF(B167&gt;0,(VLOOKUP(I167,'Actuator Reference'!$A$2:$H$54,8)),"-")</f>
        <v>#REF!</v>
      </c>
      <c r="U167" s="596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35">
        <v>1</v>
      </c>
      <c r="AG167" s="35" t="s">
        <v>1097</v>
      </c>
      <c r="AH167" s="597" t="e">
        <f t="shared" si="19"/>
        <v>#REF!</v>
      </c>
      <c r="AI167" s="594" t="e">
        <f t="shared" si="20"/>
        <v>#REF!</v>
      </c>
      <c r="AJ167" s="597" t="s">
        <v>1339</v>
      </c>
      <c r="AK167" s="597">
        <v>4</v>
      </c>
      <c r="AL167" s="597" t="s">
        <v>1338</v>
      </c>
      <c r="AM167" s="597"/>
      <c r="AN167" s="597"/>
      <c r="AO167" s="597"/>
      <c r="AP167" s="597"/>
      <c r="AQ167" s="597"/>
      <c r="AR167" s="597"/>
      <c r="AS167" s="597"/>
      <c r="AT167" s="597"/>
      <c r="AU167" s="597"/>
      <c r="AV167" s="40"/>
      <c r="AW167" s="597"/>
      <c r="AX167" s="597"/>
      <c r="AY167" s="597"/>
      <c r="AZ167" s="597"/>
      <c r="BA167" s="597"/>
      <c r="BB167" s="597"/>
    </row>
    <row r="168" spans="1:54" ht="15" customHeight="1">
      <c r="A168" s="469" t="e">
        <f>'Box Schedule'!#REF!</f>
        <v>#REF!</v>
      </c>
      <c r="B168" s="482" t="e">
        <f>'Box Schedule'!#REF!</f>
        <v>#REF!</v>
      </c>
      <c r="C168" s="483" t="e">
        <f>IF((B168&gt;0),(VLOOKUP(J168,'Valve Reference'!$A$2:$K$389,3)),"-")</f>
        <v>#REF!</v>
      </c>
      <c r="D168" s="471" t="s">
        <v>577</v>
      </c>
      <c r="E168" s="484" t="e">
        <f>IF((B168&gt;0),('Vlookup Tables'!$B$37),"-")</f>
        <v>#REF!</v>
      </c>
      <c r="F168" s="585" t="e">
        <f t="shared" si="17"/>
        <v>#REF!</v>
      </c>
      <c r="G168" s="485" t="e">
        <f>IF((B168&gt;0),(VLOOKUP($B168,'Vlookup Tables'!$B$23:$F$33,2,TRUE)),"-")</f>
        <v>#REF!</v>
      </c>
      <c r="H168" s="586" t="e">
        <f t="shared" si="18"/>
        <v>#REF!</v>
      </c>
      <c r="I168" s="476" t="e">
        <f>IF((B168&gt;0),('Vlookup Tables'!$B$35),"-")</f>
        <v>#REF!</v>
      </c>
      <c r="J168" s="477" t="e">
        <f>IF(B168&gt;0,(IF(D168="2-Way",VLOOKUP($G168,'Vlookup Tables'!$C$23:$F$33,2,FALSE),VLOOKUP($G168,'Vlookup Tables'!$C$23:$F$33,3,FALSE))),"-")</f>
        <v>#REF!</v>
      </c>
      <c r="K168" s="478" t="e">
        <f>IF(B168&gt;0,(VLOOKUP(J168,'Valve Reference'!$A$2:$K$389,4)),"-")</f>
        <v>#REF!</v>
      </c>
      <c r="L168" s="478" t="e">
        <f>IF(B168&gt;0,(VLOOKUP(J168,'Valve Reference'!$A$2:$K$389,5)),"-")</f>
        <v>#REF!</v>
      </c>
      <c r="M168" s="478" t="e">
        <f>IF(B168&gt;0,(VLOOKUP(J168,'Valve Reference'!$A$2:$K$389,8)),"-")</f>
        <v>#REF!</v>
      </c>
      <c r="N168" s="478" t="e">
        <f>IF(B168&gt;0,(VLOOKUP(J168,'Valve Reference'!$A$2:$K$389,10)),"-")</f>
        <v>#REF!</v>
      </c>
      <c r="O168" s="479" t="e">
        <f>IF(B168&gt;0,(VLOOKUP(J168,'Valve Reference'!$A$2:$K$389,11)),"-")</f>
        <v>#REF!</v>
      </c>
      <c r="P168" s="480" t="e">
        <f>IF(B168&gt;0,(VLOOKUP(I168,'Actuator Reference'!$A$2:$H$54,2)),"-")</f>
        <v>#REF!</v>
      </c>
      <c r="Q168" s="480" t="e">
        <f>IF(B168&gt;0,(VLOOKUP(I168,'Actuator Reference'!$A$2:$H$54,5)),"-")</f>
        <v>#REF!</v>
      </c>
      <c r="R168" s="480" t="e">
        <f>IF(B168&gt;0,(VLOOKUP(I168,'Actuator Reference'!$A$2:$H$54,6)),"-")</f>
        <v>#REF!</v>
      </c>
      <c r="S168" s="480" t="e">
        <f>IF(B168&gt;0,(VLOOKUP(I168,'Actuator Reference'!$A$2:$H$54,7)),"-")</f>
        <v>#REF!</v>
      </c>
      <c r="T168" s="481" t="e">
        <f>IF(B168&gt;0,(VLOOKUP(I168,'Actuator Reference'!$A$2:$H$54,8)),"-")</f>
        <v>#REF!</v>
      </c>
      <c r="U168" s="596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35">
        <v>1</v>
      </c>
      <c r="AG168" s="35" t="s">
        <v>1097</v>
      </c>
      <c r="AH168" s="597" t="e">
        <f t="shared" si="19"/>
        <v>#REF!</v>
      </c>
      <c r="AI168" s="594" t="e">
        <f t="shared" si="20"/>
        <v>#REF!</v>
      </c>
      <c r="AJ168" s="597" t="s">
        <v>1339</v>
      </c>
      <c r="AK168" s="597">
        <v>4</v>
      </c>
      <c r="AL168" s="597" t="s">
        <v>1338</v>
      </c>
      <c r="AM168" s="597"/>
      <c r="AN168" s="597"/>
      <c r="AO168" s="597"/>
      <c r="AP168" s="597"/>
      <c r="AQ168" s="597"/>
      <c r="AR168" s="597"/>
      <c r="AS168" s="597"/>
      <c r="AT168" s="597"/>
      <c r="AU168" s="597"/>
      <c r="AV168" s="40"/>
      <c r="AW168" s="597"/>
      <c r="AX168" s="597"/>
      <c r="AY168" s="597"/>
      <c r="AZ168" s="597"/>
      <c r="BA168" s="597"/>
      <c r="BB168" s="597"/>
    </row>
    <row r="169" spans="1:54" ht="15" customHeight="1">
      <c r="A169" s="469" t="e">
        <f>'Box Schedule'!#REF!</f>
        <v>#REF!</v>
      </c>
      <c r="B169" s="482" t="e">
        <f>'Box Schedule'!#REF!</f>
        <v>#REF!</v>
      </c>
      <c r="C169" s="483" t="e">
        <f>IF((B169&gt;0),(VLOOKUP(J169,'Valve Reference'!$A$2:$K$389,3)),"-")</f>
        <v>#REF!</v>
      </c>
      <c r="D169" s="471" t="s">
        <v>577</v>
      </c>
      <c r="E169" s="484" t="e">
        <f>IF((B169&gt;0),('Vlookup Tables'!$B$37),"-")</f>
        <v>#REF!</v>
      </c>
      <c r="F169" s="585" t="e">
        <f t="shared" si="17"/>
        <v>#REF!</v>
      </c>
      <c r="G169" s="485" t="e">
        <f>IF((B169&gt;0),(VLOOKUP($B169,'Vlookup Tables'!$B$23:$F$33,2,TRUE)),"-")</f>
        <v>#REF!</v>
      </c>
      <c r="H169" s="586" t="e">
        <f t="shared" si="18"/>
        <v>#REF!</v>
      </c>
      <c r="I169" s="476" t="e">
        <f>IF((B169&gt;0),('Vlookup Tables'!$B$35),"-")</f>
        <v>#REF!</v>
      </c>
      <c r="J169" s="477" t="e">
        <f>IF(B169&gt;0,(IF(D169="2-Way",VLOOKUP($G169,'Vlookup Tables'!$C$23:$F$33,2,FALSE),VLOOKUP($G169,'Vlookup Tables'!$C$23:$F$33,3,FALSE))),"-")</f>
        <v>#REF!</v>
      </c>
      <c r="K169" s="478" t="e">
        <f>IF(B169&gt;0,(VLOOKUP(J169,'Valve Reference'!$A$2:$K$389,4)),"-")</f>
        <v>#REF!</v>
      </c>
      <c r="L169" s="478" t="e">
        <f>IF(B169&gt;0,(VLOOKUP(J169,'Valve Reference'!$A$2:$K$389,5)),"-")</f>
        <v>#REF!</v>
      </c>
      <c r="M169" s="478" t="e">
        <f>IF(B169&gt;0,(VLOOKUP(J169,'Valve Reference'!$A$2:$K$389,8)),"-")</f>
        <v>#REF!</v>
      </c>
      <c r="N169" s="478" t="e">
        <f>IF(B169&gt;0,(VLOOKUP(J169,'Valve Reference'!$A$2:$K$389,10)),"-")</f>
        <v>#REF!</v>
      </c>
      <c r="O169" s="479" t="e">
        <f>IF(B169&gt;0,(VLOOKUP(J169,'Valve Reference'!$A$2:$K$389,11)),"-")</f>
        <v>#REF!</v>
      </c>
      <c r="P169" s="480" t="e">
        <f>IF(B169&gt;0,(VLOOKUP(I169,'Actuator Reference'!$A$2:$H$54,2)),"-")</f>
        <v>#REF!</v>
      </c>
      <c r="Q169" s="480" t="e">
        <f>IF(B169&gt;0,(VLOOKUP(I169,'Actuator Reference'!$A$2:$H$54,5)),"-")</f>
        <v>#REF!</v>
      </c>
      <c r="R169" s="480" t="e">
        <f>IF(B169&gt;0,(VLOOKUP(I169,'Actuator Reference'!$A$2:$H$54,6)),"-")</f>
        <v>#REF!</v>
      </c>
      <c r="S169" s="480" t="e">
        <f>IF(B169&gt;0,(VLOOKUP(I169,'Actuator Reference'!$A$2:$H$54,7)),"-")</f>
        <v>#REF!</v>
      </c>
      <c r="T169" s="481" t="e">
        <f>IF(B169&gt;0,(VLOOKUP(I169,'Actuator Reference'!$A$2:$H$54,8)),"-")</f>
        <v>#REF!</v>
      </c>
      <c r="U169" s="596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35">
        <v>1</v>
      </c>
      <c r="AG169" s="35" t="s">
        <v>1097</v>
      </c>
      <c r="AH169" s="597" t="e">
        <f t="shared" si="19"/>
        <v>#REF!</v>
      </c>
      <c r="AI169" s="594" t="e">
        <f t="shared" si="20"/>
        <v>#REF!</v>
      </c>
      <c r="AJ169" s="597" t="s">
        <v>1339</v>
      </c>
      <c r="AK169" s="597">
        <v>4</v>
      </c>
      <c r="AL169" s="597" t="s">
        <v>1338</v>
      </c>
      <c r="AM169" s="597"/>
      <c r="AN169" s="597"/>
      <c r="AO169" s="597"/>
      <c r="AP169" s="597"/>
      <c r="AQ169" s="597"/>
      <c r="AR169" s="597"/>
      <c r="AS169" s="597"/>
      <c r="AT169" s="597"/>
      <c r="AU169" s="597"/>
      <c r="AV169" s="40"/>
      <c r="AW169" s="597"/>
      <c r="AX169" s="597"/>
      <c r="AY169" s="597"/>
      <c r="AZ169" s="597"/>
      <c r="BA169" s="597"/>
      <c r="BB169" s="597"/>
    </row>
    <row r="170" spans="1:54" ht="15" customHeight="1">
      <c r="A170" s="469" t="e">
        <f>'Box Schedule'!#REF!</f>
        <v>#REF!</v>
      </c>
      <c r="B170" s="482" t="e">
        <f>'Box Schedule'!#REF!</f>
        <v>#REF!</v>
      </c>
      <c r="C170" s="483" t="e">
        <f>IF((B170&gt;0),(VLOOKUP(J170,'Valve Reference'!$A$2:$K$389,3)),"-")</f>
        <v>#REF!</v>
      </c>
      <c r="D170" s="471" t="s">
        <v>577</v>
      </c>
      <c r="E170" s="484" t="e">
        <f>IF((B170&gt;0),('Vlookup Tables'!$B$37),"-")</f>
        <v>#REF!</v>
      </c>
      <c r="F170" s="585" t="e">
        <f t="shared" si="17"/>
        <v>#REF!</v>
      </c>
      <c r="G170" s="485" t="e">
        <f>IF((B170&gt;0),(VLOOKUP($B170,'Vlookup Tables'!$B$23:$F$33,2,TRUE)),"-")</f>
        <v>#REF!</v>
      </c>
      <c r="H170" s="586" t="e">
        <f t="shared" si="18"/>
        <v>#REF!</v>
      </c>
      <c r="I170" s="476" t="e">
        <f>IF((B170&gt;0),('Vlookup Tables'!$B$35),"-")</f>
        <v>#REF!</v>
      </c>
      <c r="J170" s="477" t="e">
        <f>IF(B170&gt;0,(IF(D170="2-Way",VLOOKUP($G170,'Vlookup Tables'!$C$23:$F$33,2,FALSE),VLOOKUP($G170,'Vlookup Tables'!$C$23:$F$33,3,FALSE))),"-")</f>
        <v>#REF!</v>
      </c>
      <c r="K170" s="478" t="e">
        <f>IF(B170&gt;0,(VLOOKUP(J170,'Valve Reference'!$A$2:$K$389,4)),"-")</f>
        <v>#REF!</v>
      </c>
      <c r="L170" s="478" t="e">
        <f>IF(B170&gt;0,(VLOOKUP(J170,'Valve Reference'!$A$2:$K$389,5)),"-")</f>
        <v>#REF!</v>
      </c>
      <c r="M170" s="478" t="e">
        <f>IF(B170&gt;0,(VLOOKUP(J170,'Valve Reference'!$A$2:$K$389,8)),"-")</f>
        <v>#REF!</v>
      </c>
      <c r="N170" s="478" t="e">
        <f>IF(B170&gt;0,(VLOOKUP(J170,'Valve Reference'!$A$2:$K$389,10)),"-")</f>
        <v>#REF!</v>
      </c>
      <c r="O170" s="479" t="e">
        <f>IF(B170&gt;0,(VLOOKUP(J170,'Valve Reference'!$A$2:$K$389,11)),"-")</f>
        <v>#REF!</v>
      </c>
      <c r="P170" s="480" t="e">
        <f>IF(B170&gt;0,(VLOOKUP(I170,'Actuator Reference'!$A$2:$H$54,2)),"-")</f>
        <v>#REF!</v>
      </c>
      <c r="Q170" s="480" t="e">
        <f>IF(B170&gt;0,(VLOOKUP(I170,'Actuator Reference'!$A$2:$H$54,5)),"-")</f>
        <v>#REF!</v>
      </c>
      <c r="R170" s="480" t="e">
        <f>IF(B170&gt;0,(VLOOKUP(I170,'Actuator Reference'!$A$2:$H$54,6)),"-")</f>
        <v>#REF!</v>
      </c>
      <c r="S170" s="480" t="e">
        <f>IF(B170&gt;0,(VLOOKUP(I170,'Actuator Reference'!$A$2:$H$54,7)),"-")</f>
        <v>#REF!</v>
      </c>
      <c r="T170" s="481" t="e">
        <f>IF(B170&gt;0,(VLOOKUP(I170,'Actuator Reference'!$A$2:$H$54,8)),"-")</f>
        <v>#REF!</v>
      </c>
      <c r="U170" s="596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35">
        <v>1</v>
      </c>
      <c r="AG170" s="35" t="s">
        <v>1097</v>
      </c>
      <c r="AH170" s="597" t="e">
        <f>CONCATENATE(I170,"-",J170)</f>
        <v>#REF!</v>
      </c>
      <c r="AI170" s="594" t="e">
        <f t="shared" si="20"/>
        <v>#REF!</v>
      </c>
      <c r="AJ170" s="597" t="s">
        <v>1339</v>
      </c>
      <c r="AK170" s="597">
        <v>4</v>
      </c>
      <c r="AL170" s="597" t="s">
        <v>1338</v>
      </c>
      <c r="AM170" s="597"/>
      <c r="AN170" s="597"/>
      <c r="AO170" s="597"/>
      <c r="AP170" s="597"/>
      <c r="AQ170" s="597"/>
      <c r="AR170" s="597"/>
      <c r="AS170" s="597"/>
      <c r="AT170" s="597"/>
      <c r="AU170" s="597"/>
      <c r="AV170" s="40"/>
      <c r="AW170" s="597"/>
      <c r="AX170" s="597"/>
      <c r="AY170" s="597"/>
      <c r="AZ170" s="597"/>
      <c r="BA170" s="597"/>
      <c r="BB170" s="597"/>
    </row>
    <row r="171" spans="1:54" ht="15" customHeight="1">
      <c r="A171" s="469" t="e">
        <f>'Box Schedule'!#REF!</f>
        <v>#REF!</v>
      </c>
      <c r="B171" s="482" t="e">
        <f>'Box Schedule'!#REF!</f>
        <v>#REF!</v>
      </c>
      <c r="C171" s="483" t="e">
        <f>IF((B171&gt;0),(VLOOKUP(J171,'Valve Reference'!$A$2:$K$389,3)),"-")</f>
        <v>#REF!</v>
      </c>
      <c r="D171" s="471" t="s">
        <v>577</v>
      </c>
      <c r="E171" s="484" t="e">
        <f>IF((B171&gt;0),('Vlookup Tables'!$B$37),"-")</f>
        <v>#REF!</v>
      </c>
      <c r="F171" s="585" t="e">
        <f t="shared" si="17"/>
        <v>#REF!</v>
      </c>
      <c r="G171" s="485" t="e">
        <f>IF((B171&gt;0),(VLOOKUP($B171,'Vlookup Tables'!$B$23:$F$33,2,TRUE)),"-")</f>
        <v>#REF!</v>
      </c>
      <c r="H171" s="586" t="e">
        <f t="shared" si="18"/>
        <v>#REF!</v>
      </c>
      <c r="I171" s="476" t="e">
        <f>IF((B171&gt;0),('Vlookup Tables'!$B$35),"-")</f>
        <v>#REF!</v>
      </c>
      <c r="J171" s="477" t="e">
        <f>IF(B171&gt;0,(IF(D171="2-Way",VLOOKUP($G171,'Vlookup Tables'!$C$23:$F$33,2,FALSE),VLOOKUP($G171,'Vlookup Tables'!$C$23:$F$33,3,FALSE))),"-")</f>
        <v>#REF!</v>
      </c>
      <c r="K171" s="478" t="e">
        <f>IF(B171&gt;0,(VLOOKUP(J171,'Valve Reference'!$A$2:$K$389,4)),"-")</f>
        <v>#REF!</v>
      </c>
      <c r="L171" s="478" t="e">
        <f>IF(B171&gt;0,(VLOOKUP(J171,'Valve Reference'!$A$2:$K$389,5)),"-")</f>
        <v>#REF!</v>
      </c>
      <c r="M171" s="478" t="e">
        <f>IF(B171&gt;0,(VLOOKUP(J171,'Valve Reference'!$A$2:$K$389,8)),"-")</f>
        <v>#REF!</v>
      </c>
      <c r="N171" s="478" t="e">
        <f>IF(B171&gt;0,(VLOOKUP(J171,'Valve Reference'!$A$2:$K$389,10)),"-")</f>
        <v>#REF!</v>
      </c>
      <c r="O171" s="479" t="e">
        <f>IF(B171&gt;0,(VLOOKUP(J171,'Valve Reference'!$A$2:$K$389,11)),"-")</f>
        <v>#REF!</v>
      </c>
      <c r="P171" s="480" t="e">
        <f>IF(B171&gt;0,(VLOOKUP(I171,'Actuator Reference'!$A$2:$H$54,2)),"-")</f>
        <v>#REF!</v>
      </c>
      <c r="Q171" s="480" t="e">
        <f>IF(B171&gt;0,(VLOOKUP(I171,'Actuator Reference'!$A$2:$H$54,5)),"-")</f>
        <v>#REF!</v>
      </c>
      <c r="R171" s="480" t="e">
        <f>IF(B171&gt;0,(VLOOKUP(I171,'Actuator Reference'!$A$2:$H$54,6)),"-")</f>
        <v>#REF!</v>
      </c>
      <c r="S171" s="480" t="e">
        <f>IF(B171&gt;0,(VLOOKUP(I171,'Actuator Reference'!$A$2:$H$54,7)),"-")</f>
        <v>#REF!</v>
      </c>
      <c r="T171" s="481" t="e">
        <f>IF(B171&gt;0,(VLOOKUP(I171,'Actuator Reference'!$A$2:$H$54,8)),"-")</f>
        <v>#REF!</v>
      </c>
      <c r="U171" s="596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35">
        <v>1</v>
      </c>
      <c r="AG171" s="35" t="s">
        <v>1097</v>
      </c>
      <c r="AH171" s="597" t="e">
        <f>CONCATENATE(I171,"-",J171)</f>
        <v>#REF!</v>
      </c>
      <c r="AI171" s="594" t="e">
        <f t="shared" si="20"/>
        <v>#REF!</v>
      </c>
      <c r="AJ171" s="597" t="s">
        <v>1339</v>
      </c>
      <c r="AK171" s="597">
        <v>4</v>
      </c>
      <c r="AL171" s="597" t="s">
        <v>1338</v>
      </c>
      <c r="AM171" s="597"/>
      <c r="AN171" s="597"/>
      <c r="AO171" s="597"/>
      <c r="AP171" s="597"/>
      <c r="AQ171" s="597"/>
      <c r="AR171" s="597"/>
      <c r="AS171" s="597"/>
      <c r="AT171" s="597"/>
      <c r="AU171" s="597"/>
      <c r="AV171" s="40"/>
      <c r="AW171" s="597"/>
      <c r="AX171" s="597"/>
      <c r="AY171" s="597"/>
      <c r="AZ171" s="597"/>
      <c r="BA171" s="597"/>
      <c r="BB171" s="597"/>
    </row>
    <row r="172" spans="1:54" ht="15" customHeight="1">
      <c r="A172" s="469" t="e">
        <f>'Box Schedule'!#REF!</f>
        <v>#REF!</v>
      </c>
      <c r="B172" s="482" t="e">
        <f>'Box Schedule'!#REF!</f>
        <v>#REF!</v>
      </c>
      <c r="C172" s="483" t="e">
        <f>IF((B172&gt;0),(VLOOKUP(J172,'Valve Reference'!$A$2:$K$389,3)),"-")</f>
        <v>#REF!</v>
      </c>
      <c r="D172" s="471" t="s">
        <v>577</v>
      </c>
      <c r="E172" s="484" t="e">
        <f>IF((B172&gt;0),('Vlookup Tables'!$B$37),"-")</f>
        <v>#REF!</v>
      </c>
      <c r="F172" s="585" t="e">
        <f t="shared" si="17"/>
        <v>#REF!</v>
      </c>
      <c r="G172" s="485" t="e">
        <f>IF((B172&gt;0),(VLOOKUP($B172,'Vlookup Tables'!$B$23:$F$33,2,TRUE)),"-")</f>
        <v>#REF!</v>
      </c>
      <c r="H172" s="586" t="e">
        <f t="shared" si="18"/>
        <v>#REF!</v>
      </c>
      <c r="I172" s="476" t="e">
        <f>IF((B172&gt;0),('Vlookup Tables'!$B$35),"-")</f>
        <v>#REF!</v>
      </c>
      <c r="J172" s="477" t="e">
        <f>IF(B172&gt;0,(IF(D172="2-Way",VLOOKUP($G172,'Vlookup Tables'!$C$23:$F$33,2,FALSE),VLOOKUP($G172,'Vlookup Tables'!$C$23:$F$33,3,FALSE))),"-")</f>
        <v>#REF!</v>
      </c>
      <c r="K172" s="478" t="e">
        <f>IF(B172&gt;0,(VLOOKUP(J172,'Valve Reference'!$A$2:$K$389,4)),"-")</f>
        <v>#REF!</v>
      </c>
      <c r="L172" s="478" t="e">
        <f>IF(B172&gt;0,(VLOOKUP(J172,'Valve Reference'!$A$2:$K$389,5)),"-")</f>
        <v>#REF!</v>
      </c>
      <c r="M172" s="478" t="e">
        <f>IF(B172&gt;0,(VLOOKUP(J172,'Valve Reference'!$A$2:$K$389,8)),"-")</f>
        <v>#REF!</v>
      </c>
      <c r="N172" s="478" t="e">
        <f>IF(B172&gt;0,(VLOOKUP(J172,'Valve Reference'!$A$2:$K$389,10)),"-")</f>
        <v>#REF!</v>
      </c>
      <c r="O172" s="479" t="e">
        <f>IF(B172&gt;0,(VLOOKUP(J172,'Valve Reference'!$A$2:$K$389,11)),"-")</f>
        <v>#REF!</v>
      </c>
      <c r="P172" s="480" t="e">
        <f>IF(B172&gt;0,(VLOOKUP(I172,'Actuator Reference'!$A$2:$H$54,2)),"-")</f>
        <v>#REF!</v>
      </c>
      <c r="Q172" s="480" t="e">
        <f>IF(B172&gt;0,(VLOOKUP(I172,'Actuator Reference'!$A$2:$H$54,5)),"-")</f>
        <v>#REF!</v>
      </c>
      <c r="R172" s="480" t="e">
        <f>IF(B172&gt;0,(VLOOKUP(I172,'Actuator Reference'!$A$2:$H$54,6)),"-")</f>
        <v>#REF!</v>
      </c>
      <c r="S172" s="480" t="e">
        <f>IF(B172&gt;0,(VLOOKUP(I172,'Actuator Reference'!$A$2:$H$54,7)),"-")</f>
        <v>#REF!</v>
      </c>
      <c r="T172" s="481" t="e">
        <f>IF(B172&gt;0,(VLOOKUP(I172,'Actuator Reference'!$A$2:$H$54,8)),"-")</f>
        <v>#REF!</v>
      </c>
      <c r="U172" s="596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35">
        <v>1</v>
      </c>
      <c r="AG172" s="35" t="s">
        <v>1097</v>
      </c>
      <c r="AH172" s="597" t="e">
        <f t="shared" ref="AH172:AH178" si="21">CONCATENATE(I172,"-",J172)</f>
        <v>#REF!</v>
      </c>
      <c r="AI172" s="594" t="e">
        <f t="shared" si="20"/>
        <v>#REF!</v>
      </c>
      <c r="AJ172" s="597" t="s">
        <v>1339</v>
      </c>
      <c r="AK172" s="597">
        <v>4</v>
      </c>
      <c r="AL172" s="597" t="s">
        <v>1338</v>
      </c>
      <c r="AM172" s="597"/>
      <c r="AN172" s="597"/>
      <c r="AO172" s="597"/>
      <c r="AP172" s="597"/>
      <c r="AQ172" s="597"/>
      <c r="AR172" s="597"/>
      <c r="AS172" s="597"/>
      <c r="AT172" s="597"/>
      <c r="AU172" s="597"/>
      <c r="AV172" s="40"/>
      <c r="AW172" s="597"/>
      <c r="AX172" s="597"/>
      <c r="AY172" s="597"/>
      <c r="AZ172" s="597"/>
      <c r="BA172" s="597"/>
      <c r="BB172" s="597"/>
    </row>
    <row r="173" spans="1:54" ht="15" customHeight="1">
      <c r="A173" s="469" t="e">
        <f>'Box Schedule'!#REF!</f>
        <v>#REF!</v>
      </c>
      <c r="B173" s="482" t="e">
        <f>'Box Schedule'!#REF!</f>
        <v>#REF!</v>
      </c>
      <c r="C173" s="483" t="e">
        <f>IF((B173&gt;0),(VLOOKUP(J173,'Valve Reference'!$A$2:$K$389,3)),"-")</f>
        <v>#REF!</v>
      </c>
      <c r="D173" s="471" t="s">
        <v>577</v>
      </c>
      <c r="E173" s="484" t="e">
        <f>IF((B173&gt;0),('Vlookup Tables'!$B$37),"-")</f>
        <v>#REF!</v>
      </c>
      <c r="F173" s="585" t="e">
        <f t="shared" si="17"/>
        <v>#REF!</v>
      </c>
      <c r="G173" s="485" t="e">
        <f>IF((B173&gt;0),(VLOOKUP($B173,'Vlookup Tables'!$B$23:$F$33,2,TRUE)),"-")</f>
        <v>#REF!</v>
      </c>
      <c r="H173" s="586" t="e">
        <f t="shared" si="18"/>
        <v>#REF!</v>
      </c>
      <c r="I173" s="476" t="e">
        <f>IF((B173&gt;0),('Vlookup Tables'!$B$35),"-")</f>
        <v>#REF!</v>
      </c>
      <c r="J173" s="477" t="e">
        <f>IF(B173&gt;0,(IF(D173="2-Way",VLOOKUP($G173,'Vlookup Tables'!$C$23:$F$33,2,FALSE),VLOOKUP($G173,'Vlookup Tables'!$C$23:$F$33,3,FALSE))),"-")</f>
        <v>#REF!</v>
      </c>
      <c r="K173" s="478" t="e">
        <f>IF(B173&gt;0,(VLOOKUP(J173,'Valve Reference'!$A$2:$K$389,4)),"-")</f>
        <v>#REF!</v>
      </c>
      <c r="L173" s="478" t="e">
        <f>IF(B173&gt;0,(VLOOKUP(J173,'Valve Reference'!$A$2:$K$389,5)),"-")</f>
        <v>#REF!</v>
      </c>
      <c r="M173" s="478" t="e">
        <f>IF(B173&gt;0,(VLOOKUP(J173,'Valve Reference'!$A$2:$K$389,8)),"-")</f>
        <v>#REF!</v>
      </c>
      <c r="N173" s="478" t="e">
        <f>IF(B173&gt;0,(VLOOKUP(J173,'Valve Reference'!$A$2:$K$389,10)),"-")</f>
        <v>#REF!</v>
      </c>
      <c r="O173" s="479" t="e">
        <f>IF(B173&gt;0,(VLOOKUP(J173,'Valve Reference'!$A$2:$K$389,11)),"-")</f>
        <v>#REF!</v>
      </c>
      <c r="P173" s="480" t="e">
        <f>IF(B173&gt;0,(VLOOKUP(I173,'Actuator Reference'!$A$2:$H$54,2)),"-")</f>
        <v>#REF!</v>
      </c>
      <c r="Q173" s="480" t="e">
        <f>IF(B173&gt;0,(VLOOKUP(I173,'Actuator Reference'!$A$2:$H$54,5)),"-")</f>
        <v>#REF!</v>
      </c>
      <c r="R173" s="480" t="e">
        <f>IF(B173&gt;0,(VLOOKUP(I173,'Actuator Reference'!$A$2:$H$54,6)),"-")</f>
        <v>#REF!</v>
      </c>
      <c r="S173" s="480" t="e">
        <f>IF(B173&gt;0,(VLOOKUP(I173,'Actuator Reference'!$A$2:$H$54,7)),"-")</f>
        <v>#REF!</v>
      </c>
      <c r="T173" s="481" t="e">
        <f>IF(B173&gt;0,(VLOOKUP(I173,'Actuator Reference'!$A$2:$H$54,8)),"-")</f>
        <v>#REF!</v>
      </c>
      <c r="U173" s="596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35">
        <v>1</v>
      </c>
      <c r="AG173" s="35" t="s">
        <v>1097</v>
      </c>
      <c r="AH173" s="597" t="e">
        <f t="shared" si="21"/>
        <v>#REF!</v>
      </c>
      <c r="AI173" s="594" t="e">
        <f t="shared" si="20"/>
        <v>#REF!</v>
      </c>
      <c r="AJ173" s="597" t="s">
        <v>1339</v>
      </c>
      <c r="AK173" s="597">
        <v>4</v>
      </c>
      <c r="AL173" s="597" t="s">
        <v>1338</v>
      </c>
      <c r="AM173" s="597"/>
      <c r="AN173" s="597"/>
      <c r="AO173" s="597"/>
      <c r="AP173" s="597"/>
      <c r="AQ173" s="597"/>
      <c r="AR173" s="597"/>
      <c r="AS173" s="597"/>
      <c r="AT173" s="597"/>
      <c r="AU173" s="597"/>
      <c r="AV173" s="40"/>
      <c r="AW173" s="597"/>
      <c r="AX173" s="597"/>
      <c r="AY173" s="597"/>
      <c r="AZ173" s="597"/>
      <c r="BA173" s="597"/>
      <c r="BB173" s="597"/>
    </row>
    <row r="174" spans="1:54" ht="15" customHeight="1">
      <c r="A174" s="469" t="e">
        <f>'Box Schedule'!#REF!</f>
        <v>#REF!</v>
      </c>
      <c r="B174" s="482" t="e">
        <f>'Box Schedule'!#REF!</f>
        <v>#REF!</v>
      </c>
      <c r="C174" s="483" t="e">
        <f>IF((B174&gt;0),(VLOOKUP(J174,'Valve Reference'!$A$2:$K$389,3)),"-")</f>
        <v>#REF!</v>
      </c>
      <c r="D174" s="471" t="s">
        <v>577</v>
      </c>
      <c r="E174" s="484" t="e">
        <f>IF((B174&gt;0),('Vlookup Tables'!$B$37),"-")</f>
        <v>#REF!</v>
      </c>
      <c r="F174" s="585" t="e">
        <f t="shared" si="17"/>
        <v>#REF!</v>
      </c>
      <c r="G174" s="485" t="e">
        <f>IF((B174&gt;0),(VLOOKUP($B174,'Vlookup Tables'!$B$23:$F$33,2,TRUE)),"-")</f>
        <v>#REF!</v>
      </c>
      <c r="H174" s="586" t="e">
        <f t="shared" si="18"/>
        <v>#REF!</v>
      </c>
      <c r="I174" s="476" t="e">
        <f>IF((B174&gt;0),('Vlookup Tables'!$B$35),"-")</f>
        <v>#REF!</v>
      </c>
      <c r="J174" s="477" t="e">
        <f>IF(B174&gt;0,(IF(D174="2-Way",VLOOKUP($G174,'Vlookup Tables'!$C$23:$F$33,2,FALSE),VLOOKUP($G174,'Vlookup Tables'!$C$23:$F$33,3,FALSE))),"-")</f>
        <v>#REF!</v>
      </c>
      <c r="K174" s="478" t="e">
        <f>IF(B174&gt;0,(VLOOKUP(J174,'Valve Reference'!$A$2:$K$389,4)),"-")</f>
        <v>#REF!</v>
      </c>
      <c r="L174" s="478" t="e">
        <f>IF(B174&gt;0,(VLOOKUP(J174,'Valve Reference'!$A$2:$K$389,5)),"-")</f>
        <v>#REF!</v>
      </c>
      <c r="M174" s="478" t="e">
        <f>IF(B174&gt;0,(VLOOKUP(J174,'Valve Reference'!$A$2:$K$389,8)),"-")</f>
        <v>#REF!</v>
      </c>
      <c r="N174" s="478" t="e">
        <f>IF(B174&gt;0,(VLOOKUP(J174,'Valve Reference'!$A$2:$K$389,10)),"-")</f>
        <v>#REF!</v>
      </c>
      <c r="O174" s="479" t="e">
        <f>IF(B174&gt;0,(VLOOKUP(J174,'Valve Reference'!$A$2:$K$389,11)),"-")</f>
        <v>#REF!</v>
      </c>
      <c r="P174" s="480" t="e">
        <f>IF(B174&gt;0,(VLOOKUP(I174,'Actuator Reference'!$A$2:$H$54,2)),"-")</f>
        <v>#REF!</v>
      </c>
      <c r="Q174" s="480" t="e">
        <f>IF(B174&gt;0,(VLOOKUP(I174,'Actuator Reference'!$A$2:$H$54,5)),"-")</f>
        <v>#REF!</v>
      </c>
      <c r="R174" s="480" t="e">
        <f>IF(B174&gt;0,(VLOOKUP(I174,'Actuator Reference'!$A$2:$H$54,6)),"-")</f>
        <v>#REF!</v>
      </c>
      <c r="S174" s="480" t="e">
        <f>IF(B174&gt;0,(VLOOKUP(I174,'Actuator Reference'!$A$2:$H$54,7)),"-")</f>
        <v>#REF!</v>
      </c>
      <c r="T174" s="481" t="e">
        <f>IF(B174&gt;0,(VLOOKUP(I174,'Actuator Reference'!$A$2:$H$54,8)),"-")</f>
        <v>#REF!</v>
      </c>
      <c r="U174" s="596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35">
        <v>1</v>
      </c>
      <c r="AG174" s="35" t="s">
        <v>1097</v>
      </c>
      <c r="AH174" s="597" t="e">
        <f t="shared" si="21"/>
        <v>#REF!</v>
      </c>
      <c r="AI174" s="594" t="e">
        <f t="shared" si="20"/>
        <v>#REF!</v>
      </c>
      <c r="AJ174" s="597" t="s">
        <v>1339</v>
      </c>
      <c r="AK174" s="597">
        <v>4</v>
      </c>
      <c r="AL174" s="597" t="s">
        <v>1338</v>
      </c>
      <c r="AM174" s="597"/>
      <c r="AN174" s="597"/>
      <c r="AO174" s="597"/>
      <c r="AP174" s="597"/>
      <c r="AQ174" s="597"/>
      <c r="AR174" s="597"/>
      <c r="AS174" s="597"/>
      <c r="AT174" s="597"/>
      <c r="AU174" s="597"/>
      <c r="AV174" s="40"/>
      <c r="AW174" s="597"/>
      <c r="AX174" s="597"/>
      <c r="AY174" s="597"/>
      <c r="AZ174" s="597"/>
      <c r="BA174" s="597"/>
      <c r="BB174" s="597"/>
    </row>
    <row r="175" spans="1:54" ht="15" customHeight="1">
      <c r="A175" s="469" t="e">
        <f>'Box Schedule'!#REF!</f>
        <v>#REF!</v>
      </c>
      <c r="B175" s="482" t="e">
        <f>'Box Schedule'!#REF!</f>
        <v>#REF!</v>
      </c>
      <c r="C175" s="483" t="e">
        <f>IF((B175&gt;0),(VLOOKUP(J175,'Valve Reference'!$A$2:$K$389,3)),"-")</f>
        <v>#REF!</v>
      </c>
      <c r="D175" s="471" t="s">
        <v>577</v>
      </c>
      <c r="E175" s="484" t="e">
        <f>IF((B175&gt;0),('Vlookup Tables'!$B$37),"-")</f>
        <v>#REF!</v>
      </c>
      <c r="F175" s="585" t="e">
        <f t="shared" si="17"/>
        <v>#REF!</v>
      </c>
      <c r="G175" s="485" t="e">
        <f>IF((B175&gt;0),(VLOOKUP($B175,'Vlookup Tables'!$B$23:$F$33,2,TRUE)),"-")</f>
        <v>#REF!</v>
      </c>
      <c r="H175" s="586" t="e">
        <f t="shared" si="18"/>
        <v>#REF!</v>
      </c>
      <c r="I175" s="476" t="e">
        <f>IF((B175&gt;0),('Vlookup Tables'!$B$35),"-")</f>
        <v>#REF!</v>
      </c>
      <c r="J175" s="477" t="e">
        <f>IF(B175&gt;0,(IF(D175="2-Way",VLOOKUP($G175,'Vlookup Tables'!$C$23:$F$33,2,FALSE),VLOOKUP($G175,'Vlookup Tables'!$C$23:$F$33,3,FALSE))),"-")</f>
        <v>#REF!</v>
      </c>
      <c r="K175" s="478" t="e">
        <f>IF(B175&gt;0,(VLOOKUP(J175,'Valve Reference'!$A$2:$K$389,4)),"-")</f>
        <v>#REF!</v>
      </c>
      <c r="L175" s="478" t="e">
        <f>IF(B175&gt;0,(VLOOKUP(J175,'Valve Reference'!$A$2:$K$389,5)),"-")</f>
        <v>#REF!</v>
      </c>
      <c r="M175" s="478" t="e">
        <f>IF(B175&gt;0,(VLOOKUP(J175,'Valve Reference'!$A$2:$K$389,8)),"-")</f>
        <v>#REF!</v>
      </c>
      <c r="N175" s="478" t="e">
        <f>IF(B175&gt;0,(VLOOKUP(J175,'Valve Reference'!$A$2:$K$389,10)),"-")</f>
        <v>#REF!</v>
      </c>
      <c r="O175" s="479" t="e">
        <f>IF(B175&gt;0,(VLOOKUP(J175,'Valve Reference'!$A$2:$K$389,11)),"-")</f>
        <v>#REF!</v>
      </c>
      <c r="P175" s="480" t="e">
        <f>IF(B175&gt;0,(VLOOKUP(I175,'Actuator Reference'!$A$2:$H$54,2)),"-")</f>
        <v>#REF!</v>
      </c>
      <c r="Q175" s="480" t="e">
        <f>IF(B175&gt;0,(VLOOKUP(I175,'Actuator Reference'!$A$2:$H$54,5)),"-")</f>
        <v>#REF!</v>
      </c>
      <c r="R175" s="480" t="e">
        <f>IF(B175&gt;0,(VLOOKUP(I175,'Actuator Reference'!$A$2:$H$54,6)),"-")</f>
        <v>#REF!</v>
      </c>
      <c r="S175" s="480" t="e">
        <f>IF(B175&gt;0,(VLOOKUP(I175,'Actuator Reference'!$A$2:$H$54,7)),"-")</f>
        <v>#REF!</v>
      </c>
      <c r="T175" s="481" t="e">
        <f>IF(B175&gt;0,(VLOOKUP(I175,'Actuator Reference'!$A$2:$H$54,8)),"-")</f>
        <v>#REF!</v>
      </c>
      <c r="U175" s="596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35">
        <v>1</v>
      </c>
      <c r="AG175" s="35" t="s">
        <v>1097</v>
      </c>
      <c r="AH175" s="597" t="e">
        <f t="shared" si="21"/>
        <v>#REF!</v>
      </c>
      <c r="AI175" s="594" t="e">
        <f t="shared" si="20"/>
        <v>#REF!</v>
      </c>
      <c r="AJ175" s="597" t="s">
        <v>1339</v>
      </c>
      <c r="AK175" s="597">
        <v>4</v>
      </c>
      <c r="AL175" s="597" t="s">
        <v>1338</v>
      </c>
      <c r="AM175" s="597"/>
      <c r="AN175" s="597"/>
      <c r="AO175" s="597"/>
      <c r="AP175" s="597"/>
      <c r="AQ175" s="597"/>
      <c r="AR175" s="597"/>
      <c r="AS175" s="597"/>
      <c r="AT175" s="597"/>
      <c r="AU175" s="597"/>
      <c r="AV175" s="40"/>
      <c r="AW175" s="597"/>
      <c r="AX175" s="597"/>
      <c r="AY175" s="597"/>
      <c r="AZ175" s="597"/>
      <c r="BA175" s="597"/>
      <c r="BB175" s="597"/>
    </row>
    <row r="176" spans="1:54" ht="15" customHeight="1">
      <c r="A176" s="469" t="e">
        <f>'Box Schedule'!#REF!</f>
        <v>#REF!</v>
      </c>
      <c r="B176" s="482" t="e">
        <f>'Box Schedule'!#REF!</f>
        <v>#REF!</v>
      </c>
      <c r="C176" s="483" t="e">
        <f>IF((B176&gt;0),(VLOOKUP(J176,'Valve Reference'!$A$2:$K$389,3)),"-")</f>
        <v>#REF!</v>
      </c>
      <c r="D176" s="471" t="s">
        <v>577</v>
      </c>
      <c r="E176" s="484" t="e">
        <f>IF((B176&gt;0),('Vlookup Tables'!$B$37),"-")</f>
        <v>#REF!</v>
      </c>
      <c r="F176" s="585" t="e">
        <f t="shared" si="17"/>
        <v>#REF!</v>
      </c>
      <c r="G176" s="485" t="e">
        <f>IF((B176&gt;0),(VLOOKUP($B176,'Vlookup Tables'!$B$23:$F$33,2,TRUE)),"-")</f>
        <v>#REF!</v>
      </c>
      <c r="H176" s="586" t="e">
        <f t="shared" si="18"/>
        <v>#REF!</v>
      </c>
      <c r="I176" s="476" t="e">
        <f>IF((B176&gt;0),('Vlookup Tables'!$B$35),"-")</f>
        <v>#REF!</v>
      </c>
      <c r="J176" s="477" t="e">
        <f>IF(B176&gt;0,(IF(D176="2-Way",VLOOKUP($G176,'Vlookup Tables'!$C$23:$F$33,2,FALSE),VLOOKUP($G176,'Vlookup Tables'!$C$23:$F$33,3,FALSE))),"-")</f>
        <v>#REF!</v>
      </c>
      <c r="K176" s="478" t="e">
        <f>IF(B176&gt;0,(VLOOKUP(J176,'Valve Reference'!$A$2:$K$389,4)),"-")</f>
        <v>#REF!</v>
      </c>
      <c r="L176" s="478" t="e">
        <f>IF(B176&gt;0,(VLOOKUP(J176,'Valve Reference'!$A$2:$K$389,5)),"-")</f>
        <v>#REF!</v>
      </c>
      <c r="M176" s="478" t="e">
        <f>IF(B176&gt;0,(VLOOKUP(J176,'Valve Reference'!$A$2:$K$389,8)),"-")</f>
        <v>#REF!</v>
      </c>
      <c r="N176" s="478" t="e">
        <f>IF(B176&gt;0,(VLOOKUP(J176,'Valve Reference'!$A$2:$K$389,10)),"-")</f>
        <v>#REF!</v>
      </c>
      <c r="O176" s="479" t="e">
        <f>IF(B176&gt;0,(VLOOKUP(J176,'Valve Reference'!$A$2:$K$389,11)),"-")</f>
        <v>#REF!</v>
      </c>
      <c r="P176" s="480" t="e">
        <f>IF(B176&gt;0,(VLOOKUP(I176,'Actuator Reference'!$A$2:$H$54,2)),"-")</f>
        <v>#REF!</v>
      </c>
      <c r="Q176" s="480" t="e">
        <f>IF(B176&gt;0,(VLOOKUP(I176,'Actuator Reference'!$A$2:$H$54,5)),"-")</f>
        <v>#REF!</v>
      </c>
      <c r="R176" s="480" t="e">
        <f>IF(B176&gt;0,(VLOOKUP(I176,'Actuator Reference'!$A$2:$H$54,6)),"-")</f>
        <v>#REF!</v>
      </c>
      <c r="S176" s="480" t="e">
        <f>IF(B176&gt;0,(VLOOKUP(I176,'Actuator Reference'!$A$2:$H$54,7)),"-")</f>
        <v>#REF!</v>
      </c>
      <c r="T176" s="481" t="e">
        <f>IF(B176&gt;0,(VLOOKUP(I176,'Actuator Reference'!$A$2:$H$54,8)),"-")</f>
        <v>#REF!</v>
      </c>
      <c r="U176" s="596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35">
        <v>1</v>
      </c>
      <c r="AG176" s="35" t="s">
        <v>1097</v>
      </c>
      <c r="AH176" s="597" t="e">
        <f t="shared" si="21"/>
        <v>#REF!</v>
      </c>
      <c r="AI176" s="594" t="e">
        <f t="shared" si="20"/>
        <v>#REF!</v>
      </c>
      <c r="AJ176" s="597" t="s">
        <v>1339</v>
      </c>
      <c r="AK176" s="597">
        <v>4</v>
      </c>
      <c r="AL176" s="597" t="s">
        <v>1338</v>
      </c>
      <c r="AM176" s="597"/>
      <c r="AN176" s="597"/>
      <c r="AO176" s="597"/>
      <c r="AP176" s="597"/>
      <c r="AQ176" s="597"/>
      <c r="AR176" s="597"/>
      <c r="AS176" s="597"/>
      <c r="AT176" s="597"/>
      <c r="AU176" s="597"/>
      <c r="AV176" s="40"/>
      <c r="AW176" s="597"/>
      <c r="AX176" s="597"/>
      <c r="AY176" s="597"/>
      <c r="AZ176" s="597"/>
      <c r="BA176" s="597"/>
      <c r="BB176" s="597"/>
    </row>
    <row r="177" spans="1:54" ht="15" customHeight="1">
      <c r="A177" s="469" t="e">
        <f>'Box Schedule'!#REF!</f>
        <v>#REF!</v>
      </c>
      <c r="B177" s="482" t="e">
        <f>'Box Schedule'!#REF!</f>
        <v>#REF!</v>
      </c>
      <c r="C177" s="483" t="e">
        <f>IF((B177&gt;0),(VLOOKUP(J177,'Valve Reference'!$A$2:$K$389,3)),"-")</f>
        <v>#REF!</v>
      </c>
      <c r="D177" s="471" t="s">
        <v>577</v>
      </c>
      <c r="E177" s="484" t="e">
        <f>IF((B177&gt;0),('Vlookup Tables'!$B$37),"-")</f>
        <v>#REF!</v>
      </c>
      <c r="F177" s="585" t="e">
        <f t="shared" si="17"/>
        <v>#REF!</v>
      </c>
      <c r="G177" s="485" t="e">
        <f>IF((B177&gt;0),(VLOOKUP($B177,'Vlookup Tables'!$B$23:$F$33,2,TRUE)),"-")</f>
        <v>#REF!</v>
      </c>
      <c r="H177" s="586" t="e">
        <f t="shared" si="18"/>
        <v>#REF!</v>
      </c>
      <c r="I177" s="476" t="e">
        <f>IF((B177&gt;0),('Vlookup Tables'!$B$35),"-")</f>
        <v>#REF!</v>
      </c>
      <c r="J177" s="477" t="e">
        <f>IF(B177&gt;0,(IF(D177="2-Way",VLOOKUP($G177,'Vlookup Tables'!$C$23:$F$33,2,FALSE),VLOOKUP($G177,'Vlookup Tables'!$C$23:$F$33,3,FALSE))),"-")</f>
        <v>#REF!</v>
      </c>
      <c r="K177" s="478" t="e">
        <f>IF(B177&gt;0,(VLOOKUP(J177,'Valve Reference'!$A$2:$K$389,4)),"-")</f>
        <v>#REF!</v>
      </c>
      <c r="L177" s="478" t="e">
        <f>IF(B177&gt;0,(VLOOKUP(J177,'Valve Reference'!$A$2:$K$389,5)),"-")</f>
        <v>#REF!</v>
      </c>
      <c r="M177" s="478" t="e">
        <f>IF(B177&gt;0,(VLOOKUP(J177,'Valve Reference'!$A$2:$K$389,8)),"-")</f>
        <v>#REF!</v>
      </c>
      <c r="N177" s="478" t="e">
        <f>IF(B177&gt;0,(VLOOKUP(J177,'Valve Reference'!$A$2:$K$389,10)),"-")</f>
        <v>#REF!</v>
      </c>
      <c r="O177" s="479" t="e">
        <f>IF(B177&gt;0,(VLOOKUP(J177,'Valve Reference'!$A$2:$K$389,11)),"-")</f>
        <v>#REF!</v>
      </c>
      <c r="P177" s="480" t="e">
        <f>IF(B177&gt;0,(VLOOKUP(I177,'Actuator Reference'!$A$2:$H$54,2)),"-")</f>
        <v>#REF!</v>
      </c>
      <c r="Q177" s="480" t="e">
        <f>IF(B177&gt;0,(VLOOKUP(I177,'Actuator Reference'!$A$2:$H$54,5)),"-")</f>
        <v>#REF!</v>
      </c>
      <c r="R177" s="480" t="e">
        <f>IF(B177&gt;0,(VLOOKUP(I177,'Actuator Reference'!$A$2:$H$54,6)),"-")</f>
        <v>#REF!</v>
      </c>
      <c r="S177" s="480" t="e">
        <f>IF(B177&gt;0,(VLOOKUP(I177,'Actuator Reference'!$A$2:$H$54,7)),"-")</f>
        <v>#REF!</v>
      </c>
      <c r="T177" s="481" t="e">
        <f>IF(B177&gt;0,(VLOOKUP(I177,'Actuator Reference'!$A$2:$H$54,8)),"-")</f>
        <v>#REF!</v>
      </c>
      <c r="U177" s="596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35">
        <v>1</v>
      </c>
      <c r="AG177" s="35" t="s">
        <v>1097</v>
      </c>
      <c r="AH177" s="597" t="e">
        <f t="shared" si="21"/>
        <v>#REF!</v>
      </c>
      <c r="AI177" s="594" t="e">
        <f t="shared" si="20"/>
        <v>#REF!</v>
      </c>
      <c r="AJ177" s="597" t="s">
        <v>1339</v>
      </c>
      <c r="AK177" s="597">
        <v>4</v>
      </c>
      <c r="AL177" s="597" t="s">
        <v>1338</v>
      </c>
      <c r="AM177" s="597"/>
      <c r="AN177" s="597"/>
      <c r="AO177" s="597"/>
      <c r="AP177" s="597"/>
      <c r="AQ177" s="597"/>
      <c r="AR177" s="597"/>
      <c r="AS177" s="597"/>
      <c r="AT177" s="597"/>
      <c r="AU177" s="597"/>
      <c r="AV177" s="40"/>
      <c r="AW177" s="597"/>
      <c r="AX177" s="597"/>
      <c r="AY177" s="597"/>
      <c r="AZ177" s="597"/>
      <c r="BA177" s="597"/>
      <c r="BB177" s="597"/>
    </row>
    <row r="178" spans="1:54" ht="15" customHeight="1">
      <c r="A178" s="469" t="e">
        <f>'Box Schedule'!#REF!</f>
        <v>#REF!</v>
      </c>
      <c r="B178" s="482" t="e">
        <f>'Box Schedule'!#REF!</f>
        <v>#REF!</v>
      </c>
      <c r="C178" s="483" t="e">
        <f>IF((B178&gt;0),(VLOOKUP(J178,'Valve Reference'!$A$2:$K$389,3)),"-")</f>
        <v>#REF!</v>
      </c>
      <c r="D178" s="471" t="s">
        <v>579</v>
      </c>
      <c r="E178" s="484" t="e">
        <f>IF((B178&gt;0),('Vlookup Tables'!$B$37),"-")</f>
        <v>#REF!</v>
      </c>
      <c r="F178" s="585" t="e">
        <f t="shared" si="17"/>
        <v>#REF!</v>
      </c>
      <c r="G178" s="485" t="e">
        <f>IF((B178&gt;0),(VLOOKUP($B178,'Vlookup Tables'!$B$23:$F$33,2,TRUE)),"-")</f>
        <v>#REF!</v>
      </c>
      <c r="H178" s="586" t="e">
        <f t="shared" si="18"/>
        <v>#REF!</v>
      </c>
      <c r="I178" s="476" t="e">
        <f>IF((B178&gt;0),('Vlookup Tables'!$B$35),"-")</f>
        <v>#REF!</v>
      </c>
      <c r="J178" s="477" t="e">
        <f>IF(B178&gt;0,(IF(D178="2-Way",VLOOKUP($G178,'Vlookup Tables'!$C$23:$F$33,2,FALSE),VLOOKUP($G178,'Vlookup Tables'!$C$23:$F$33,3,FALSE))),"-")</f>
        <v>#REF!</v>
      </c>
      <c r="K178" s="478" t="e">
        <f>IF(B178&gt;0,(VLOOKUP(J178,'Valve Reference'!$A$2:$K$389,4)),"-")</f>
        <v>#REF!</v>
      </c>
      <c r="L178" s="478" t="e">
        <f>IF(B178&gt;0,(VLOOKUP(J178,'Valve Reference'!$A$2:$K$389,5)),"-")</f>
        <v>#REF!</v>
      </c>
      <c r="M178" s="478" t="e">
        <f>IF(B178&gt;0,(VLOOKUP(J178,'Valve Reference'!$A$2:$K$389,8)),"-")</f>
        <v>#REF!</v>
      </c>
      <c r="N178" s="478" t="e">
        <f>IF(B178&gt;0,(VLOOKUP(J178,'Valve Reference'!$A$2:$K$389,10)),"-")</f>
        <v>#REF!</v>
      </c>
      <c r="O178" s="479" t="e">
        <f>IF(B178&gt;0,(VLOOKUP(J178,'Valve Reference'!$A$2:$K$389,11)),"-")</f>
        <v>#REF!</v>
      </c>
      <c r="P178" s="480" t="e">
        <f>IF(B178&gt;0,(VLOOKUP(I178,'Actuator Reference'!$A$2:$H$54,2)),"-")</f>
        <v>#REF!</v>
      </c>
      <c r="Q178" s="480" t="e">
        <f>IF(B178&gt;0,(VLOOKUP(I178,'Actuator Reference'!$A$2:$H$54,5)),"-")</f>
        <v>#REF!</v>
      </c>
      <c r="R178" s="480" t="e">
        <f>IF(B178&gt;0,(VLOOKUP(I178,'Actuator Reference'!$A$2:$H$54,6)),"-")</f>
        <v>#REF!</v>
      </c>
      <c r="S178" s="480" t="e">
        <f>IF(B178&gt;0,(VLOOKUP(I178,'Actuator Reference'!$A$2:$H$54,7)),"-")</f>
        <v>#REF!</v>
      </c>
      <c r="T178" s="481" t="e">
        <f>IF(B178&gt;0,(VLOOKUP(I178,'Actuator Reference'!$A$2:$H$54,8)),"-")</f>
        <v>#REF!</v>
      </c>
      <c r="U178" s="596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35">
        <v>1</v>
      </c>
      <c r="AG178" s="35" t="s">
        <v>1097</v>
      </c>
      <c r="AH178" s="597" t="e">
        <f t="shared" si="21"/>
        <v>#REF!</v>
      </c>
      <c r="AI178" s="594" t="e">
        <f t="shared" si="20"/>
        <v>#REF!</v>
      </c>
      <c r="AJ178" s="597" t="s">
        <v>1339</v>
      </c>
      <c r="AK178" s="597">
        <v>4</v>
      </c>
      <c r="AL178" s="597" t="s">
        <v>1338</v>
      </c>
      <c r="AM178" s="597"/>
      <c r="AN178" s="597"/>
      <c r="AO178" s="597"/>
      <c r="AP178" s="597"/>
      <c r="AQ178" s="597"/>
      <c r="AR178" s="597"/>
      <c r="AS178" s="597"/>
      <c r="AT178" s="597"/>
      <c r="AU178" s="597"/>
      <c r="AV178" s="40"/>
      <c r="AW178" s="597"/>
      <c r="AX178" s="597"/>
      <c r="AY178" s="597"/>
      <c r="AZ178" s="597"/>
      <c r="BA178" s="597"/>
      <c r="BB178" s="597"/>
    </row>
    <row r="179" spans="1:54" ht="15" customHeight="1">
      <c r="A179" s="469" t="e">
        <f>'Box Schedule'!#REF!</f>
        <v>#REF!</v>
      </c>
      <c r="B179" s="482" t="e">
        <f>'Box Schedule'!#REF!</f>
        <v>#REF!</v>
      </c>
      <c r="C179" s="483" t="e">
        <f>IF((B179&gt;0),(VLOOKUP(J179,'Valve Reference'!$A$2:$K$389,3)),"-")</f>
        <v>#REF!</v>
      </c>
      <c r="D179" s="471" t="s">
        <v>577</v>
      </c>
      <c r="E179" s="484" t="e">
        <f>IF((B179&gt;0),('Vlookup Tables'!$B$37),"-")</f>
        <v>#REF!</v>
      </c>
      <c r="F179" s="585" t="e">
        <f t="shared" si="17"/>
        <v>#REF!</v>
      </c>
      <c r="G179" s="485" t="e">
        <f>IF((B179&gt;0),(VLOOKUP($B179,'Vlookup Tables'!$B$23:$F$33,2,TRUE)),"-")</f>
        <v>#REF!</v>
      </c>
      <c r="H179" s="586" t="e">
        <f t="shared" si="18"/>
        <v>#REF!</v>
      </c>
      <c r="I179" s="476" t="e">
        <f>IF((B179&gt;0),('Vlookup Tables'!$B$35),"-")</f>
        <v>#REF!</v>
      </c>
      <c r="J179" s="477" t="e">
        <f>IF(B179&gt;0,(IF(D179="2-Way",VLOOKUP($G179,'Vlookup Tables'!$C$23:$F$33,2,FALSE),VLOOKUP($G179,'Vlookup Tables'!$C$23:$F$33,3,FALSE))),"-")</f>
        <v>#REF!</v>
      </c>
      <c r="K179" s="478" t="e">
        <f>IF(B179&gt;0,(VLOOKUP(J179,'Valve Reference'!$A$2:$K$389,4)),"-")</f>
        <v>#REF!</v>
      </c>
      <c r="L179" s="478" t="e">
        <f>IF(B179&gt;0,(VLOOKUP(J179,'Valve Reference'!$A$2:$K$389,5)),"-")</f>
        <v>#REF!</v>
      </c>
      <c r="M179" s="478" t="e">
        <f>IF(B179&gt;0,(VLOOKUP(J179,'Valve Reference'!$A$2:$K$389,8)),"-")</f>
        <v>#REF!</v>
      </c>
      <c r="N179" s="478" t="e">
        <f>IF(B179&gt;0,(VLOOKUP(J179,'Valve Reference'!$A$2:$K$389,10)),"-")</f>
        <v>#REF!</v>
      </c>
      <c r="O179" s="479" t="e">
        <f>IF(B179&gt;0,(VLOOKUP(J179,'Valve Reference'!$A$2:$K$389,11)),"-")</f>
        <v>#REF!</v>
      </c>
      <c r="P179" s="480" t="e">
        <f>IF(B179&gt;0,(VLOOKUP(I179,'Actuator Reference'!$A$2:$H$54,2)),"-")</f>
        <v>#REF!</v>
      </c>
      <c r="Q179" s="480" t="e">
        <f>IF(B179&gt;0,(VLOOKUP(I179,'Actuator Reference'!$A$2:$H$54,5)),"-")</f>
        <v>#REF!</v>
      </c>
      <c r="R179" s="480" t="e">
        <f>IF(B179&gt;0,(VLOOKUP(I179,'Actuator Reference'!$A$2:$H$54,6)),"-")</f>
        <v>#REF!</v>
      </c>
      <c r="S179" s="480" t="e">
        <f>IF(B179&gt;0,(VLOOKUP(I179,'Actuator Reference'!$A$2:$H$54,7)),"-")</f>
        <v>#REF!</v>
      </c>
      <c r="T179" s="481" t="e">
        <f>IF(B179&gt;0,(VLOOKUP(I179,'Actuator Reference'!$A$2:$H$54,8)),"-")</f>
        <v>#REF!</v>
      </c>
      <c r="U179" s="596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35">
        <v>1</v>
      </c>
      <c r="AG179" s="35" t="s">
        <v>1097</v>
      </c>
      <c r="AH179" s="597" t="e">
        <f>CONCATENATE(I179,"-",J179)</f>
        <v>#REF!</v>
      </c>
      <c r="AI179" s="594" t="e">
        <f t="shared" si="20"/>
        <v>#REF!</v>
      </c>
      <c r="AJ179" s="597" t="s">
        <v>1339</v>
      </c>
      <c r="AK179" s="597">
        <v>4</v>
      </c>
      <c r="AL179" s="597" t="s">
        <v>1338</v>
      </c>
      <c r="AM179" s="597"/>
      <c r="AN179" s="597"/>
      <c r="AO179" s="597"/>
      <c r="AP179" s="597"/>
      <c r="AQ179" s="597"/>
      <c r="AR179" s="597"/>
      <c r="AS179" s="597"/>
      <c r="AT179" s="597"/>
      <c r="AU179" s="597"/>
      <c r="AV179" s="40"/>
      <c r="AW179" s="597"/>
      <c r="AX179" s="597"/>
      <c r="AY179" s="597"/>
      <c r="AZ179" s="597"/>
      <c r="BA179" s="597"/>
      <c r="BB179" s="597"/>
    </row>
    <row r="180" spans="1:54" ht="15" customHeight="1">
      <c r="A180" s="469" t="e">
        <f>'Box Schedule'!#REF!</f>
        <v>#REF!</v>
      </c>
      <c r="B180" s="482" t="e">
        <f>'Box Schedule'!#REF!</f>
        <v>#REF!</v>
      </c>
      <c r="C180" s="483" t="e">
        <f>IF((B180&gt;0),(VLOOKUP(J180,'Valve Reference'!$A$2:$K$389,3)),"-")</f>
        <v>#REF!</v>
      </c>
      <c r="D180" s="471" t="s">
        <v>577</v>
      </c>
      <c r="E180" s="484" t="e">
        <f>IF((B180&gt;0),('Vlookup Tables'!$B$37),"-")</f>
        <v>#REF!</v>
      </c>
      <c r="F180" s="585" t="e">
        <f t="shared" si="17"/>
        <v>#REF!</v>
      </c>
      <c r="G180" s="485" t="e">
        <f>IF((B180&gt;0),(VLOOKUP($B180,'Vlookup Tables'!$B$23:$F$33,2,TRUE)),"-")</f>
        <v>#REF!</v>
      </c>
      <c r="H180" s="586" t="e">
        <f t="shared" si="18"/>
        <v>#REF!</v>
      </c>
      <c r="I180" s="476" t="e">
        <f>IF((B180&gt;0),('Vlookup Tables'!$B$35),"-")</f>
        <v>#REF!</v>
      </c>
      <c r="J180" s="477" t="e">
        <f>IF(B180&gt;0,(IF(D180="2-Way",VLOOKUP($G180,'Vlookup Tables'!$C$23:$F$33,2,FALSE),VLOOKUP($G180,'Vlookup Tables'!$C$23:$F$33,3,FALSE))),"-")</f>
        <v>#REF!</v>
      </c>
      <c r="K180" s="478" t="e">
        <f>IF(B180&gt;0,(VLOOKUP(J180,'Valve Reference'!$A$2:$K$389,4)),"-")</f>
        <v>#REF!</v>
      </c>
      <c r="L180" s="478" t="e">
        <f>IF(B180&gt;0,(VLOOKUP(J180,'Valve Reference'!$A$2:$K$389,5)),"-")</f>
        <v>#REF!</v>
      </c>
      <c r="M180" s="478" t="e">
        <f>IF(B180&gt;0,(VLOOKUP(J180,'Valve Reference'!$A$2:$K$389,8)),"-")</f>
        <v>#REF!</v>
      </c>
      <c r="N180" s="478" t="e">
        <f>IF(B180&gt;0,(VLOOKUP(J180,'Valve Reference'!$A$2:$K$389,10)),"-")</f>
        <v>#REF!</v>
      </c>
      <c r="O180" s="479" t="e">
        <f>IF(B180&gt;0,(VLOOKUP(J180,'Valve Reference'!$A$2:$K$389,11)),"-")</f>
        <v>#REF!</v>
      </c>
      <c r="P180" s="480" t="e">
        <f>IF(B180&gt;0,(VLOOKUP(I180,'Actuator Reference'!$A$2:$H$54,2)),"-")</f>
        <v>#REF!</v>
      </c>
      <c r="Q180" s="480" t="e">
        <f>IF(B180&gt;0,(VLOOKUP(I180,'Actuator Reference'!$A$2:$H$54,5)),"-")</f>
        <v>#REF!</v>
      </c>
      <c r="R180" s="480" t="e">
        <f>IF(B180&gt;0,(VLOOKUP(I180,'Actuator Reference'!$A$2:$H$54,6)),"-")</f>
        <v>#REF!</v>
      </c>
      <c r="S180" s="480" t="e">
        <f>IF(B180&gt;0,(VLOOKUP(I180,'Actuator Reference'!$A$2:$H$54,7)),"-")</f>
        <v>#REF!</v>
      </c>
      <c r="T180" s="481" t="e">
        <f>IF(B180&gt;0,(VLOOKUP(I180,'Actuator Reference'!$A$2:$H$54,8)),"-")</f>
        <v>#REF!</v>
      </c>
      <c r="U180" s="596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35">
        <v>1</v>
      </c>
      <c r="AG180" s="35" t="s">
        <v>1097</v>
      </c>
      <c r="AH180" s="597" t="e">
        <f>CONCATENATE(I180,"-",J180)</f>
        <v>#REF!</v>
      </c>
      <c r="AI180" s="594" t="e">
        <f t="shared" si="20"/>
        <v>#REF!</v>
      </c>
      <c r="AJ180" s="597" t="s">
        <v>1339</v>
      </c>
      <c r="AK180" s="597">
        <v>4</v>
      </c>
      <c r="AL180" s="597" t="s">
        <v>1338</v>
      </c>
      <c r="AM180" s="597"/>
      <c r="AN180" s="597"/>
      <c r="AO180" s="597"/>
      <c r="AP180" s="597"/>
      <c r="AQ180" s="597"/>
      <c r="AR180" s="597"/>
      <c r="AS180" s="597"/>
      <c r="AT180" s="597"/>
      <c r="AU180" s="597"/>
      <c r="AV180" s="40"/>
      <c r="AW180" s="597"/>
      <c r="AX180" s="597"/>
      <c r="AY180" s="597"/>
      <c r="AZ180" s="597"/>
      <c r="BA180" s="597"/>
      <c r="BB180" s="597"/>
    </row>
    <row r="181" spans="1:54" ht="15" customHeight="1">
      <c r="A181" s="469" t="e">
        <f>'Box Schedule'!#REF!</f>
        <v>#REF!</v>
      </c>
      <c r="B181" s="482" t="e">
        <f>'Box Schedule'!#REF!</f>
        <v>#REF!</v>
      </c>
      <c r="C181" s="483" t="e">
        <f>IF((B181&gt;0),(VLOOKUP(J181,'Valve Reference'!$A$2:$K$389,3)),"-")</f>
        <v>#REF!</v>
      </c>
      <c r="D181" s="471" t="s">
        <v>577</v>
      </c>
      <c r="E181" s="484" t="e">
        <f>IF((B181&gt;0),('Vlookup Tables'!$B$37),"-")</f>
        <v>#REF!</v>
      </c>
      <c r="F181" s="585" t="e">
        <f t="shared" ref="F181:F216" si="22">IF((B181&gt;0),(B181/SQRT(E181)),"-")</f>
        <v>#REF!</v>
      </c>
      <c r="G181" s="485" t="e">
        <f>IF((B181&gt;0),(VLOOKUP($B181,'Vlookup Tables'!$B$23:$F$33,2,TRUE)),"-")</f>
        <v>#REF!</v>
      </c>
      <c r="H181" s="586" t="e">
        <f t="shared" ref="H181:H216" si="23">IF((B181&gt;0),(1/((G181/B181)^2)),"-")</f>
        <v>#REF!</v>
      </c>
      <c r="I181" s="476" t="e">
        <f>IF((B181&gt;0),('Vlookup Tables'!$B$35),"-")</f>
        <v>#REF!</v>
      </c>
      <c r="J181" s="477" t="e">
        <f>IF(B181&gt;0,(IF(D181="2-Way",VLOOKUP($G181,'Vlookup Tables'!$C$23:$F$33,2,FALSE),VLOOKUP($G181,'Vlookup Tables'!$C$23:$F$33,3,FALSE))),"-")</f>
        <v>#REF!</v>
      </c>
      <c r="K181" s="478" t="e">
        <f>IF(B181&gt;0,(VLOOKUP(J181,'Valve Reference'!$A$2:$K$389,4)),"-")</f>
        <v>#REF!</v>
      </c>
      <c r="L181" s="478" t="e">
        <f>IF(B181&gt;0,(VLOOKUP(J181,'Valve Reference'!$A$2:$K$389,5)),"-")</f>
        <v>#REF!</v>
      </c>
      <c r="M181" s="478" t="e">
        <f>IF(B181&gt;0,(VLOOKUP(J181,'Valve Reference'!$A$2:$K$389,8)),"-")</f>
        <v>#REF!</v>
      </c>
      <c r="N181" s="478" t="e">
        <f>IF(B181&gt;0,(VLOOKUP(J181,'Valve Reference'!$A$2:$K$389,10)),"-")</f>
        <v>#REF!</v>
      </c>
      <c r="O181" s="479" t="e">
        <f>IF(B181&gt;0,(VLOOKUP(J181,'Valve Reference'!$A$2:$K$389,11)),"-")</f>
        <v>#REF!</v>
      </c>
      <c r="P181" s="480" t="e">
        <f>IF(B181&gt;0,(VLOOKUP(I181,'Actuator Reference'!$A$2:$H$54,2)),"-")</f>
        <v>#REF!</v>
      </c>
      <c r="Q181" s="480" t="e">
        <f>IF(B181&gt;0,(VLOOKUP(I181,'Actuator Reference'!$A$2:$H$54,5)),"-")</f>
        <v>#REF!</v>
      </c>
      <c r="R181" s="480" t="e">
        <f>IF(B181&gt;0,(VLOOKUP(I181,'Actuator Reference'!$A$2:$H$54,6)),"-")</f>
        <v>#REF!</v>
      </c>
      <c r="S181" s="480" t="e">
        <f>IF(B181&gt;0,(VLOOKUP(I181,'Actuator Reference'!$A$2:$H$54,7)),"-")</f>
        <v>#REF!</v>
      </c>
      <c r="T181" s="481" t="e">
        <f>IF(B181&gt;0,(VLOOKUP(I181,'Actuator Reference'!$A$2:$H$54,8)),"-")</f>
        <v>#REF!</v>
      </c>
      <c r="U181" s="596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35">
        <v>1</v>
      </c>
      <c r="AG181" s="35" t="s">
        <v>1097</v>
      </c>
      <c r="AH181" s="597" t="e">
        <f t="shared" ref="AH181:AH187" si="24">CONCATENATE(I181,"-",J181)</f>
        <v>#REF!</v>
      </c>
      <c r="AI181" s="594" t="e">
        <f t="shared" ref="AI181:AI216" si="25">CONCATENATE("=",A181)</f>
        <v>#REF!</v>
      </c>
      <c r="AJ181" s="597" t="s">
        <v>1339</v>
      </c>
      <c r="AK181" s="597">
        <v>4</v>
      </c>
      <c r="AL181" s="597" t="s">
        <v>1338</v>
      </c>
      <c r="AM181" s="597"/>
      <c r="AN181" s="597"/>
      <c r="AO181" s="597"/>
      <c r="AP181" s="597"/>
      <c r="AQ181" s="597"/>
      <c r="AR181" s="597"/>
      <c r="AS181" s="597"/>
      <c r="AT181" s="597"/>
      <c r="AU181" s="597"/>
      <c r="AV181" s="40"/>
      <c r="AW181" s="597"/>
      <c r="AX181" s="597"/>
      <c r="AY181" s="597"/>
      <c r="AZ181" s="597"/>
      <c r="BA181" s="597"/>
      <c r="BB181" s="597"/>
    </row>
    <row r="182" spans="1:54" ht="15" customHeight="1">
      <c r="A182" s="469" t="e">
        <f>'Box Schedule'!#REF!</f>
        <v>#REF!</v>
      </c>
      <c r="B182" s="482" t="e">
        <f>'Box Schedule'!#REF!</f>
        <v>#REF!</v>
      </c>
      <c r="C182" s="483" t="e">
        <f>IF((B182&gt;0),(VLOOKUP(J182,'Valve Reference'!$A$2:$K$389,3)),"-")</f>
        <v>#REF!</v>
      </c>
      <c r="D182" s="471" t="s">
        <v>577</v>
      </c>
      <c r="E182" s="484" t="e">
        <f>IF((B182&gt;0),('Vlookup Tables'!$B$37),"-")</f>
        <v>#REF!</v>
      </c>
      <c r="F182" s="585" t="e">
        <f t="shared" si="22"/>
        <v>#REF!</v>
      </c>
      <c r="G182" s="485" t="e">
        <f>IF((B182&gt;0),(VLOOKUP($B182,'Vlookup Tables'!$B$23:$F$33,2,TRUE)),"-")</f>
        <v>#REF!</v>
      </c>
      <c r="H182" s="586" t="e">
        <f t="shared" si="23"/>
        <v>#REF!</v>
      </c>
      <c r="I182" s="476" t="e">
        <f>IF((B182&gt;0),('Vlookup Tables'!$B$35),"-")</f>
        <v>#REF!</v>
      </c>
      <c r="J182" s="477" t="e">
        <f>IF(B182&gt;0,(IF(D182="2-Way",VLOOKUP($G182,'Vlookup Tables'!$C$23:$F$33,2,FALSE),VLOOKUP($G182,'Vlookup Tables'!$C$23:$F$33,3,FALSE))),"-")</f>
        <v>#REF!</v>
      </c>
      <c r="K182" s="478" t="e">
        <f>IF(B182&gt;0,(VLOOKUP(J182,'Valve Reference'!$A$2:$K$389,4)),"-")</f>
        <v>#REF!</v>
      </c>
      <c r="L182" s="478" t="e">
        <f>IF(B182&gt;0,(VLOOKUP(J182,'Valve Reference'!$A$2:$K$389,5)),"-")</f>
        <v>#REF!</v>
      </c>
      <c r="M182" s="478" t="e">
        <f>IF(B182&gt;0,(VLOOKUP(J182,'Valve Reference'!$A$2:$K$389,8)),"-")</f>
        <v>#REF!</v>
      </c>
      <c r="N182" s="478" t="e">
        <f>IF(B182&gt;0,(VLOOKUP(J182,'Valve Reference'!$A$2:$K$389,10)),"-")</f>
        <v>#REF!</v>
      </c>
      <c r="O182" s="479" t="e">
        <f>IF(B182&gt;0,(VLOOKUP(J182,'Valve Reference'!$A$2:$K$389,11)),"-")</f>
        <v>#REF!</v>
      </c>
      <c r="P182" s="480" t="e">
        <f>IF(B182&gt;0,(VLOOKUP(I182,'Actuator Reference'!$A$2:$H$54,2)),"-")</f>
        <v>#REF!</v>
      </c>
      <c r="Q182" s="480" t="e">
        <f>IF(B182&gt;0,(VLOOKUP(I182,'Actuator Reference'!$A$2:$H$54,5)),"-")</f>
        <v>#REF!</v>
      </c>
      <c r="R182" s="480" t="e">
        <f>IF(B182&gt;0,(VLOOKUP(I182,'Actuator Reference'!$A$2:$H$54,6)),"-")</f>
        <v>#REF!</v>
      </c>
      <c r="S182" s="480" t="e">
        <f>IF(B182&gt;0,(VLOOKUP(I182,'Actuator Reference'!$A$2:$H$54,7)),"-")</f>
        <v>#REF!</v>
      </c>
      <c r="T182" s="481" t="e">
        <f>IF(B182&gt;0,(VLOOKUP(I182,'Actuator Reference'!$A$2:$H$54,8)),"-")</f>
        <v>#REF!</v>
      </c>
      <c r="U182" s="596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35">
        <v>1</v>
      </c>
      <c r="AG182" s="35" t="s">
        <v>1097</v>
      </c>
      <c r="AH182" s="597" t="e">
        <f t="shared" si="24"/>
        <v>#REF!</v>
      </c>
      <c r="AI182" s="594" t="e">
        <f t="shared" si="25"/>
        <v>#REF!</v>
      </c>
      <c r="AJ182" s="597" t="s">
        <v>1339</v>
      </c>
      <c r="AK182" s="597">
        <v>4</v>
      </c>
      <c r="AL182" s="597" t="s">
        <v>1338</v>
      </c>
      <c r="AM182" s="597"/>
      <c r="AN182" s="597"/>
      <c r="AO182" s="597"/>
      <c r="AP182" s="597"/>
      <c r="AQ182" s="597"/>
      <c r="AR182" s="597"/>
      <c r="AS182" s="597"/>
      <c r="AT182" s="597"/>
      <c r="AU182" s="597"/>
      <c r="AV182" s="40"/>
      <c r="AW182" s="597"/>
      <c r="AX182" s="597"/>
      <c r="AY182" s="597"/>
      <c r="AZ182" s="597"/>
      <c r="BA182" s="597"/>
      <c r="BB182" s="597"/>
    </row>
    <row r="183" spans="1:54" ht="15" customHeight="1">
      <c r="A183" s="469" t="e">
        <f>'Box Schedule'!#REF!</f>
        <v>#REF!</v>
      </c>
      <c r="B183" s="482" t="e">
        <f>'Box Schedule'!#REF!</f>
        <v>#REF!</v>
      </c>
      <c r="C183" s="483" t="e">
        <f>IF((B183&gt;0),(VLOOKUP(J183,'Valve Reference'!$A$2:$K$389,3)),"-")</f>
        <v>#REF!</v>
      </c>
      <c r="D183" s="471" t="s">
        <v>577</v>
      </c>
      <c r="E183" s="484" t="e">
        <f>IF((B183&gt;0),('Vlookup Tables'!$B$37),"-")</f>
        <v>#REF!</v>
      </c>
      <c r="F183" s="585" t="e">
        <f t="shared" si="22"/>
        <v>#REF!</v>
      </c>
      <c r="G183" s="485" t="e">
        <f>IF((B183&gt;0),(VLOOKUP($B183,'Vlookup Tables'!$B$23:$F$33,2,TRUE)),"-")</f>
        <v>#REF!</v>
      </c>
      <c r="H183" s="586" t="e">
        <f t="shared" si="23"/>
        <v>#REF!</v>
      </c>
      <c r="I183" s="476" t="e">
        <f>IF((B183&gt;0),('Vlookup Tables'!$B$35),"-")</f>
        <v>#REF!</v>
      </c>
      <c r="J183" s="477" t="e">
        <f>IF(B183&gt;0,(IF(D183="2-Way",VLOOKUP($G183,'Vlookup Tables'!$C$23:$F$33,2,FALSE),VLOOKUP($G183,'Vlookup Tables'!$C$23:$F$33,3,FALSE))),"-")</f>
        <v>#REF!</v>
      </c>
      <c r="K183" s="478" t="e">
        <f>IF(B183&gt;0,(VLOOKUP(J183,'Valve Reference'!$A$2:$K$389,4)),"-")</f>
        <v>#REF!</v>
      </c>
      <c r="L183" s="478" t="e">
        <f>IF(B183&gt;0,(VLOOKUP(J183,'Valve Reference'!$A$2:$K$389,5)),"-")</f>
        <v>#REF!</v>
      </c>
      <c r="M183" s="478" t="e">
        <f>IF(B183&gt;0,(VLOOKUP(J183,'Valve Reference'!$A$2:$K$389,8)),"-")</f>
        <v>#REF!</v>
      </c>
      <c r="N183" s="478" t="e">
        <f>IF(B183&gt;0,(VLOOKUP(J183,'Valve Reference'!$A$2:$K$389,10)),"-")</f>
        <v>#REF!</v>
      </c>
      <c r="O183" s="479" t="e">
        <f>IF(B183&gt;0,(VLOOKUP(J183,'Valve Reference'!$A$2:$K$389,11)),"-")</f>
        <v>#REF!</v>
      </c>
      <c r="P183" s="480" t="e">
        <f>IF(B183&gt;0,(VLOOKUP(I183,'Actuator Reference'!$A$2:$H$54,2)),"-")</f>
        <v>#REF!</v>
      </c>
      <c r="Q183" s="480" t="e">
        <f>IF(B183&gt;0,(VLOOKUP(I183,'Actuator Reference'!$A$2:$H$54,5)),"-")</f>
        <v>#REF!</v>
      </c>
      <c r="R183" s="480" t="e">
        <f>IF(B183&gt;0,(VLOOKUP(I183,'Actuator Reference'!$A$2:$H$54,6)),"-")</f>
        <v>#REF!</v>
      </c>
      <c r="S183" s="480" t="e">
        <f>IF(B183&gt;0,(VLOOKUP(I183,'Actuator Reference'!$A$2:$H$54,7)),"-")</f>
        <v>#REF!</v>
      </c>
      <c r="T183" s="481" t="e">
        <f>IF(B183&gt;0,(VLOOKUP(I183,'Actuator Reference'!$A$2:$H$54,8)),"-")</f>
        <v>#REF!</v>
      </c>
      <c r="U183" s="596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35">
        <v>1</v>
      </c>
      <c r="AG183" s="35" t="s">
        <v>1097</v>
      </c>
      <c r="AH183" s="597" t="e">
        <f t="shared" si="24"/>
        <v>#REF!</v>
      </c>
      <c r="AI183" s="594" t="e">
        <f t="shared" si="25"/>
        <v>#REF!</v>
      </c>
      <c r="AJ183" s="597" t="s">
        <v>1339</v>
      </c>
      <c r="AK183" s="597">
        <v>4</v>
      </c>
      <c r="AL183" s="597" t="s">
        <v>1338</v>
      </c>
      <c r="AM183" s="597"/>
      <c r="AN183" s="597"/>
      <c r="AO183" s="597"/>
      <c r="AP183" s="597"/>
      <c r="AQ183" s="597"/>
      <c r="AR183" s="597"/>
      <c r="AS183" s="597"/>
      <c r="AT183" s="597"/>
      <c r="AU183" s="597"/>
      <c r="AV183" s="40"/>
      <c r="AW183" s="597"/>
      <c r="AX183" s="597"/>
      <c r="AY183" s="597"/>
      <c r="AZ183" s="597"/>
      <c r="BA183" s="597"/>
      <c r="BB183" s="597"/>
    </row>
    <row r="184" spans="1:54" ht="15" customHeight="1">
      <c r="A184" s="469" t="e">
        <f>'Box Schedule'!#REF!</f>
        <v>#REF!</v>
      </c>
      <c r="B184" s="482" t="e">
        <f>'Box Schedule'!#REF!</f>
        <v>#REF!</v>
      </c>
      <c r="C184" s="483" t="e">
        <f>IF((B184&gt;0),(VLOOKUP(J184,'Valve Reference'!$A$2:$K$389,3)),"-")</f>
        <v>#REF!</v>
      </c>
      <c r="D184" s="471" t="s">
        <v>579</v>
      </c>
      <c r="E184" s="484" t="e">
        <f>IF((B184&gt;0),('Vlookup Tables'!$B$37),"-")</f>
        <v>#REF!</v>
      </c>
      <c r="F184" s="585" t="e">
        <f t="shared" si="22"/>
        <v>#REF!</v>
      </c>
      <c r="G184" s="485" t="e">
        <f>IF((B184&gt;0),(VLOOKUP($B184,'Vlookup Tables'!$B$23:$F$33,2,TRUE)),"-")</f>
        <v>#REF!</v>
      </c>
      <c r="H184" s="586" t="e">
        <f t="shared" si="23"/>
        <v>#REF!</v>
      </c>
      <c r="I184" s="476" t="e">
        <f>IF((B184&gt;0),('Vlookup Tables'!$B$35),"-")</f>
        <v>#REF!</v>
      </c>
      <c r="J184" s="477" t="e">
        <f>IF(B184&gt;0,(IF(D184="2-Way",VLOOKUP($G184,'Vlookup Tables'!$C$23:$F$33,2,FALSE),VLOOKUP($G184,'Vlookup Tables'!$C$23:$F$33,3,FALSE))),"-")</f>
        <v>#REF!</v>
      </c>
      <c r="K184" s="478" t="e">
        <f>IF(B184&gt;0,(VLOOKUP(J184,'Valve Reference'!$A$2:$K$389,4)),"-")</f>
        <v>#REF!</v>
      </c>
      <c r="L184" s="478" t="e">
        <f>IF(B184&gt;0,(VLOOKUP(J184,'Valve Reference'!$A$2:$K$389,5)),"-")</f>
        <v>#REF!</v>
      </c>
      <c r="M184" s="478" t="e">
        <f>IF(B184&gt;0,(VLOOKUP(J184,'Valve Reference'!$A$2:$K$389,8)),"-")</f>
        <v>#REF!</v>
      </c>
      <c r="N184" s="478" t="e">
        <f>IF(B184&gt;0,(VLOOKUP(J184,'Valve Reference'!$A$2:$K$389,10)),"-")</f>
        <v>#REF!</v>
      </c>
      <c r="O184" s="479" t="e">
        <f>IF(B184&gt;0,(VLOOKUP(J184,'Valve Reference'!$A$2:$K$389,11)),"-")</f>
        <v>#REF!</v>
      </c>
      <c r="P184" s="480" t="e">
        <f>IF(B184&gt;0,(VLOOKUP(I184,'Actuator Reference'!$A$2:$H$54,2)),"-")</f>
        <v>#REF!</v>
      </c>
      <c r="Q184" s="480" t="e">
        <f>IF(B184&gt;0,(VLOOKUP(I184,'Actuator Reference'!$A$2:$H$54,5)),"-")</f>
        <v>#REF!</v>
      </c>
      <c r="R184" s="480" t="e">
        <f>IF(B184&gt;0,(VLOOKUP(I184,'Actuator Reference'!$A$2:$H$54,6)),"-")</f>
        <v>#REF!</v>
      </c>
      <c r="S184" s="480" t="e">
        <f>IF(B184&gt;0,(VLOOKUP(I184,'Actuator Reference'!$A$2:$H$54,7)),"-")</f>
        <v>#REF!</v>
      </c>
      <c r="T184" s="481" t="e">
        <f>IF(B184&gt;0,(VLOOKUP(I184,'Actuator Reference'!$A$2:$H$54,8)),"-")</f>
        <v>#REF!</v>
      </c>
      <c r="U184" s="596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35">
        <v>1</v>
      </c>
      <c r="AG184" s="35" t="s">
        <v>1097</v>
      </c>
      <c r="AH184" s="597" t="e">
        <f t="shared" si="24"/>
        <v>#REF!</v>
      </c>
      <c r="AI184" s="594" t="e">
        <f t="shared" si="25"/>
        <v>#REF!</v>
      </c>
      <c r="AJ184" s="597" t="s">
        <v>1339</v>
      </c>
      <c r="AK184" s="597">
        <v>4</v>
      </c>
      <c r="AL184" s="597" t="s">
        <v>1338</v>
      </c>
      <c r="AM184" s="597"/>
      <c r="AN184" s="597"/>
      <c r="AO184" s="597"/>
      <c r="AP184" s="597"/>
      <c r="AQ184" s="597"/>
      <c r="AR184" s="597"/>
      <c r="AS184" s="597"/>
      <c r="AT184" s="597"/>
      <c r="AU184" s="597"/>
      <c r="AV184" s="40"/>
      <c r="AW184" s="597"/>
      <c r="AX184" s="597"/>
      <c r="AY184" s="597"/>
      <c r="AZ184" s="597"/>
      <c r="BA184" s="597"/>
      <c r="BB184" s="597"/>
    </row>
    <row r="185" spans="1:54" ht="15" customHeight="1">
      <c r="A185" s="469" t="e">
        <f>'Box Schedule'!#REF!</f>
        <v>#REF!</v>
      </c>
      <c r="B185" s="482" t="e">
        <f>'Box Schedule'!#REF!</f>
        <v>#REF!</v>
      </c>
      <c r="C185" s="483" t="e">
        <f>IF((B185&gt;0),(VLOOKUP(J185,'Valve Reference'!$A$2:$K$389,3)),"-")</f>
        <v>#REF!</v>
      </c>
      <c r="D185" s="471" t="s">
        <v>577</v>
      </c>
      <c r="E185" s="484" t="e">
        <f>IF((B185&gt;0),('Vlookup Tables'!$B$37),"-")</f>
        <v>#REF!</v>
      </c>
      <c r="F185" s="585" t="e">
        <f t="shared" si="22"/>
        <v>#REF!</v>
      </c>
      <c r="G185" s="485" t="e">
        <f>IF((B185&gt;0),(VLOOKUP($B185,'Vlookup Tables'!$B$23:$F$33,2,TRUE)),"-")</f>
        <v>#REF!</v>
      </c>
      <c r="H185" s="586" t="e">
        <f t="shared" si="23"/>
        <v>#REF!</v>
      </c>
      <c r="I185" s="476" t="e">
        <f>IF((B185&gt;0),('Vlookup Tables'!$B$35),"-")</f>
        <v>#REF!</v>
      </c>
      <c r="J185" s="477" t="e">
        <f>IF(B185&gt;0,(IF(D185="2-Way",VLOOKUP($G185,'Vlookup Tables'!$C$23:$F$33,2,FALSE),VLOOKUP($G185,'Vlookup Tables'!$C$23:$F$33,3,FALSE))),"-")</f>
        <v>#REF!</v>
      </c>
      <c r="K185" s="478" t="e">
        <f>IF(B185&gt;0,(VLOOKUP(J185,'Valve Reference'!$A$2:$K$389,4)),"-")</f>
        <v>#REF!</v>
      </c>
      <c r="L185" s="478" t="e">
        <f>IF(B185&gt;0,(VLOOKUP(J185,'Valve Reference'!$A$2:$K$389,5)),"-")</f>
        <v>#REF!</v>
      </c>
      <c r="M185" s="478" t="e">
        <f>IF(B185&gt;0,(VLOOKUP(J185,'Valve Reference'!$A$2:$K$389,8)),"-")</f>
        <v>#REF!</v>
      </c>
      <c r="N185" s="478" t="e">
        <f>IF(B185&gt;0,(VLOOKUP(J185,'Valve Reference'!$A$2:$K$389,10)),"-")</f>
        <v>#REF!</v>
      </c>
      <c r="O185" s="479" t="e">
        <f>IF(B185&gt;0,(VLOOKUP(J185,'Valve Reference'!$A$2:$K$389,11)),"-")</f>
        <v>#REF!</v>
      </c>
      <c r="P185" s="480" t="e">
        <f>IF(B185&gt;0,(VLOOKUP(I185,'Actuator Reference'!$A$2:$H$54,2)),"-")</f>
        <v>#REF!</v>
      </c>
      <c r="Q185" s="480" t="e">
        <f>IF(B185&gt;0,(VLOOKUP(I185,'Actuator Reference'!$A$2:$H$54,5)),"-")</f>
        <v>#REF!</v>
      </c>
      <c r="R185" s="480" t="e">
        <f>IF(B185&gt;0,(VLOOKUP(I185,'Actuator Reference'!$A$2:$H$54,6)),"-")</f>
        <v>#REF!</v>
      </c>
      <c r="S185" s="480" t="e">
        <f>IF(B185&gt;0,(VLOOKUP(I185,'Actuator Reference'!$A$2:$H$54,7)),"-")</f>
        <v>#REF!</v>
      </c>
      <c r="T185" s="481" t="e">
        <f>IF(B185&gt;0,(VLOOKUP(I185,'Actuator Reference'!$A$2:$H$54,8)),"-")</f>
        <v>#REF!</v>
      </c>
      <c r="U185" s="596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35">
        <v>1</v>
      </c>
      <c r="AG185" s="35" t="s">
        <v>1097</v>
      </c>
      <c r="AH185" s="597" t="e">
        <f t="shared" si="24"/>
        <v>#REF!</v>
      </c>
      <c r="AI185" s="594" t="e">
        <f t="shared" si="25"/>
        <v>#REF!</v>
      </c>
      <c r="AJ185" s="597" t="s">
        <v>1339</v>
      </c>
      <c r="AK185" s="597">
        <v>4</v>
      </c>
      <c r="AL185" s="597" t="s">
        <v>1338</v>
      </c>
      <c r="AM185" s="597"/>
      <c r="AN185" s="597"/>
      <c r="AO185" s="597"/>
      <c r="AP185" s="597"/>
      <c r="AQ185" s="597"/>
      <c r="AR185" s="597"/>
      <c r="AS185" s="597"/>
      <c r="AT185" s="597"/>
      <c r="AU185" s="597"/>
      <c r="AV185" s="40"/>
      <c r="AW185" s="597"/>
      <c r="AX185" s="597"/>
      <c r="AY185" s="597"/>
      <c r="AZ185" s="597"/>
      <c r="BA185" s="597"/>
      <c r="BB185" s="597"/>
    </row>
    <row r="186" spans="1:54" ht="15" customHeight="1">
      <c r="A186" s="469" t="e">
        <f>'Box Schedule'!#REF!</f>
        <v>#REF!</v>
      </c>
      <c r="B186" s="482" t="e">
        <f>'Box Schedule'!#REF!</f>
        <v>#REF!</v>
      </c>
      <c r="C186" s="483" t="e">
        <f>IF((B186&gt;0),(VLOOKUP(J186,'Valve Reference'!$A$2:$K$389,3)),"-")</f>
        <v>#REF!</v>
      </c>
      <c r="D186" s="471" t="s">
        <v>577</v>
      </c>
      <c r="E186" s="484" t="e">
        <f>IF((B186&gt;0),('Vlookup Tables'!$B$37),"-")</f>
        <v>#REF!</v>
      </c>
      <c r="F186" s="585" t="e">
        <f t="shared" si="22"/>
        <v>#REF!</v>
      </c>
      <c r="G186" s="485" t="e">
        <f>IF((B186&gt;0),(VLOOKUP($B186,'Vlookup Tables'!$B$23:$F$33,2,TRUE)),"-")</f>
        <v>#REF!</v>
      </c>
      <c r="H186" s="586" t="e">
        <f t="shared" si="23"/>
        <v>#REF!</v>
      </c>
      <c r="I186" s="476" t="e">
        <f>IF((B186&gt;0),('Vlookup Tables'!$B$35),"-")</f>
        <v>#REF!</v>
      </c>
      <c r="J186" s="477" t="e">
        <f>IF(B186&gt;0,(IF(D186="2-Way",VLOOKUP($G186,'Vlookup Tables'!$C$23:$F$33,2,FALSE),VLOOKUP($G186,'Vlookup Tables'!$C$23:$F$33,3,FALSE))),"-")</f>
        <v>#REF!</v>
      </c>
      <c r="K186" s="478" t="e">
        <f>IF(B186&gt;0,(VLOOKUP(J186,'Valve Reference'!$A$2:$K$389,4)),"-")</f>
        <v>#REF!</v>
      </c>
      <c r="L186" s="478" t="e">
        <f>IF(B186&gt;0,(VLOOKUP(J186,'Valve Reference'!$A$2:$K$389,5)),"-")</f>
        <v>#REF!</v>
      </c>
      <c r="M186" s="478" t="e">
        <f>IF(B186&gt;0,(VLOOKUP(J186,'Valve Reference'!$A$2:$K$389,8)),"-")</f>
        <v>#REF!</v>
      </c>
      <c r="N186" s="478" t="e">
        <f>IF(B186&gt;0,(VLOOKUP(J186,'Valve Reference'!$A$2:$K$389,10)),"-")</f>
        <v>#REF!</v>
      </c>
      <c r="O186" s="479" t="e">
        <f>IF(B186&gt;0,(VLOOKUP(J186,'Valve Reference'!$A$2:$K$389,11)),"-")</f>
        <v>#REF!</v>
      </c>
      <c r="P186" s="480" t="e">
        <f>IF(B186&gt;0,(VLOOKUP(I186,'Actuator Reference'!$A$2:$H$54,2)),"-")</f>
        <v>#REF!</v>
      </c>
      <c r="Q186" s="480" t="e">
        <f>IF(B186&gt;0,(VLOOKUP(I186,'Actuator Reference'!$A$2:$H$54,5)),"-")</f>
        <v>#REF!</v>
      </c>
      <c r="R186" s="480" t="e">
        <f>IF(B186&gt;0,(VLOOKUP(I186,'Actuator Reference'!$A$2:$H$54,6)),"-")</f>
        <v>#REF!</v>
      </c>
      <c r="S186" s="480" t="e">
        <f>IF(B186&gt;0,(VLOOKUP(I186,'Actuator Reference'!$A$2:$H$54,7)),"-")</f>
        <v>#REF!</v>
      </c>
      <c r="T186" s="481" t="e">
        <f>IF(B186&gt;0,(VLOOKUP(I186,'Actuator Reference'!$A$2:$H$54,8)),"-")</f>
        <v>#REF!</v>
      </c>
      <c r="U186" s="596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35">
        <v>1</v>
      </c>
      <c r="AG186" s="35" t="s">
        <v>1097</v>
      </c>
      <c r="AH186" s="597" t="e">
        <f t="shared" si="24"/>
        <v>#REF!</v>
      </c>
      <c r="AI186" s="594" t="e">
        <f t="shared" si="25"/>
        <v>#REF!</v>
      </c>
      <c r="AJ186" s="597" t="s">
        <v>1339</v>
      </c>
      <c r="AK186" s="597">
        <v>4</v>
      </c>
      <c r="AL186" s="597" t="s">
        <v>1338</v>
      </c>
      <c r="AM186" s="597"/>
      <c r="AN186" s="597"/>
      <c r="AO186" s="597"/>
      <c r="AP186" s="597"/>
      <c r="AQ186" s="597"/>
      <c r="AR186" s="597"/>
      <c r="AS186" s="597"/>
      <c r="AT186" s="597"/>
      <c r="AU186" s="597"/>
      <c r="AV186" s="40"/>
      <c r="AW186" s="597"/>
      <c r="AX186" s="597"/>
      <c r="AY186" s="597"/>
      <c r="AZ186" s="597"/>
      <c r="BA186" s="597"/>
      <c r="BB186" s="597"/>
    </row>
    <row r="187" spans="1:54" ht="15" customHeight="1">
      <c r="A187" s="469" t="e">
        <f>'Box Schedule'!#REF!</f>
        <v>#REF!</v>
      </c>
      <c r="B187" s="482" t="e">
        <f>'Box Schedule'!#REF!</f>
        <v>#REF!</v>
      </c>
      <c r="C187" s="483" t="e">
        <f>IF((B187&gt;0),(VLOOKUP(J187,'Valve Reference'!$A$2:$K$389,3)),"-")</f>
        <v>#REF!</v>
      </c>
      <c r="D187" s="471" t="s">
        <v>580</v>
      </c>
      <c r="E187" s="484" t="e">
        <f>IF((B187&gt;0),('Vlookup Tables'!$B$37),"-")</f>
        <v>#REF!</v>
      </c>
      <c r="F187" s="585" t="e">
        <f t="shared" si="22"/>
        <v>#REF!</v>
      </c>
      <c r="G187" s="485" t="e">
        <f>IF((B187&gt;0),(VLOOKUP($B187,'Vlookup Tables'!$B$23:$F$33,2,TRUE)),"-")</f>
        <v>#REF!</v>
      </c>
      <c r="H187" s="586" t="e">
        <f t="shared" si="23"/>
        <v>#REF!</v>
      </c>
      <c r="I187" s="476" t="e">
        <f>IF((B187&gt;0),('Vlookup Tables'!$B$35),"-")</f>
        <v>#REF!</v>
      </c>
      <c r="J187" s="477" t="e">
        <f>IF(B187&gt;0,(IF(D187="2-Way",VLOOKUP($G187,'Vlookup Tables'!$C$23:$F$33,2,FALSE),VLOOKUP($G187,'Vlookup Tables'!$C$23:$F$33,3,FALSE))),"-")</f>
        <v>#REF!</v>
      </c>
      <c r="K187" s="478" t="e">
        <f>IF(B187&gt;0,(VLOOKUP(J187,'Valve Reference'!$A$2:$K$389,4)),"-")</f>
        <v>#REF!</v>
      </c>
      <c r="L187" s="478" t="e">
        <f>IF(B187&gt;0,(VLOOKUP(J187,'Valve Reference'!$A$2:$K$389,5)),"-")</f>
        <v>#REF!</v>
      </c>
      <c r="M187" s="478" t="e">
        <f>IF(B187&gt;0,(VLOOKUP(J187,'Valve Reference'!$A$2:$K$389,8)),"-")</f>
        <v>#REF!</v>
      </c>
      <c r="N187" s="478" t="e">
        <f>IF(B187&gt;0,(VLOOKUP(J187,'Valve Reference'!$A$2:$K$389,10)),"-")</f>
        <v>#REF!</v>
      </c>
      <c r="O187" s="479" t="e">
        <f>IF(B187&gt;0,(VLOOKUP(J187,'Valve Reference'!$A$2:$K$389,11)),"-")</f>
        <v>#REF!</v>
      </c>
      <c r="P187" s="480" t="e">
        <f>IF(B187&gt;0,(VLOOKUP(I187,'Actuator Reference'!$A$2:$H$54,2)),"-")</f>
        <v>#REF!</v>
      </c>
      <c r="Q187" s="480" t="e">
        <f>IF(B187&gt;0,(VLOOKUP(I187,'Actuator Reference'!$A$2:$H$54,5)),"-")</f>
        <v>#REF!</v>
      </c>
      <c r="R187" s="480" t="e">
        <f>IF(B187&gt;0,(VLOOKUP(I187,'Actuator Reference'!$A$2:$H$54,6)),"-")</f>
        <v>#REF!</v>
      </c>
      <c r="S187" s="480" t="e">
        <f>IF(B187&gt;0,(VLOOKUP(I187,'Actuator Reference'!$A$2:$H$54,7)),"-")</f>
        <v>#REF!</v>
      </c>
      <c r="T187" s="481" t="e">
        <f>IF(B187&gt;0,(VLOOKUP(I187,'Actuator Reference'!$A$2:$H$54,8)),"-")</f>
        <v>#REF!</v>
      </c>
      <c r="U187" s="596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35">
        <v>1</v>
      </c>
      <c r="AG187" s="35" t="s">
        <v>1097</v>
      </c>
      <c r="AH187" s="597" t="e">
        <f t="shared" si="24"/>
        <v>#REF!</v>
      </c>
      <c r="AI187" s="594" t="e">
        <f t="shared" si="25"/>
        <v>#REF!</v>
      </c>
      <c r="AJ187" s="597" t="s">
        <v>1339</v>
      </c>
      <c r="AK187" s="597">
        <v>4</v>
      </c>
      <c r="AL187" s="597" t="s">
        <v>1338</v>
      </c>
      <c r="AM187" s="597"/>
      <c r="AN187" s="597"/>
      <c r="AO187" s="597"/>
      <c r="AP187" s="597"/>
      <c r="AQ187" s="597"/>
      <c r="AR187" s="597"/>
      <c r="AS187" s="597"/>
      <c r="AT187" s="597"/>
      <c r="AU187" s="597"/>
      <c r="AV187" s="40"/>
      <c r="AW187" s="597"/>
      <c r="AX187" s="597"/>
      <c r="AY187" s="597"/>
      <c r="AZ187" s="597"/>
      <c r="BA187" s="597"/>
      <c r="BB187" s="597"/>
    </row>
    <row r="188" spans="1:54" ht="15" customHeight="1">
      <c r="A188" s="469" t="e">
        <f>'Box Schedule'!#REF!</f>
        <v>#REF!</v>
      </c>
      <c r="B188" s="482" t="e">
        <f>'Box Schedule'!#REF!</f>
        <v>#REF!</v>
      </c>
      <c r="C188" s="483" t="e">
        <f>IF((B188&gt;0),(VLOOKUP(J188,'Valve Reference'!$A$2:$K$389,3)),"-")</f>
        <v>#REF!</v>
      </c>
      <c r="D188" s="471" t="s">
        <v>580</v>
      </c>
      <c r="E188" s="484" t="e">
        <f>IF((B188&gt;0),('Vlookup Tables'!$B$37),"-")</f>
        <v>#REF!</v>
      </c>
      <c r="F188" s="585" t="e">
        <f t="shared" si="22"/>
        <v>#REF!</v>
      </c>
      <c r="G188" s="485" t="e">
        <f>IF((B188&gt;0),(VLOOKUP($B188,'Vlookup Tables'!$B$23:$F$33,2,TRUE)),"-")</f>
        <v>#REF!</v>
      </c>
      <c r="H188" s="586" t="e">
        <f t="shared" si="23"/>
        <v>#REF!</v>
      </c>
      <c r="I188" s="476" t="e">
        <f>IF((B188&gt;0),('Vlookup Tables'!$B$35),"-")</f>
        <v>#REF!</v>
      </c>
      <c r="J188" s="477" t="e">
        <f>IF(B188&gt;0,(IF(D188="2-Way",VLOOKUP($G188,'Vlookup Tables'!$C$23:$F$33,2,FALSE),VLOOKUP($G188,'Vlookup Tables'!$C$23:$F$33,3,FALSE))),"-")</f>
        <v>#REF!</v>
      </c>
      <c r="K188" s="478" t="e">
        <f>IF(B188&gt;0,(VLOOKUP(J188,'Valve Reference'!$A$2:$K$389,4)),"-")</f>
        <v>#REF!</v>
      </c>
      <c r="L188" s="478" t="e">
        <f>IF(B188&gt;0,(VLOOKUP(J188,'Valve Reference'!$A$2:$K$389,5)),"-")</f>
        <v>#REF!</v>
      </c>
      <c r="M188" s="478" t="e">
        <f>IF(B188&gt;0,(VLOOKUP(J188,'Valve Reference'!$A$2:$K$389,8)),"-")</f>
        <v>#REF!</v>
      </c>
      <c r="N188" s="478" t="e">
        <f>IF(B188&gt;0,(VLOOKUP(J188,'Valve Reference'!$A$2:$K$389,10)),"-")</f>
        <v>#REF!</v>
      </c>
      <c r="O188" s="479" t="e">
        <f>IF(B188&gt;0,(VLOOKUP(J188,'Valve Reference'!$A$2:$K$389,11)),"-")</f>
        <v>#REF!</v>
      </c>
      <c r="P188" s="480" t="e">
        <f>IF(B188&gt;0,(VLOOKUP(I188,'Actuator Reference'!$A$2:$H$54,2)),"-")</f>
        <v>#REF!</v>
      </c>
      <c r="Q188" s="480" t="e">
        <f>IF(B188&gt;0,(VLOOKUP(I188,'Actuator Reference'!$A$2:$H$54,5)),"-")</f>
        <v>#REF!</v>
      </c>
      <c r="R188" s="480" t="e">
        <f>IF(B188&gt;0,(VLOOKUP(I188,'Actuator Reference'!$A$2:$H$54,6)),"-")</f>
        <v>#REF!</v>
      </c>
      <c r="S188" s="480" t="e">
        <f>IF(B188&gt;0,(VLOOKUP(I188,'Actuator Reference'!$A$2:$H$54,7)),"-")</f>
        <v>#REF!</v>
      </c>
      <c r="T188" s="481" t="e">
        <f>IF(B188&gt;0,(VLOOKUP(I188,'Actuator Reference'!$A$2:$H$54,8)),"-")</f>
        <v>#REF!</v>
      </c>
      <c r="U188" s="596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35">
        <v>1</v>
      </c>
      <c r="AG188" s="35" t="s">
        <v>1097</v>
      </c>
      <c r="AH188" s="597" t="e">
        <f>CONCATENATE(I188,"-",J188)</f>
        <v>#REF!</v>
      </c>
      <c r="AI188" s="594" t="e">
        <f t="shared" si="25"/>
        <v>#REF!</v>
      </c>
      <c r="AJ188" s="597" t="s">
        <v>1339</v>
      </c>
      <c r="AK188" s="597">
        <v>4</v>
      </c>
      <c r="AL188" s="597" t="s">
        <v>1338</v>
      </c>
      <c r="AM188" s="597"/>
      <c r="AN188" s="597"/>
      <c r="AO188" s="597"/>
      <c r="AP188" s="597"/>
      <c r="AQ188" s="597"/>
      <c r="AR188" s="597"/>
      <c r="AS188" s="597"/>
      <c r="AT188" s="597"/>
      <c r="AU188" s="597"/>
      <c r="AV188" s="40"/>
      <c r="AW188" s="597"/>
      <c r="AX188" s="597"/>
      <c r="AY188" s="597"/>
      <c r="AZ188" s="597"/>
      <c r="BA188" s="597"/>
      <c r="BB188" s="597"/>
    </row>
    <row r="189" spans="1:54" ht="15" customHeight="1">
      <c r="A189" s="469" t="e">
        <f>'Box Schedule'!#REF!</f>
        <v>#REF!</v>
      </c>
      <c r="B189" s="482" t="e">
        <f>'Box Schedule'!#REF!</f>
        <v>#REF!</v>
      </c>
      <c r="C189" s="483" t="e">
        <f>IF((B189&gt;0),(VLOOKUP(J189,'Valve Reference'!$A$2:$K$389,3)),"-")</f>
        <v>#REF!</v>
      </c>
      <c r="D189" s="471" t="s">
        <v>577</v>
      </c>
      <c r="E189" s="484" t="e">
        <f>IF((B189&gt;0),('Vlookup Tables'!$B$37),"-")</f>
        <v>#REF!</v>
      </c>
      <c r="F189" s="585" t="e">
        <f t="shared" si="22"/>
        <v>#REF!</v>
      </c>
      <c r="G189" s="485" t="e">
        <f>IF((B189&gt;0),(VLOOKUP($B189,'Vlookup Tables'!$B$23:$F$33,2,TRUE)),"-")</f>
        <v>#REF!</v>
      </c>
      <c r="H189" s="586" t="e">
        <f t="shared" si="23"/>
        <v>#REF!</v>
      </c>
      <c r="I189" s="476" t="e">
        <f>IF((B189&gt;0),('Vlookup Tables'!$B$35),"-")</f>
        <v>#REF!</v>
      </c>
      <c r="J189" s="477" t="e">
        <f>IF(B189&gt;0,(IF(D189="2-Way",VLOOKUP($G189,'Vlookup Tables'!$C$23:$F$33,2,FALSE),VLOOKUP($G189,'Vlookup Tables'!$C$23:$F$33,3,FALSE))),"-")</f>
        <v>#REF!</v>
      </c>
      <c r="K189" s="478" t="e">
        <f>IF(B189&gt;0,(VLOOKUP(J189,'Valve Reference'!$A$2:$K$389,4)),"-")</f>
        <v>#REF!</v>
      </c>
      <c r="L189" s="478" t="e">
        <f>IF(B189&gt;0,(VLOOKUP(J189,'Valve Reference'!$A$2:$K$389,5)),"-")</f>
        <v>#REF!</v>
      </c>
      <c r="M189" s="478" t="e">
        <f>IF(B189&gt;0,(VLOOKUP(J189,'Valve Reference'!$A$2:$K$389,8)),"-")</f>
        <v>#REF!</v>
      </c>
      <c r="N189" s="478" t="e">
        <f>IF(B189&gt;0,(VLOOKUP(J189,'Valve Reference'!$A$2:$K$389,10)),"-")</f>
        <v>#REF!</v>
      </c>
      <c r="O189" s="479" t="e">
        <f>IF(B189&gt;0,(VLOOKUP(J189,'Valve Reference'!$A$2:$K$389,11)),"-")</f>
        <v>#REF!</v>
      </c>
      <c r="P189" s="480" t="e">
        <f>IF(B189&gt;0,(VLOOKUP(I189,'Actuator Reference'!$A$2:$H$54,2)),"-")</f>
        <v>#REF!</v>
      </c>
      <c r="Q189" s="480" t="e">
        <f>IF(B189&gt;0,(VLOOKUP(I189,'Actuator Reference'!$A$2:$H$54,5)),"-")</f>
        <v>#REF!</v>
      </c>
      <c r="R189" s="480" t="e">
        <f>IF(B189&gt;0,(VLOOKUP(I189,'Actuator Reference'!$A$2:$H$54,6)),"-")</f>
        <v>#REF!</v>
      </c>
      <c r="S189" s="480" t="e">
        <f>IF(B189&gt;0,(VLOOKUP(I189,'Actuator Reference'!$A$2:$H$54,7)),"-")</f>
        <v>#REF!</v>
      </c>
      <c r="T189" s="481" t="e">
        <f>IF(B189&gt;0,(VLOOKUP(I189,'Actuator Reference'!$A$2:$H$54,8)),"-")</f>
        <v>#REF!</v>
      </c>
      <c r="U189" s="596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35">
        <v>1</v>
      </c>
      <c r="AG189" s="35" t="s">
        <v>1097</v>
      </c>
      <c r="AH189" s="597" t="e">
        <f>CONCATENATE(I189,"-",J189)</f>
        <v>#REF!</v>
      </c>
      <c r="AI189" s="594" t="e">
        <f t="shared" si="25"/>
        <v>#REF!</v>
      </c>
      <c r="AJ189" s="597" t="s">
        <v>1339</v>
      </c>
      <c r="AK189" s="597">
        <v>4</v>
      </c>
      <c r="AL189" s="597" t="s">
        <v>1338</v>
      </c>
      <c r="AM189" s="597"/>
      <c r="AN189" s="597"/>
      <c r="AO189" s="597"/>
      <c r="AP189" s="597"/>
      <c r="AQ189" s="597"/>
      <c r="AR189" s="597"/>
      <c r="AS189" s="597"/>
      <c r="AT189" s="597"/>
      <c r="AU189" s="597"/>
      <c r="AV189" s="40"/>
      <c r="AW189" s="597"/>
      <c r="AX189" s="597"/>
      <c r="AY189" s="597"/>
      <c r="AZ189" s="597"/>
      <c r="BA189" s="597"/>
      <c r="BB189" s="597"/>
    </row>
    <row r="190" spans="1:54" ht="15" customHeight="1">
      <c r="A190" s="469" t="e">
        <f>'Box Schedule'!#REF!</f>
        <v>#REF!</v>
      </c>
      <c r="B190" s="482" t="e">
        <f>'Box Schedule'!#REF!</f>
        <v>#REF!</v>
      </c>
      <c r="C190" s="483" t="e">
        <f>IF((B190&gt;0),(VLOOKUP(J190,'Valve Reference'!$A$2:$K$389,3)),"-")</f>
        <v>#REF!</v>
      </c>
      <c r="D190" s="471" t="s">
        <v>577</v>
      </c>
      <c r="E190" s="484" t="e">
        <f>IF((B190&gt;0),('Vlookup Tables'!$B$37),"-")</f>
        <v>#REF!</v>
      </c>
      <c r="F190" s="585" t="e">
        <f t="shared" si="22"/>
        <v>#REF!</v>
      </c>
      <c r="G190" s="485" t="e">
        <f>IF((B190&gt;0),(VLOOKUP($B190,'Vlookup Tables'!$B$23:$F$33,2,TRUE)),"-")</f>
        <v>#REF!</v>
      </c>
      <c r="H190" s="586" t="e">
        <f t="shared" si="23"/>
        <v>#REF!</v>
      </c>
      <c r="I190" s="476" t="e">
        <f>IF((B190&gt;0),('Vlookup Tables'!$B$35),"-")</f>
        <v>#REF!</v>
      </c>
      <c r="J190" s="477" t="e">
        <f>IF(B190&gt;0,(IF(D190="2-Way",VLOOKUP($G190,'Vlookup Tables'!$C$23:$F$33,2,FALSE),VLOOKUP($G190,'Vlookup Tables'!$C$23:$F$33,3,FALSE))),"-")</f>
        <v>#REF!</v>
      </c>
      <c r="K190" s="478" t="e">
        <f>IF(B190&gt;0,(VLOOKUP(J190,'Valve Reference'!$A$2:$K$389,4)),"-")</f>
        <v>#REF!</v>
      </c>
      <c r="L190" s="478" t="e">
        <f>IF(B190&gt;0,(VLOOKUP(J190,'Valve Reference'!$A$2:$K$389,5)),"-")</f>
        <v>#REF!</v>
      </c>
      <c r="M190" s="478" t="e">
        <f>IF(B190&gt;0,(VLOOKUP(J190,'Valve Reference'!$A$2:$K$389,8)),"-")</f>
        <v>#REF!</v>
      </c>
      <c r="N190" s="478" t="e">
        <f>IF(B190&gt;0,(VLOOKUP(J190,'Valve Reference'!$A$2:$K$389,10)),"-")</f>
        <v>#REF!</v>
      </c>
      <c r="O190" s="479" t="e">
        <f>IF(B190&gt;0,(VLOOKUP(J190,'Valve Reference'!$A$2:$K$389,11)),"-")</f>
        <v>#REF!</v>
      </c>
      <c r="P190" s="480" t="e">
        <f>IF(B190&gt;0,(VLOOKUP(I190,'Actuator Reference'!$A$2:$H$54,2)),"-")</f>
        <v>#REF!</v>
      </c>
      <c r="Q190" s="480" t="e">
        <f>IF(B190&gt;0,(VLOOKUP(I190,'Actuator Reference'!$A$2:$H$54,5)),"-")</f>
        <v>#REF!</v>
      </c>
      <c r="R190" s="480" t="e">
        <f>IF(B190&gt;0,(VLOOKUP(I190,'Actuator Reference'!$A$2:$H$54,6)),"-")</f>
        <v>#REF!</v>
      </c>
      <c r="S190" s="480" t="e">
        <f>IF(B190&gt;0,(VLOOKUP(I190,'Actuator Reference'!$A$2:$H$54,7)),"-")</f>
        <v>#REF!</v>
      </c>
      <c r="T190" s="481" t="e">
        <f>IF(B190&gt;0,(VLOOKUP(I190,'Actuator Reference'!$A$2:$H$54,8)),"-")</f>
        <v>#REF!</v>
      </c>
      <c r="U190" s="596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35">
        <v>1</v>
      </c>
      <c r="AG190" s="35" t="s">
        <v>1097</v>
      </c>
      <c r="AH190" s="597" t="e">
        <f t="shared" ref="AH190:AH196" si="26">CONCATENATE(I190,"-",J190)</f>
        <v>#REF!</v>
      </c>
      <c r="AI190" s="594" t="e">
        <f t="shared" si="25"/>
        <v>#REF!</v>
      </c>
      <c r="AJ190" s="597" t="s">
        <v>1339</v>
      </c>
      <c r="AK190" s="597">
        <v>4</v>
      </c>
      <c r="AL190" s="597" t="s">
        <v>1338</v>
      </c>
      <c r="AM190" s="597"/>
      <c r="AN190" s="597"/>
      <c r="AO190" s="597"/>
      <c r="AP190" s="597"/>
      <c r="AQ190" s="597"/>
      <c r="AR190" s="597"/>
      <c r="AS190" s="597"/>
      <c r="AT190" s="597"/>
      <c r="AU190" s="597"/>
      <c r="AV190" s="40"/>
      <c r="AW190" s="597"/>
      <c r="AX190" s="597"/>
      <c r="AY190" s="597"/>
      <c r="AZ190" s="597"/>
      <c r="BA190" s="597"/>
      <c r="BB190" s="597"/>
    </row>
    <row r="191" spans="1:54" ht="15" customHeight="1">
      <c r="A191" s="469" t="e">
        <f>'Box Schedule'!#REF!</f>
        <v>#REF!</v>
      </c>
      <c r="B191" s="482" t="e">
        <f>'Box Schedule'!#REF!</f>
        <v>#REF!</v>
      </c>
      <c r="C191" s="483" t="e">
        <f>IF((B191&gt;0),(VLOOKUP(J191,'Valve Reference'!$A$2:$K$389,3)),"-")</f>
        <v>#REF!</v>
      </c>
      <c r="D191" s="471" t="s">
        <v>577</v>
      </c>
      <c r="E191" s="484" t="e">
        <f>IF((B191&gt;0),('Vlookup Tables'!$B$37),"-")</f>
        <v>#REF!</v>
      </c>
      <c r="F191" s="585" t="e">
        <f t="shared" si="22"/>
        <v>#REF!</v>
      </c>
      <c r="G191" s="485" t="e">
        <f>IF((B191&gt;0),(VLOOKUP($B191,'Vlookup Tables'!$B$23:$F$33,2,TRUE)),"-")</f>
        <v>#REF!</v>
      </c>
      <c r="H191" s="586" t="e">
        <f t="shared" si="23"/>
        <v>#REF!</v>
      </c>
      <c r="I191" s="476" t="e">
        <f>IF((B191&gt;0),('Vlookup Tables'!$B$35),"-")</f>
        <v>#REF!</v>
      </c>
      <c r="J191" s="477" t="e">
        <f>IF(B191&gt;0,(IF(D191="2-Way",VLOOKUP($G191,'Vlookup Tables'!$C$23:$F$33,2,FALSE),VLOOKUP($G191,'Vlookup Tables'!$C$23:$F$33,3,FALSE))),"-")</f>
        <v>#REF!</v>
      </c>
      <c r="K191" s="478" t="e">
        <f>IF(B191&gt;0,(VLOOKUP(J191,'Valve Reference'!$A$2:$K$389,4)),"-")</f>
        <v>#REF!</v>
      </c>
      <c r="L191" s="478" t="e">
        <f>IF(B191&gt;0,(VLOOKUP(J191,'Valve Reference'!$A$2:$K$389,5)),"-")</f>
        <v>#REF!</v>
      </c>
      <c r="M191" s="478" t="e">
        <f>IF(B191&gt;0,(VLOOKUP(J191,'Valve Reference'!$A$2:$K$389,8)),"-")</f>
        <v>#REF!</v>
      </c>
      <c r="N191" s="478" t="e">
        <f>IF(B191&gt;0,(VLOOKUP(J191,'Valve Reference'!$A$2:$K$389,10)),"-")</f>
        <v>#REF!</v>
      </c>
      <c r="O191" s="479" t="e">
        <f>IF(B191&gt;0,(VLOOKUP(J191,'Valve Reference'!$A$2:$K$389,11)),"-")</f>
        <v>#REF!</v>
      </c>
      <c r="P191" s="480" t="e">
        <f>IF(B191&gt;0,(VLOOKUP(I191,'Actuator Reference'!$A$2:$H$54,2)),"-")</f>
        <v>#REF!</v>
      </c>
      <c r="Q191" s="480" t="e">
        <f>IF(B191&gt;0,(VLOOKUP(I191,'Actuator Reference'!$A$2:$H$54,5)),"-")</f>
        <v>#REF!</v>
      </c>
      <c r="R191" s="480" t="e">
        <f>IF(B191&gt;0,(VLOOKUP(I191,'Actuator Reference'!$A$2:$H$54,6)),"-")</f>
        <v>#REF!</v>
      </c>
      <c r="S191" s="480" t="e">
        <f>IF(B191&gt;0,(VLOOKUP(I191,'Actuator Reference'!$A$2:$H$54,7)),"-")</f>
        <v>#REF!</v>
      </c>
      <c r="T191" s="481" t="e">
        <f>IF(B191&gt;0,(VLOOKUP(I191,'Actuator Reference'!$A$2:$H$54,8)),"-")</f>
        <v>#REF!</v>
      </c>
      <c r="U191" s="596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35">
        <v>1</v>
      </c>
      <c r="AG191" s="35" t="s">
        <v>1097</v>
      </c>
      <c r="AH191" s="597" t="e">
        <f t="shared" si="26"/>
        <v>#REF!</v>
      </c>
      <c r="AI191" s="594" t="e">
        <f t="shared" si="25"/>
        <v>#REF!</v>
      </c>
      <c r="AJ191" s="597" t="s">
        <v>1339</v>
      </c>
      <c r="AK191" s="597">
        <v>4</v>
      </c>
      <c r="AL191" s="597" t="s">
        <v>1338</v>
      </c>
      <c r="AM191" s="597"/>
      <c r="AN191" s="597"/>
      <c r="AO191" s="597"/>
      <c r="AP191" s="597"/>
      <c r="AQ191" s="597"/>
      <c r="AR191" s="597"/>
      <c r="AS191" s="597"/>
      <c r="AT191" s="597"/>
      <c r="AU191" s="597"/>
      <c r="AV191" s="40"/>
      <c r="AW191" s="597"/>
      <c r="AX191" s="597"/>
      <c r="AY191" s="597"/>
      <c r="AZ191" s="597"/>
      <c r="BA191" s="597"/>
      <c r="BB191" s="597"/>
    </row>
    <row r="192" spans="1:54" ht="15" customHeight="1">
      <c r="A192" s="469" t="e">
        <f>'Box Schedule'!#REF!</f>
        <v>#REF!</v>
      </c>
      <c r="B192" s="482" t="e">
        <f>'Box Schedule'!#REF!</f>
        <v>#REF!</v>
      </c>
      <c r="C192" s="483" t="e">
        <f>IF((B192&gt;0),(VLOOKUP(J192,'Valve Reference'!$A$2:$K$389,3)),"-")</f>
        <v>#REF!</v>
      </c>
      <c r="D192" s="471" t="s">
        <v>577</v>
      </c>
      <c r="E192" s="484" t="e">
        <f>IF((B192&gt;0),('Vlookup Tables'!$B$37),"-")</f>
        <v>#REF!</v>
      </c>
      <c r="F192" s="585" t="e">
        <f t="shared" si="22"/>
        <v>#REF!</v>
      </c>
      <c r="G192" s="485" t="e">
        <f>IF((B192&gt;0),(VLOOKUP($B192,'Vlookup Tables'!$B$23:$F$33,2,TRUE)),"-")</f>
        <v>#REF!</v>
      </c>
      <c r="H192" s="586" t="e">
        <f t="shared" si="23"/>
        <v>#REF!</v>
      </c>
      <c r="I192" s="476" t="e">
        <f>IF((B192&gt;0),('Vlookup Tables'!$B$35),"-")</f>
        <v>#REF!</v>
      </c>
      <c r="J192" s="477" t="e">
        <f>IF(B192&gt;0,(IF(D192="2-Way",VLOOKUP($G192,'Vlookup Tables'!$C$23:$F$33,2,FALSE),VLOOKUP($G192,'Vlookup Tables'!$C$23:$F$33,3,FALSE))),"-")</f>
        <v>#REF!</v>
      </c>
      <c r="K192" s="478" t="e">
        <f>IF(B192&gt;0,(VLOOKUP(J192,'Valve Reference'!$A$2:$K$389,4)),"-")</f>
        <v>#REF!</v>
      </c>
      <c r="L192" s="478" t="e">
        <f>IF(B192&gt;0,(VLOOKUP(J192,'Valve Reference'!$A$2:$K$389,5)),"-")</f>
        <v>#REF!</v>
      </c>
      <c r="M192" s="478" t="e">
        <f>IF(B192&gt;0,(VLOOKUP(J192,'Valve Reference'!$A$2:$K$389,8)),"-")</f>
        <v>#REF!</v>
      </c>
      <c r="N192" s="478" t="e">
        <f>IF(B192&gt;0,(VLOOKUP(J192,'Valve Reference'!$A$2:$K$389,10)),"-")</f>
        <v>#REF!</v>
      </c>
      <c r="O192" s="479" t="e">
        <f>IF(B192&gt;0,(VLOOKUP(J192,'Valve Reference'!$A$2:$K$389,11)),"-")</f>
        <v>#REF!</v>
      </c>
      <c r="P192" s="480" t="e">
        <f>IF(B192&gt;0,(VLOOKUP(I192,'Actuator Reference'!$A$2:$H$54,2)),"-")</f>
        <v>#REF!</v>
      </c>
      <c r="Q192" s="480" t="e">
        <f>IF(B192&gt;0,(VLOOKUP(I192,'Actuator Reference'!$A$2:$H$54,5)),"-")</f>
        <v>#REF!</v>
      </c>
      <c r="R192" s="480" t="e">
        <f>IF(B192&gt;0,(VLOOKUP(I192,'Actuator Reference'!$A$2:$H$54,6)),"-")</f>
        <v>#REF!</v>
      </c>
      <c r="S192" s="480" t="e">
        <f>IF(B192&gt;0,(VLOOKUP(I192,'Actuator Reference'!$A$2:$H$54,7)),"-")</f>
        <v>#REF!</v>
      </c>
      <c r="T192" s="481" t="e">
        <f>IF(B192&gt;0,(VLOOKUP(I192,'Actuator Reference'!$A$2:$H$54,8)),"-")</f>
        <v>#REF!</v>
      </c>
      <c r="U192" s="596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35">
        <v>1</v>
      </c>
      <c r="AG192" s="35" t="s">
        <v>1097</v>
      </c>
      <c r="AH192" s="597" t="e">
        <f t="shared" si="26"/>
        <v>#REF!</v>
      </c>
      <c r="AI192" s="594" t="e">
        <f t="shared" si="25"/>
        <v>#REF!</v>
      </c>
      <c r="AJ192" s="597" t="s">
        <v>1339</v>
      </c>
      <c r="AK192" s="597">
        <v>4</v>
      </c>
      <c r="AL192" s="597" t="s">
        <v>1338</v>
      </c>
      <c r="AM192" s="597"/>
      <c r="AN192" s="597"/>
      <c r="AO192" s="597"/>
      <c r="AP192" s="597"/>
      <c r="AQ192" s="597"/>
      <c r="AR192" s="597"/>
      <c r="AS192" s="597"/>
      <c r="AT192" s="597"/>
      <c r="AU192" s="597"/>
      <c r="AV192" s="40"/>
      <c r="AW192" s="597"/>
      <c r="AX192" s="597"/>
      <c r="AY192" s="597"/>
      <c r="AZ192" s="597"/>
      <c r="BA192" s="597"/>
      <c r="BB192" s="597"/>
    </row>
    <row r="193" spans="1:54" ht="15" customHeight="1">
      <c r="A193" s="469" t="e">
        <f>'Box Schedule'!#REF!</f>
        <v>#REF!</v>
      </c>
      <c r="B193" s="482" t="e">
        <f>'Box Schedule'!#REF!</f>
        <v>#REF!</v>
      </c>
      <c r="C193" s="483" t="e">
        <f>IF((B193&gt;0),(VLOOKUP(J193,'Valve Reference'!$A$2:$K$389,3)),"-")</f>
        <v>#REF!</v>
      </c>
      <c r="D193" s="471" t="s">
        <v>577</v>
      </c>
      <c r="E193" s="484" t="e">
        <f>IF((B193&gt;0),('Vlookup Tables'!$B$37),"-")</f>
        <v>#REF!</v>
      </c>
      <c r="F193" s="585" t="e">
        <f t="shared" si="22"/>
        <v>#REF!</v>
      </c>
      <c r="G193" s="485" t="e">
        <f>IF((B193&gt;0),(VLOOKUP($B193,'Vlookup Tables'!$B$23:$F$33,2,TRUE)),"-")</f>
        <v>#REF!</v>
      </c>
      <c r="H193" s="586" t="e">
        <f t="shared" si="23"/>
        <v>#REF!</v>
      </c>
      <c r="I193" s="476" t="e">
        <f>IF((B193&gt;0),('Vlookup Tables'!$B$35),"-")</f>
        <v>#REF!</v>
      </c>
      <c r="J193" s="477" t="e">
        <f>IF(B193&gt;0,(IF(D193="2-Way",VLOOKUP($G193,'Vlookup Tables'!$C$23:$F$33,2,FALSE),VLOOKUP($G193,'Vlookup Tables'!$C$23:$F$33,3,FALSE))),"-")</f>
        <v>#REF!</v>
      </c>
      <c r="K193" s="478" t="e">
        <f>IF(B193&gt;0,(VLOOKUP(J193,'Valve Reference'!$A$2:$K$389,4)),"-")</f>
        <v>#REF!</v>
      </c>
      <c r="L193" s="478" t="e">
        <f>IF(B193&gt;0,(VLOOKUP(J193,'Valve Reference'!$A$2:$K$389,5)),"-")</f>
        <v>#REF!</v>
      </c>
      <c r="M193" s="478" t="e">
        <f>IF(B193&gt;0,(VLOOKUP(J193,'Valve Reference'!$A$2:$K$389,8)),"-")</f>
        <v>#REF!</v>
      </c>
      <c r="N193" s="478" t="e">
        <f>IF(B193&gt;0,(VLOOKUP(J193,'Valve Reference'!$A$2:$K$389,10)),"-")</f>
        <v>#REF!</v>
      </c>
      <c r="O193" s="479" t="e">
        <f>IF(B193&gt;0,(VLOOKUP(J193,'Valve Reference'!$A$2:$K$389,11)),"-")</f>
        <v>#REF!</v>
      </c>
      <c r="P193" s="480" t="e">
        <f>IF(B193&gt;0,(VLOOKUP(I193,'Actuator Reference'!$A$2:$H$54,2)),"-")</f>
        <v>#REF!</v>
      </c>
      <c r="Q193" s="480" t="e">
        <f>IF(B193&gt;0,(VLOOKUP(I193,'Actuator Reference'!$A$2:$H$54,5)),"-")</f>
        <v>#REF!</v>
      </c>
      <c r="R193" s="480" t="e">
        <f>IF(B193&gt;0,(VLOOKUP(I193,'Actuator Reference'!$A$2:$H$54,6)),"-")</f>
        <v>#REF!</v>
      </c>
      <c r="S193" s="480" t="e">
        <f>IF(B193&gt;0,(VLOOKUP(I193,'Actuator Reference'!$A$2:$H$54,7)),"-")</f>
        <v>#REF!</v>
      </c>
      <c r="T193" s="481" t="e">
        <f>IF(B193&gt;0,(VLOOKUP(I193,'Actuator Reference'!$A$2:$H$54,8)),"-")</f>
        <v>#REF!</v>
      </c>
      <c r="U193" s="596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35">
        <v>1</v>
      </c>
      <c r="AG193" s="35" t="s">
        <v>1097</v>
      </c>
      <c r="AH193" s="597" t="e">
        <f t="shared" si="26"/>
        <v>#REF!</v>
      </c>
      <c r="AI193" s="594" t="e">
        <f t="shared" si="25"/>
        <v>#REF!</v>
      </c>
      <c r="AJ193" s="597" t="s">
        <v>1339</v>
      </c>
      <c r="AK193" s="597">
        <v>4</v>
      </c>
      <c r="AL193" s="597" t="s">
        <v>1338</v>
      </c>
      <c r="AM193" s="597"/>
      <c r="AN193" s="597"/>
      <c r="AO193" s="597"/>
      <c r="AP193" s="597"/>
      <c r="AQ193" s="597"/>
      <c r="AR193" s="597"/>
      <c r="AS193" s="597"/>
      <c r="AT193" s="597"/>
      <c r="AU193" s="597"/>
      <c r="AV193" s="40"/>
      <c r="AW193" s="597"/>
      <c r="AX193" s="597"/>
      <c r="AY193" s="597"/>
      <c r="AZ193" s="597"/>
      <c r="BA193" s="597"/>
      <c r="BB193" s="597"/>
    </row>
    <row r="194" spans="1:54" ht="15" customHeight="1">
      <c r="A194" s="469" t="e">
        <f>'Box Schedule'!#REF!</f>
        <v>#REF!</v>
      </c>
      <c r="B194" s="482" t="e">
        <f>'Box Schedule'!#REF!</f>
        <v>#REF!</v>
      </c>
      <c r="C194" s="483" t="e">
        <f>IF((B194&gt;0),(VLOOKUP(J194,'Valve Reference'!$A$2:$K$389,3)),"-")</f>
        <v>#REF!</v>
      </c>
      <c r="D194" s="471" t="s">
        <v>577</v>
      </c>
      <c r="E194" s="484" t="e">
        <f>IF((B194&gt;0),('Vlookup Tables'!$B$37),"-")</f>
        <v>#REF!</v>
      </c>
      <c r="F194" s="585" t="e">
        <f t="shared" si="22"/>
        <v>#REF!</v>
      </c>
      <c r="G194" s="485" t="e">
        <f>IF((B194&gt;0),(VLOOKUP($B194,'Vlookup Tables'!$B$23:$F$33,2,TRUE)),"-")</f>
        <v>#REF!</v>
      </c>
      <c r="H194" s="586" t="e">
        <f t="shared" si="23"/>
        <v>#REF!</v>
      </c>
      <c r="I194" s="476" t="e">
        <f>IF((B194&gt;0),('Vlookup Tables'!$B$35),"-")</f>
        <v>#REF!</v>
      </c>
      <c r="J194" s="477" t="e">
        <f>IF(B194&gt;0,(IF(D194="2-Way",VLOOKUP($G194,'Vlookup Tables'!$C$23:$F$33,2,FALSE),VLOOKUP($G194,'Vlookup Tables'!$C$23:$F$33,3,FALSE))),"-")</f>
        <v>#REF!</v>
      </c>
      <c r="K194" s="478" t="e">
        <f>IF(B194&gt;0,(VLOOKUP(J194,'Valve Reference'!$A$2:$K$389,4)),"-")</f>
        <v>#REF!</v>
      </c>
      <c r="L194" s="478" t="e">
        <f>IF(B194&gt;0,(VLOOKUP(J194,'Valve Reference'!$A$2:$K$389,5)),"-")</f>
        <v>#REF!</v>
      </c>
      <c r="M194" s="478" t="e">
        <f>IF(B194&gt;0,(VLOOKUP(J194,'Valve Reference'!$A$2:$K$389,8)),"-")</f>
        <v>#REF!</v>
      </c>
      <c r="N194" s="478" t="e">
        <f>IF(B194&gt;0,(VLOOKUP(J194,'Valve Reference'!$A$2:$K$389,10)),"-")</f>
        <v>#REF!</v>
      </c>
      <c r="O194" s="479" t="e">
        <f>IF(B194&gt;0,(VLOOKUP(J194,'Valve Reference'!$A$2:$K$389,11)),"-")</f>
        <v>#REF!</v>
      </c>
      <c r="P194" s="480" t="e">
        <f>IF(B194&gt;0,(VLOOKUP(I194,'Actuator Reference'!$A$2:$H$54,2)),"-")</f>
        <v>#REF!</v>
      </c>
      <c r="Q194" s="480" t="e">
        <f>IF(B194&gt;0,(VLOOKUP(I194,'Actuator Reference'!$A$2:$H$54,5)),"-")</f>
        <v>#REF!</v>
      </c>
      <c r="R194" s="480" t="e">
        <f>IF(B194&gt;0,(VLOOKUP(I194,'Actuator Reference'!$A$2:$H$54,6)),"-")</f>
        <v>#REF!</v>
      </c>
      <c r="S194" s="480" t="e">
        <f>IF(B194&gt;0,(VLOOKUP(I194,'Actuator Reference'!$A$2:$H$54,7)),"-")</f>
        <v>#REF!</v>
      </c>
      <c r="T194" s="481" t="e">
        <f>IF(B194&gt;0,(VLOOKUP(I194,'Actuator Reference'!$A$2:$H$54,8)),"-")</f>
        <v>#REF!</v>
      </c>
      <c r="U194" s="596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35">
        <v>1</v>
      </c>
      <c r="AG194" s="35" t="s">
        <v>1097</v>
      </c>
      <c r="AH194" s="597" t="e">
        <f t="shared" si="26"/>
        <v>#REF!</v>
      </c>
      <c r="AI194" s="594" t="e">
        <f t="shared" si="25"/>
        <v>#REF!</v>
      </c>
      <c r="AJ194" s="597" t="s">
        <v>1339</v>
      </c>
      <c r="AK194" s="597">
        <v>4</v>
      </c>
      <c r="AL194" s="597" t="s">
        <v>1338</v>
      </c>
      <c r="AM194" s="597"/>
      <c r="AN194" s="597"/>
      <c r="AO194" s="597"/>
      <c r="AP194" s="597"/>
      <c r="AQ194" s="597"/>
      <c r="AR194" s="597"/>
      <c r="AS194" s="597"/>
      <c r="AT194" s="597"/>
      <c r="AU194" s="597"/>
      <c r="AV194" s="40"/>
      <c r="AW194" s="597"/>
      <c r="AX194" s="597"/>
      <c r="AY194" s="597"/>
      <c r="AZ194" s="597"/>
      <c r="BA194" s="597"/>
      <c r="BB194" s="597"/>
    </row>
    <row r="195" spans="1:54" ht="15" customHeight="1">
      <c r="A195" s="469" t="e">
        <f>'Box Schedule'!#REF!</f>
        <v>#REF!</v>
      </c>
      <c r="B195" s="482" t="e">
        <f>'Box Schedule'!#REF!</f>
        <v>#REF!</v>
      </c>
      <c r="C195" s="483" t="e">
        <f>IF((B195&gt;0),(VLOOKUP(J195,'Valve Reference'!$A$2:$K$389,3)),"-")</f>
        <v>#REF!</v>
      </c>
      <c r="D195" s="471" t="s">
        <v>577</v>
      </c>
      <c r="E195" s="484" t="e">
        <f>IF((B195&gt;0),('Vlookup Tables'!$B$37),"-")</f>
        <v>#REF!</v>
      </c>
      <c r="F195" s="585" t="e">
        <f t="shared" si="22"/>
        <v>#REF!</v>
      </c>
      <c r="G195" s="485" t="e">
        <f>IF((B195&gt;0),(VLOOKUP($B195,'Vlookup Tables'!$B$23:$F$33,2,TRUE)),"-")</f>
        <v>#REF!</v>
      </c>
      <c r="H195" s="586" t="e">
        <f t="shared" si="23"/>
        <v>#REF!</v>
      </c>
      <c r="I195" s="476" t="e">
        <f>IF((B195&gt;0),('Vlookup Tables'!$B$35),"-")</f>
        <v>#REF!</v>
      </c>
      <c r="J195" s="477" t="e">
        <f>IF(B195&gt;0,(IF(D195="2-Way",VLOOKUP($G195,'Vlookup Tables'!$C$23:$F$33,2,FALSE),VLOOKUP($G195,'Vlookup Tables'!$C$23:$F$33,3,FALSE))),"-")</f>
        <v>#REF!</v>
      </c>
      <c r="K195" s="478" t="e">
        <f>IF(B195&gt;0,(VLOOKUP(J195,'Valve Reference'!$A$2:$K$389,4)),"-")</f>
        <v>#REF!</v>
      </c>
      <c r="L195" s="478" t="e">
        <f>IF(B195&gt;0,(VLOOKUP(J195,'Valve Reference'!$A$2:$K$389,5)),"-")</f>
        <v>#REF!</v>
      </c>
      <c r="M195" s="478" t="e">
        <f>IF(B195&gt;0,(VLOOKUP(J195,'Valve Reference'!$A$2:$K$389,8)),"-")</f>
        <v>#REF!</v>
      </c>
      <c r="N195" s="478" t="e">
        <f>IF(B195&gt;0,(VLOOKUP(J195,'Valve Reference'!$A$2:$K$389,10)),"-")</f>
        <v>#REF!</v>
      </c>
      <c r="O195" s="479" t="e">
        <f>IF(B195&gt;0,(VLOOKUP(J195,'Valve Reference'!$A$2:$K$389,11)),"-")</f>
        <v>#REF!</v>
      </c>
      <c r="P195" s="480" t="e">
        <f>IF(B195&gt;0,(VLOOKUP(I195,'Actuator Reference'!$A$2:$H$54,2)),"-")</f>
        <v>#REF!</v>
      </c>
      <c r="Q195" s="480" t="e">
        <f>IF(B195&gt;0,(VLOOKUP(I195,'Actuator Reference'!$A$2:$H$54,5)),"-")</f>
        <v>#REF!</v>
      </c>
      <c r="R195" s="480" t="e">
        <f>IF(B195&gt;0,(VLOOKUP(I195,'Actuator Reference'!$A$2:$H$54,6)),"-")</f>
        <v>#REF!</v>
      </c>
      <c r="S195" s="480" t="e">
        <f>IF(B195&gt;0,(VLOOKUP(I195,'Actuator Reference'!$A$2:$H$54,7)),"-")</f>
        <v>#REF!</v>
      </c>
      <c r="T195" s="481" t="e">
        <f>IF(B195&gt;0,(VLOOKUP(I195,'Actuator Reference'!$A$2:$H$54,8)),"-")</f>
        <v>#REF!</v>
      </c>
      <c r="U195" s="596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35">
        <v>1</v>
      </c>
      <c r="AG195" s="35" t="s">
        <v>1097</v>
      </c>
      <c r="AH195" s="597" t="e">
        <f t="shared" si="26"/>
        <v>#REF!</v>
      </c>
      <c r="AI195" s="594" t="e">
        <f t="shared" si="25"/>
        <v>#REF!</v>
      </c>
      <c r="AJ195" s="597" t="s">
        <v>1339</v>
      </c>
      <c r="AK195" s="597">
        <v>4</v>
      </c>
      <c r="AL195" s="597" t="s">
        <v>1338</v>
      </c>
      <c r="AM195" s="597"/>
      <c r="AN195" s="597"/>
      <c r="AO195" s="597"/>
      <c r="AP195" s="597"/>
      <c r="AQ195" s="597"/>
      <c r="AR195" s="597"/>
      <c r="AS195" s="597"/>
      <c r="AT195" s="597"/>
      <c r="AU195" s="597"/>
      <c r="AV195" s="40"/>
      <c r="AW195" s="597"/>
      <c r="AX195" s="597"/>
      <c r="AY195" s="597"/>
      <c r="AZ195" s="597"/>
      <c r="BA195" s="597"/>
      <c r="BB195" s="597"/>
    </row>
    <row r="196" spans="1:54" ht="15" customHeight="1">
      <c r="A196" s="469" t="e">
        <f>'Box Schedule'!#REF!</f>
        <v>#REF!</v>
      </c>
      <c r="B196" s="482" t="e">
        <f>'Box Schedule'!#REF!</f>
        <v>#REF!</v>
      </c>
      <c r="C196" s="483" t="e">
        <f>IF((B196&gt;0),(VLOOKUP(J196,'Valve Reference'!$A$2:$K$389,3)),"-")</f>
        <v>#REF!</v>
      </c>
      <c r="D196" s="471" t="s">
        <v>579</v>
      </c>
      <c r="E196" s="484" t="e">
        <f>IF((B196&gt;0),('Vlookup Tables'!$B$37),"-")</f>
        <v>#REF!</v>
      </c>
      <c r="F196" s="585" t="e">
        <f t="shared" si="22"/>
        <v>#REF!</v>
      </c>
      <c r="G196" s="485" t="e">
        <f>IF((B196&gt;0),(VLOOKUP($B196,'Vlookup Tables'!$B$23:$F$33,2,TRUE)),"-")</f>
        <v>#REF!</v>
      </c>
      <c r="H196" s="586" t="e">
        <f t="shared" si="23"/>
        <v>#REF!</v>
      </c>
      <c r="I196" s="476" t="e">
        <f>IF((B196&gt;0),('Vlookup Tables'!$B$35),"-")</f>
        <v>#REF!</v>
      </c>
      <c r="J196" s="477" t="e">
        <f>IF(B196&gt;0,(IF(D196="2-Way",VLOOKUP($G196,'Vlookup Tables'!$C$23:$F$33,2,FALSE),VLOOKUP($G196,'Vlookup Tables'!$C$23:$F$33,3,FALSE))),"-")</f>
        <v>#REF!</v>
      </c>
      <c r="K196" s="478" t="e">
        <f>IF(B196&gt;0,(VLOOKUP(J196,'Valve Reference'!$A$2:$K$389,4)),"-")</f>
        <v>#REF!</v>
      </c>
      <c r="L196" s="478" t="e">
        <f>IF(B196&gt;0,(VLOOKUP(J196,'Valve Reference'!$A$2:$K$389,5)),"-")</f>
        <v>#REF!</v>
      </c>
      <c r="M196" s="478" t="e">
        <f>IF(B196&gt;0,(VLOOKUP(J196,'Valve Reference'!$A$2:$K$389,8)),"-")</f>
        <v>#REF!</v>
      </c>
      <c r="N196" s="478" t="e">
        <f>IF(B196&gt;0,(VLOOKUP(J196,'Valve Reference'!$A$2:$K$389,10)),"-")</f>
        <v>#REF!</v>
      </c>
      <c r="O196" s="479" t="e">
        <f>IF(B196&gt;0,(VLOOKUP(J196,'Valve Reference'!$A$2:$K$389,11)),"-")</f>
        <v>#REF!</v>
      </c>
      <c r="P196" s="480" t="e">
        <f>IF(B196&gt;0,(VLOOKUP(I196,'Actuator Reference'!$A$2:$H$54,2)),"-")</f>
        <v>#REF!</v>
      </c>
      <c r="Q196" s="480" t="e">
        <f>IF(B196&gt;0,(VLOOKUP(I196,'Actuator Reference'!$A$2:$H$54,5)),"-")</f>
        <v>#REF!</v>
      </c>
      <c r="R196" s="480" t="e">
        <f>IF(B196&gt;0,(VLOOKUP(I196,'Actuator Reference'!$A$2:$H$54,6)),"-")</f>
        <v>#REF!</v>
      </c>
      <c r="S196" s="480" t="e">
        <f>IF(B196&gt;0,(VLOOKUP(I196,'Actuator Reference'!$A$2:$H$54,7)),"-")</f>
        <v>#REF!</v>
      </c>
      <c r="T196" s="481" t="e">
        <f>IF(B196&gt;0,(VLOOKUP(I196,'Actuator Reference'!$A$2:$H$54,8)),"-")</f>
        <v>#REF!</v>
      </c>
      <c r="U196" s="596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35">
        <v>1</v>
      </c>
      <c r="AG196" s="35" t="s">
        <v>1097</v>
      </c>
      <c r="AH196" s="597" t="e">
        <f t="shared" si="26"/>
        <v>#REF!</v>
      </c>
      <c r="AI196" s="594" t="e">
        <f t="shared" si="25"/>
        <v>#REF!</v>
      </c>
      <c r="AJ196" s="597" t="s">
        <v>1339</v>
      </c>
      <c r="AK196" s="597">
        <v>4</v>
      </c>
      <c r="AL196" s="597" t="s">
        <v>1338</v>
      </c>
      <c r="AM196" s="597"/>
      <c r="AN196" s="597"/>
      <c r="AO196" s="597"/>
      <c r="AP196" s="597"/>
      <c r="AQ196" s="597"/>
      <c r="AR196" s="597"/>
      <c r="AS196" s="597"/>
      <c r="AT196" s="597"/>
      <c r="AU196" s="597"/>
      <c r="AV196" s="40"/>
      <c r="AW196" s="597"/>
      <c r="AX196" s="597"/>
      <c r="AY196" s="597"/>
      <c r="AZ196" s="597"/>
      <c r="BA196" s="597"/>
      <c r="BB196" s="597"/>
    </row>
    <row r="197" spans="1:54" ht="15" customHeight="1">
      <c r="A197" s="469" t="e">
        <f>'Box Schedule'!#REF!</f>
        <v>#REF!</v>
      </c>
      <c r="B197" s="482" t="e">
        <f>'Box Schedule'!#REF!</f>
        <v>#REF!</v>
      </c>
      <c r="C197" s="483" t="e">
        <f>IF((B197&gt;0),(VLOOKUP(J197,'Valve Reference'!$A$2:$K$389,3)),"-")</f>
        <v>#REF!</v>
      </c>
      <c r="D197" s="471" t="s">
        <v>579</v>
      </c>
      <c r="E197" s="484" t="e">
        <f>IF((B197&gt;0),('Vlookup Tables'!$B$37),"-")</f>
        <v>#REF!</v>
      </c>
      <c r="F197" s="585" t="e">
        <f t="shared" si="22"/>
        <v>#REF!</v>
      </c>
      <c r="G197" s="485" t="e">
        <f>IF((B197&gt;0),(VLOOKUP($B197,'Vlookup Tables'!$B$23:$F$33,2,TRUE)),"-")</f>
        <v>#REF!</v>
      </c>
      <c r="H197" s="586" t="e">
        <f t="shared" si="23"/>
        <v>#REF!</v>
      </c>
      <c r="I197" s="476" t="e">
        <f>IF((B197&gt;0),('Vlookup Tables'!$B$35),"-")</f>
        <v>#REF!</v>
      </c>
      <c r="J197" s="477" t="e">
        <f>IF(B197&gt;0,(IF(D197="2-Way",VLOOKUP($G197,'Vlookup Tables'!$C$23:$F$33,2,FALSE),VLOOKUP($G197,'Vlookup Tables'!$C$23:$F$33,3,FALSE))),"-")</f>
        <v>#REF!</v>
      </c>
      <c r="K197" s="478" t="e">
        <f>IF(B197&gt;0,(VLOOKUP(J197,'Valve Reference'!$A$2:$K$389,4)),"-")</f>
        <v>#REF!</v>
      </c>
      <c r="L197" s="478" t="e">
        <f>IF(B197&gt;0,(VLOOKUP(J197,'Valve Reference'!$A$2:$K$389,5)),"-")</f>
        <v>#REF!</v>
      </c>
      <c r="M197" s="478" t="e">
        <f>IF(B197&gt;0,(VLOOKUP(J197,'Valve Reference'!$A$2:$K$389,8)),"-")</f>
        <v>#REF!</v>
      </c>
      <c r="N197" s="478" t="e">
        <f>IF(B197&gt;0,(VLOOKUP(J197,'Valve Reference'!$A$2:$K$389,10)),"-")</f>
        <v>#REF!</v>
      </c>
      <c r="O197" s="479" t="e">
        <f>IF(B197&gt;0,(VLOOKUP(J197,'Valve Reference'!$A$2:$K$389,11)),"-")</f>
        <v>#REF!</v>
      </c>
      <c r="P197" s="480" t="e">
        <f>IF(B197&gt;0,(VLOOKUP(I197,'Actuator Reference'!$A$2:$H$54,2)),"-")</f>
        <v>#REF!</v>
      </c>
      <c r="Q197" s="480" t="e">
        <f>IF(B197&gt;0,(VLOOKUP(I197,'Actuator Reference'!$A$2:$H$54,5)),"-")</f>
        <v>#REF!</v>
      </c>
      <c r="R197" s="480" t="e">
        <f>IF(B197&gt;0,(VLOOKUP(I197,'Actuator Reference'!$A$2:$H$54,6)),"-")</f>
        <v>#REF!</v>
      </c>
      <c r="S197" s="480" t="e">
        <f>IF(B197&gt;0,(VLOOKUP(I197,'Actuator Reference'!$A$2:$H$54,7)),"-")</f>
        <v>#REF!</v>
      </c>
      <c r="T197" s="481" t="e">
        <f>IF(B197&gt;0,(VLOOKUP(I197,'Actuator Reference'!$A$2:$H$54,8)),"-")</f>
        <v>#REF!</v>
      </c>
      <c r="U197" s="596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35">
        <v>1</v>
      </c>
      <c r="AG197" s="35" t="s">
        <v>1097</v>
      </c>
      <c r="AH197" s="597" t="e">
        <f>CONCATENATE(I197,"-",J197)</f>
        <v>#REF!</v>
      </c>
      <c r="AI197" s="594" t="e">
        <f t="shared" si="25"/>
        <v>#REF!</v>
      </c>
      <c r="AJ197" s="597" t="s">
        <v>1339</v>
      </c>
      <c r="AK197" s="597">
        <v>4</v>
      </c>
      <c r="AL197" s="597" t="s">
        <v>1338</v>
      </c>
      <c r="AM197" s="597"/>
      <c r="AN197" s="597"/>
      <c r="AO197" s="597"/>
      <c r="AP197" s="597"/>
      <c r="AQ197" s="597"/>
      <c r="AR197" s="597"/>
      <c r="AS197" s="597"/>
      <c r="AT197" s="597"/>
      <c r="AU197" s="597"/>
      <c r="AV197" s="40"/>
      <c r="AW197" s="597"/>
      <c r="AX197" s="597"/>
      <c r="AY197" s="597"/>
      <c r="AZ197" s="597"/>
      <c r="BA197" s="597"/>
      <c r="BB197" s="597"/>
    </row>
    <row r="198" spans="1:54" ht="15" customHeight="1">
      <c r="A198" s="469" t="e">
        <f>'Box Schedule'!#REF!</f>
        <v>#REF!</v>
      </c>
      <c r="B198" s="482" t="e">
        <f>'Box Schedule'!#REF!</f>
        <v>#REF!</v>
      </c>
      <c r="C198" s="483" t="e">
        <f>IF((B198&gt;0),(VLOOKUP(J198,'Valve Reference'!$A$2:$K$389,3)),"-")</f>
        <v>#REF!</v>
      </c>
      <c r="D198" s="471" t="s">
        <v>577</v>
      </c>
      <c r="E198" s="484" t="e">
        <f>IF((B198&gt;0),('Vlookup Tables'!$B$37),"-")</f>
        <v>#REF!</v>
      </c>
      <c r="F198" s="585" t="e">
        <f t="shared" si="22"/>
        <v>#REF!</v>
      </c>
      <c r="G198" s="485" t="e">
        <f>IF((B198&gt;0),(VLOOKUP($B198,'Vlookup Tables'!$B$23:$F$33,2,TRUE)),"-")</f>
        <v>#REF!</v>
      </c>
      <c r="H198" s="586" t="e">
        <f t="shared" si="23"/>
        <v>#REF!</v>
      </c>
      <c r="I198" s="476" t="e">
        <f>IF((B198&gt;0),('Vlookup Tables'!$B$35),"-")</f>
        <v>#REF!</v>
      </c>
      <c r="J198" s="477" t="e">
        <f>IF(B198&gt;0,(IF(D198="2-Way",VLOOKUP($G198,'Vlookup Tables'!$C$23:$F$33,2,FALSE),VLOOKUP($G198,'Vlookup Tables'!$C$23:$F$33,3,FALSE))),"-")</f>
        <v>#REF!</v>
      </c>
      <c r="K198" s="478" t="e">
        <f>IF(B198&gt;0,(VLOOKUP(J198,'Valve Reference'!$A$2:$K$389,4)),"-")</f>
        <v>#REF!</v>
      </c>
      <c r="L198" s="478" t="e">
        <f>IF(B198&gt;0,(VLOOKUP(J198,'Valve Reference'!$A$2:$K$389,5)),"-")</f>
        <v>#REF!</v>
      </c>
      <c r="M198" s="478" t="e">
        <f>IF(B198&gt;0,(VLOOKUP(J198,'Valve Reference'!$A$2:$K$389,8)),"-")</f>
        <v>#REF!</v>
      </c>
      <c r="N198" s="478" t="e">
        <f>IF(B198&gt;0,(VLOOKUP(J198,'Valve Reference'!$A$2:$K$389,10)),"-")</f>
        <v>#REF!</v>
      </c>
      <c r="O198" s="479" t="e">
        <f>IF(B198&gt;0,(VLOOKUP(J198,'Valve Reference'!$A$2:$K$389,11)),"-")</f>
        <v>#REF!</v>
      </c>
      <c r="P198" s="480" t="e">
        <f>IF(B198&gt;0,(VLOOKUP(I198,'Actuator Reference'!$A$2:$H$54,2)),"-")</f>
        <v>#REF!</v>
      </c>
      <c r="Q198" s="480" t="e">
        <f>IF(B198&gt;0,(VLOOKUP(I198,'Actuator Reference'!$A$2:$H$54,5)),"-")</f>
        <v>#REF!</v>
      </c>
      <c r="R198" s="480" t="e">
        <f>IF(B198&gt;0,(VLOOKUP(I198,'Actuator Reference'!$A$2:$H$54,6)),"-")</f>
        <v>#REF!</v>
      </c>
      <c r="S198" s="480" t="e">
        <f>IF(B198&gt;0,(VLOOKUP(I198,'Actuator Reference'!$A$2:$H$54,7)),"-")</f>
        <v>#REF!</v>
      </c>
      <c r="T198" s="481" t="e">
        <f>IF(B198&gt;0,(VLOOKUP(I198,'Actuator Reference'!$A$2:$H$54,8)),"-")</f>
        <v>#REF!</v>
      </c>
      <c r="U198" s="596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35">
        <v>1</v>
      </c>
      <c r="AG198" s="35" t="s">
        <v>1097</v>
      </c>
      <c r="AH198" s="597" t="e">
        <f>CONCATENATE(I198,"-",J198)</f>
        <v>#REF!</v>
      </c>
      <c r="AI198" s="594" t="e">
        <f t="shared" si="25"/>
        <v>#REF!</v>
      </c>
      <c r="AJ198" s="597" t="s">
        <v>1339</v>
      </c>
      <c r="AK198" s="597">
        <v>4</v>
      </c>
      <c r="AL198" s="597" t="s">
        <v>1338</v>
      </c>
      <c r="AM198" s="597"/>
      <c r="AN198" s="597"/>
      <c r="AO198" s="597"/>
      <c r="AP198" s="597"/>
      <c r="AQ198" s="597"/>
      <c r="AR198" s="597"/>
      <c r="AS198" s="597"/>
      <c r="AT198" s="597"/>
      <c r="AU198" s="597"/>
      <c r="AV198" s="40"/>
      <c r="AW198" s="597"/>
      <c r="AX198" s="597"/>
      <c r="AY198" s="597"/>
      <c r="AZ198" s="597"/>
      <c r="BA198" s="597"/>
      <c r="BB198" s="597"/>
    </row>
    <row r="199" spans="1:54" ht="15" customHeight="1">
      <c r="A199" s="469" t="e">
        <f>'Box Schedule'!#REF!</f>
        <v>#REF!</v>
      </c>
      <c r="B199" s="482" t="e">
        <f>'Box Schedule'!#REF!</f>
        <v>#REF!</v>
      </c>
      <c r="C199" s="483" t="e">
        <f>IF((B199&gt;0),(VLOOKUP(J199,'Valve Reference'!$A$2:$K$389,3)),"-")</f>
        <v>#REF!</v>
      </c>
      <c r="D199" s="471" t="s">
        <v>577</v>
      </c>
      <c r="E199" s="484" t="e">
        <f>IF((B199&gt;0),('Vlookup Tables'!$B$37),"-")</f>
        <v>#REF!</v>
      </c>
      <c r="F199" s="585" t="e">
        <f t="shared" si="22"/>
        <v>#REF!</v>
      </c>
      <c r="G199" s="485" t="e">
        <f>IF((B199&gt;0),(VLOOKUP($B199,'Vlookup Tables'!$B$23:$F$33,2,TRUE)),"-")</f>
        <v>#REF!</v>
      </c>
      <c r="H199" s="586" t="e">
        <f t="shared" si="23"/>
        <v>#REF!</v>
      </c>
      <c r="I199" s="476" t="e">
        <f>IF((B199&gt;0),('Vlookup Tables'!$B$35),"-")</f>
        <v>#REF!</v>
      </c>
      <c r="J199" s="477" t="e">
        <f>IF(B199&gt;0,(IF(D199="2-Way",VLOOKUP($G199,'Vlookup Tables'!$C$23:$F$33,2,FALSE),VLOOKUP($G199,'Vlookup Tables'!$C$23:$F$33,3,FALSE))),"-")</f>
        <v>#REF!</v>
      </c>
      <c r="K199" s="478" t="e">
        <f>IF(B199&gt;0,(VLOOKUP(J199,'Valve Reference'!$A$2:$K$389,4)),"-")</f>
        <v>#REF!</v>
      </c>
      <c r="L199" s="478" t="e">
        <f>IF(B199&gt;0,(VLOOKUP(J199,'Valve Reference'!$A$2:$K$389,5)),"-")</f>
        <v>#REF!</v>
      </c>
      <c r="M199" s="478" t="e">
        <f>IF(B199&gt;0,(VLOOKUP(J199,'Valve Reference'!$A$2:$K$389,8)),"-")</f>
        <v>#REF!</v>
      </c>
      <c r="N199" s="478" t="e">
        <f>IF(B199&gt;0,(VLOOKUP(J199,'Valve Reference'!$A$2:$K$389,10)),"-")</f>
        <v>#REF!</v>
      </c>
      <c r="O199" s="479" t="e">
        <f>IF(B199&gt;0,(VLOOKUP(J199,'Valve Reference'!$A$2:$K$389,11)),"-")</f>
        <v>#REF!</v>
      </c>
      <c r="P199" s="480" t="e">
        <f>IF(B199&gt;0,(VLOOKUP(I199,'Actuator Reference'!$A$2:$H$54,2)),"-")</f>
        <v>#REF!</v>
      </c>
      <c r="Q199" s="480" t="e">
        <f>IF(B199&gt;0,(VLOOKUP(I199,'Actuator Reference'!$A$2:$H$54,5)),"-")</f>
        <v>#REF!</v>
      </c>
      <c r="R199" s="480" t="e">
        <f>IF(B199&gt;0,(VLOOKUP(I199,'Actuator Reference'!$A$2:$H$54,6)),"-")</f>
        <v>#REF!</v>
      </c>
      <c r="S199" s="480" t="e">
        <f>IF(B199&gt;0,(VLOOKUP(I199,'Actuator Reference'!$A$2:$H$54,7)),"-")</f>
        <v>#REF!</v>
      </c>
      <c r="T199" s="481" t="e">
        <f>IF(B199&gt;0,(VLOOKUP(I199,'Actuator Reference'!$A$2:$H$54,8)),"-")</f>
        <v>#REF!</v>
      </c>
      <c r="U199" s="596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35">
        <v>1</v>
      </c>
      <c r="AG199" s="35" t="s">
        <v>1097</v>
      </c>
      <c r="AH199" s="597" t="e">
        <f t="shared" ref="AH199:AH205" si="27">CONCATENATE(I199,"-",J199)</f>
        <v>#REF!</v>
      </c>
      <c r="AI199" s="594" t="e">
        <f t="shared" si="25"/>
        <v>#REF!</v>
      </c>
      <c r="AJ199" s="597" t="s">
        <v>1339</v>
      </c>
      <c r="AK199" s="597">
        <v>4</v>
      </c>
      <c r="AL199" s="597" t="s">
        <v>1338</v>
      </c>
      <c r="AM199" s="597"/>
      <c r="AN199" s="597"/>
      <c r="AO199" s="597"/>
      <c r="AP199" s="597"/>
      <c r="AQ199" s="597"/>
      <c r="AR199" s="597"/>
      <c r="AS199" s="597"/>
      <c r="AT199" s="597"/>
      <c r="AU199" s="597"/>
      <c r="AV199" s="40"/>
      <c r="AW199" s="597"/>
      <c r="AX199" s="597"/>
      <c r="AY199" s="597"/>
      <c r="AZ199" s="597"/>
      <c r="BA199" s="597"/>
      <c r="BB199" s="597"/>
    </row>
    <row r="200" spans="1:54" ht="15" customHeight="1">
      <c r="A200" s="469" t="e">
        <f>'Box Schedule'!#REF!</f>
        <v>#REF!</v>
      </c>
      <c r="B200" s="482" t="e">
        <f>'Box Schedule'!#REF!</f>
        <v>#REF!</v>
      </c>
      <c r="C200" s="483" t="e">
        <f>IF((B200&gt;0),(VLOOKUP(J200,'Valve Reference'!$A$2:$K$389,3)),"-")</f>
        <v>#REF!</v>
      </c>
      <c r="D200" s="471" t="s">
        <v>577</v>
      </c>
      <c r="E200" s="484" t="e">
        <f>IF((B200&gt;0),('Vlookup Tables'!$B$37),"-")</f>
        <v>#REF!</v>
      </c>
      <c r="F200" s="585" t="e">
        <f t="shared" si="22"/>
        <v>#REF!</v>
      </c>
      <c r="G200" s="485" t="e">
        <f>IF((B200&gt;0),(VLOOKUP($B200,'Vlookup Tables'!$B$23:$F$33,2,TRUE)),"-")</f>
        <v>#REF!</v>
      </c>
      <c r="H200" s="586" t="e">
        <f t="shared" si="23"/>
        <v>#REF!</v>
      </c>
      <c r="I200" s="476" t="e">
        <f>IF((B200&gt;0),('Vlookup Tables'!$B$35),"-")</f>
        <v>#REF!</v>
      </c>
      <c r="J200" s="477" t="e">
        <f>IF(B200&gt;0,(IF(D200="2-Way",VLOOKUP($G200,'Vlookup Tables'!$C$23:$F$33,2,FALSE),VLOOKUP($G200,'Vlookup Tables'!$C$23:$F$33,3,FALSE))),"-")</f>
        <v>#REF!</v>
      </c>
      <c r="K200" s="478" t="e">
        <f>IF(B200&gt;0,(VLOOKUP(J200,'Valve Reference'!$A$2:$K$389,4)),"-")</f>
        <v>#REF!</v>
      </c>
      <c r="L200" s="478" t="e">
        <f>IF(B200&gt;0,(VLOOKUP(J200,'Valve Reference'!$A$2:$K$389,5)),"-")</f>
        <v>#REF!</v>
      </c>
      <c r="M200" s="478" t="e">
        <f>IF(B200&gt;0,(VLOOKUP(J200,'Valve Reference'!$A$2:$K$389,8)),"-")</f>
        <v>#REF!</v>
      </c>
      <c r="N200" s="478" t="e">
        <f>IF(B200&gt;0,(VLOOKUP(J200,'Valve Reference'!$A$2:$K$389,10)),"-")</f>
        <v>#REF!</v>
      </c>
      <c r="O200" s="479" t="e">
        <f>IF(B200&gt;0,(VLOOKUP(J200,'Valve Reference'!$A$2:$K$389,11)),"-")</f>
        <v>#REF!</v>
      </c>
      <c r="P200" s="480" t="e">
        <f>IF(B200&gt;0,(VLOOKUP(I200,'Actuator Reference'!$A$2:$H$54,2)),"-")</f>
        <v>#REF!</v>
      </c>
      <c r="Q200" s="480" t="e">
        <f>IF(B200&gt;0,(VLOOKUP(I200,'Actuator Reference'!$A$2:$H$54,5)),"-")</f>
        <v>#REF!</v>
      </c>
      <c r="R200" s="480" t="e">
        <f>IF(B200&gt;0,(VLOOKUP(I200,'Actuator Reference'!$A$2:$H$54,6)),"-")</f>
        <v>#REF!</v>
      </c>
      <c r="S200" s="480" t="e">
        <f>IF(B200&gt;0,(VLOOKUP(I200,'Actuator Reference'!$A$2:$H$54,7)),"-")</f>
        <v>#REF!</v>
      </c>
      <c r="T200" s="481" t="e">
        <f>IF(B200&gt;0,(VLOOKUP(I200,'Actuator Reference'!$A$2:$H$54,8)),"-")</f>
        <v>#REF!</v>
      </c>
      <c r="U200" s="596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35">
        <v>1</v>
      </c>
      <c r="AG200" s="35" t="s">
        <v>1097</v>
      </c>
      <c r="AH200" s="597" t="e">
        <f t="shared" si="27"/>
        <v>#REF!</v>
      </c>
      <c r="AI200" s="594" t="e">
        <f t="shared" si="25"/>
        <v>#REF!</v>
      </c>
      <c r="AJ200" s="597" t="s">
        <v>1339</v>
      </c>
      <c r="AK200" s="597">
        <v>4</v>
      </c>
      <c r="AL200" s="597" t="s">
        <v>1338</v>
      </c>
      <c r="AM200" s="597"/>
      <c r="AN200" s="597"/>
      <c r="AO200" s="597"/>
      <c r="AP200" s="597"/>
      <c r="AQ200" s="597"/>
      <c r="AR200" s="597"/>
      <c r="AS200" s="597"/>
      <c r="AT200" s="597"/>
      <c r="AU200" s="597"/>
      <c r="AV200" s="40"/>
      <c r="AW200" s="597"/>
      <c r="AX200" s="597"/>
      <c r="AY200" s="597"/>
      <c r="AZ200" s="597"/>
      <c r="BA200" s="597"/>
      <c r="BB200" s="597"/>
    </row>
    <row r="201" spans="1:54" ht="15" customHeight="1">
      <c r="A201" s="469" t="e">
        <f>'Box Schedule'!#REF!</f>
        <v>#REF!</v>
      </c>
      <c r="B201" s="482" t="e">
        <f>'Box Schedule'!#REF!</f>
        <v>#REF!</v>
      </c>
      <c r="C201" s="483" t="e">
        <f>IF((B201&gt;0),(VLOOKUP(J201,'Valve Reference'!$A$2:$K$389,3)),"-")</f>
        <v>#REF!</v>
      </c>
      <c r="D201" s="471" t="s">
        <v>577</v>
      </c>
      <c r="E201" s="484" t="e">
        <f>IF((B201&gt;0),('Vlookup Tables'!$B$37),"-")</f>
        <v>#REF!</v>
      </c>
      <c r="F201" s="585" t="e">
        <f t="shared" si="22"/>
        <v>#REF!</v>
      </c>
      <c r="G201" s="485" t="e">
        <f>IF((B201&gt;0),(VLOOKUP($B201,'Vlookup Tables'!$B$23:$F$33,2,TRUE)),"-")</f>
        <v>#REF!</v>
      </c>
      <c r="H201" s="586" t="e">
        <f t="shared" si="23"/>
        <v>#REF!</v>
      </c>
      <c r="I201" s="476" t="e">
        <f>IF((B201&gt;0),('Vlookup Tables'!$B$35),"-")</f>
        <v>#REF!</v>
      </c>
      <c r="J201" s="477" t="e">
        <f>IF(B201&gt;0,(IF(D201="2-Way",VLOOKUP($G201,'Vlookup Tables'!$C$23:$F$33,2,FALSE),VLOOKUP($G201,'Vlookup Tables'!$C$23:$F$33,3,FALSE))),"-")</f>
        <v>#REF!</v>
      </c>
      <c r="K201" s="478" t="e">
        <f>IF(B201&gt;0,(VLOOKUP(J201,'Valve Reference'!$A$2:$K$389,4)),"-")</f>
        <v>#REF!</v>
      </c>
      <c r="L201" s="478" t="e">
        <f>IF(B201&gt;0,(VLOOKUP(J201,'Valve Reference'!$A$2:$K$389,5)),"-")</f>
        <v>#REF!</v>
      </c>
      <c r="M201" s="478" t="e">
        <f>IF(B201&gt;0,(VLOOKUP(J201,'Valve Reference'!$A$2:$K$389,8)),"-")</f>
        <v>#REF!</v>
      </c>
      <c r="N201" s="478" t="e">
        <f>IF(B201&gt;0,(VLOOKUP(J201,'Valve Reference'!$A$2:$K$389,10)),"-")</f>
        <v>#REF!</v>
      </c>
      <c r="O201" s="479" t="e">
        <f>IF(B201&gt;0,(VLOOKUP(J201,'Valve Reference'!$A$2:$K$389,11)),"-")</f>
        <v>#REF!</v>
      </c>
      <c r="P201" s="480" t="e">
        <f>IF(B201&gt;0,(VLOOKUP(I201,'Actuator Reference'!$A$2:$H$54,2)),"-")</f>
        <v>#REF!</v>
      </c>
      <c r="Q201" s="480" t="e">
        <f>IF(B201&gt;0,(VLOOKUP(I201,'Actuator Reference'!$A$2:$H$54,5)),"-")</f>
        <v>#REF!</v>
      </c>
      <c r="R201" s="480" t="e">
        <f>IF(B201&gt;0,(VLOOKUP(I201,'Actuator Reference'!$A$2:$H$54,6)),"-")</f>
        <v>#REF!</v>
      </c>
      <c r="S201" s="480" t="e">
        <f>IF(B201&gt;0,(VLOOKUP(I201,'Actuator Reference'!$A$2:$H$54,7)),"-")</f>
        <v>#REF!</v>
      </c>
      <c r="T201" s="481" t="e">
        <f>IF(B201&gt;0,(VLOOKUP(I201,'Actuator Reference'!$A$2:$H$54,8)),"-")</f>
        <v>#REF!</v>
      </c>
      <c r="U201" s="596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35">
        <v>1</v>
      </c>
      <c r="AG201" s="35" t="s">
        <v>1097</v>
      </c>
      <c r="AH201" s="597" t="e">
        <f t="shared" si="27"/>
        <v>#REF!</v>
      </c>
      <c r="AI201" s="594" t="e">
        <f t="shared" si="25"/>
        <v>#REF!</v>
      </c>
      <c r="AJ201" s="597" t="s">
        <v>1339</v>
      </c>
      <c r="AK201" s="597">
        <v>4</v>
      </c>
      <c r="AL201" s="597" t="s">
        <v>1338</v>
      </c>
      <c r="AM201" s="597"/>
      <c r="AN201" s="597"/>
      <c r="AO201" s="597"/>
      <c r="AP201" s="597"/>
      <c r="AQ201" s="597"/>
      <c r="AR201" s="597"/>
      <c r="AS201" s="597"/>
      <c r="AT201" s="597"/>
      <c r="AU201" s="597"/>
      <c r="AV201" s="40"/>
      <c r="AW201" s="597"/>
      <c r="AX201" s="597"/>
      <c r="AY201" s="597"/>
      <c r="AZ201" s="597"/>
      <c r="BA201" s="597"/>
      <c r="BB201" s="597"/>
    </row>
    <row r="202" spans="1:54" ht="15" customHeight="1">
      <c r="A202" s="469" t="e">
        <f>'Box Schedule'!#REF!</f>
        <v>#REF!</v>
      </c>
      <c r="B202" s="482" t="e">
        <f>'Box Schedule'!#REF!</f>
        <v>#REF!</v>
      </c>
      <c r="C202" s="483" t="e">
        <f>IF((B202&gt;0),(VLOOKUP(J202,'Valve Reference'!$A$2:$K$389,3)),"-")</f>
        <v>#REF!</v>
      </c>
      <c r="D202" s="471" t="s">
        <v>577</v>
      </c>
      <c r="E202" s="484" t="e">
        <f>IF((B202&gt;0),('Vlookup Tables'!$B$37),"-")</f>
        <v>#REF!</v>
      </c>
      <c r="F202" s="585" t="e">
        <f t="shared" si="22"/>
        <v>#REF!</v>
      </c>
      <c r="G202" s="485" t="e">
        <f>IF((B202&gt;0),(VLOOKUP($B202,'Vlookup Tables'!$B$23:$F$33,2,TRUE)),"-")</f>
        <v>#REF!</v>
      </c>
      <c r="H202" s="586" t="e">
        <f t="shared" si="23"/>
        <v>#REF!</v>
      </c>
      <c r="I202" s="476" t="e">
        <f>IF((B202&gt;0),('Vlookup Tables'!$B$35),"-")</f>
        <v>#REF!</v>
      </c>
      <c r="J202" s="477" t="e">
        <f>IF(B202&gt;0,(IF(D202="2-Way",VLOOKUP($G202,'Vlookup Tables'!$C$23:$F$33,2,FALSE),VLOOKUP($G202,'Vlookup Tables'!$C$23:$F$33,3,FALSE))),"-")</f>
        <v>#REF!</v>
      </c>
      <c r="K202" s="478" t="e">
        <f>IF(B202&gt;0,(VLOOKUP(J202,'Valve Reference'!$A$2:$K$389,4)),"-")</f>
        <v>#REF!</v>
      </c>
      <c r="L202" s="478" t="e">
        <f>IF(B202&gt;0,(VLOOKUP(J202,'Valve Reference'!$A$2:$K$389,5)),"-")</f>
        <v>#REF!</v>
      </c>
      <c r="M202" s="478" t="e">
        <f>IF(B202&gt;0,(VLOOKUP(J202,'Valve Reference'!$A$2:$K$389,8)),"-")</f>
        <v>#REF!</v>
      </c>
      <c r="N202" s="478" t="e">
        <f>IF(B202&gt;0,(VLOOKUP(J202,'Valve Reference'!$A$2:$K$389,10)),"-")</f>
        <v>#REF!</v>
      </c>
      <c r="O202" s="479" t="e">
        <f>IF(B202&gt;0,(VLOOKUP(J202,'Valve Reference'!$A$2:$K$389,11)),"-")</f>
        <v>#REF!</v>
      </c>
      <c r="P202" s="480" t="e">
        <f>IF(B202&gt;0,(VLOOKUP(I202,'Actuator Reference'!$A$2:$H$54,2)),"-")</f>
        <v>#REF!</v>
      </c>
      <c r="Q202" s="480" t="e">
        <f>IF(B202&gt;0,(VLOOKUP(I202,'Actuator Reference'!$A$2:$H$54,5)),"-")</f>
        <v>#REF!</v>
      </c>
      <c r="R202" s="480" t="e">
        <f>IF(B202&gt;0,(VLOOKUP(I202,'Actuator Reference'!$A$2:$H$54,6)),"-")</f>
        <v>#REF!</v>
      </c>
      <c r="S202" s="480" t="e">
        <f>IF(B202&gt;0,(VLOOKUP(I202,'Actuator Reference'!$A$2:$H$54,7)),"-")</f>
        <v>#REF!</v>
      </c>
      <c r="T202" s="481" t="e">
        <f>IF(B202&gt;0,(VLOOKUP(I202,'Actuator Reference'!$A$2:$H$54,8)),"-")</f>
        <v>#REF!</v>
      </c>
      <c r="U202" s="596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35">
        <v>1</v>
      </c>
      <c r="AG202" s="35" t="s">
        <v>1097</v>
      </c>
      <c r="AH202" s="597" t="e">
        <f t="shared" si="27"/>
        <v>#REF!</v>
      </c>
      <c r="AI202" s="594" t="e">
        <f t="shared" si="25"/>
        <v>#REF!</v>
      </c>
      <c r="AJ202" s="597" t="s">
        <v>1339</v>
      </c>
      <c r="AK202" s="597">
        <v>4</v>
      </c>
      <c r="AL202" s="597" t="s">
        <v>1338</v>
      </c>
      <c r="AM202" s="597"/>
      <c r="AN202" s="597"/>
      <c r="AO202" s="597"/>
      <c r="AP202" s="597"/>
      <c r="AQ202" s="597"/>
      <c r="AR202" s="597"/>
      <c r="AS202" s="597"/>
      <c r="AT202" s="597"/>
      <c r="AU202" s="597"/>
      <c r="AV202" s="40"/>
      <c r="AW202" s="597"/>
      <c r="AX202" s="597"/>
      <c r="AY202" s="597"/>
      <c r="AZ202" s="597"/>
      <c r="BA202" s="597"/>
      <c r="BB202" s="597"/>
    </row>
    <row r="203" spans="1:54" ht="15" customHeight="1">
      <c r="A203" s="469" t="e">
        <f>'Box Schedule'!#REF!</f>
        <v>#REF!</v>
      </c>
      <c r="B203" s="482" t="e">
        <f>'Box Schedule'!#REF!</f>
        <v>#REF!</v>
      </c>
      <c r="C203" s="483" t="e">
        <f>IF((B203&gt;0),(VLOOKUP(J203,'Valve Reference'!$A$2:$K$389,3)),"-")</f>
        <v>#REF!</v>
      </c>
      <c r="D203" s="471" t="s">
        <v>577</v>
      </c>
      <c r="E203" s="484" t="e">
        <f>IF((B203&gt;0),('Vlookup Tables'!$B$37),"-")</f>
        <v>#REF!</v>
      </c>
      <c r="F203" s="585" t="e">
        <f t="shared" si="22"/>
        <v>#REF!</v>
      </c>
      <c r="G203" s="485" t="e">
        <f>IF((B203&gt;0),(VLOOKUP($B203,'Vlookup Tables'!$B$23:$F$33,2,TRUE)),"-")</f>
        <v>#REF!</v>
      </c>
      <c r="H203" s="586" t="e">
        <f t="shared" si="23"/>
        <v>#REF!</v>
      </c>
      <c r="I203" s="476" t="e">
        <f>IF((B203&gt;0),('Vlookup Tables'!$B$35),"-")</f>
        <v>#REF!</v>
      </c>
      <c r="J203" s="477" t="e">
        <f>IF(B203&gt;0,(IF(D203="2-Way",VLOOKUP($G203,'Vlookup Tables'!$C$23:$F$33,2,FALSE),VLOOKUP($G203,'Vlookup Tables'!$C$23:$F$33,3,FALSE))),"-")</f>
        <v>#REF!</v>
      </c>
      <c r="K203" s="478" t="e">
        <f>IF(B203&gt;0,(VLOOKUP(J203,'Valve Reference'!$A$2:$K$389,4)),"-")</f>
        <v>#REF!</v>
      </c>
      <c r="L203" s="478" t="e">
        <f>IF(B203&gt;0,(VLOOKUP(J203,'Valve Reference'!$A$2:$K$389,5)),"-")</f>
        <v>#REF!</v>
      </c>
      <c r="M203" s="478" t="e">
        <f>IF(B203&gt;0,(VLOOKUP(J203,'Valve Reference'!$A$2:$K$389,8)),"-")</f>
        <v>#REF!</v>
      </c>
      <c r="N203" s="478" t="e">
        <f>IF(B203&gt;0,(VLOOKUP(J203,'Valve Reference'!$A$2:$K$389,10)),"-")</f>
        <v>#REF!</v>
      </c>
      <c r="O203" s="479" t="e">
        <f>IF(B203&gt;0,(VLOOKUP(J203,'Valve Reference'!$A$2:$K$389,11)),"-")</f>
        <v>#REF!</v>
      </c>
      <c r="P203" s="480" t="e">
        <f>IF(B203&gt;0,(VLOOKUP(I203,'Actuator Reference'!$A$2:$H$54,2)),"-")</f>
        <v>#REF!</v>
      </c>
      <c r="Q203" s="480" t="e">
        <f>IF(B203&gt;0,(VLOOKUP(I203,'Actuator Reference'!$A$2:$H$54,5)),"-")</f>
        <v>#REF!</v>
      </c>
      <c r="R203" s="480" t="e">
        <f>IF(B203&gt;0,(VLOOKUP(I203,'Actuator Reference'!$A$2:$H$54,6)),"-")</f>
        <v>#REF!</v>
      </c>
      <c r="S203" s="480" t="e">
        <f>IF(B203&gt;0,(VLOOKUP(I203,'Actuator Reference'!$A$2:$H$54,7)),"-")</f>
        <v>#REF!</v>
      </c>
      <c r="T203" s="481" t="e">
        <f>IF(B203&gt;0,(VLOOKUP(I203,'Actuator Reference'!$A$2:$H$54,8)),"-")</f>
        <v>#REF!</v>
      </c>
      <c r="U203" s="596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35">
        <v>1</v>
      </c>
      <c r="AG203" s="35" t="s">
        <v>1097</v>
      </c>
      <c r="AH203" s="597" t="e">
        <f t="shared" si="27"/>
        <v>#REF!</v>
      </c>
      <c r="AI203" s="594" t="e">
        <f t="shared" si="25"/>
        <v>#REF!</v>
      </c>
      <c r="AJ203" s="597" t="s">
        <v>1339</v>
      </c>
      <c r="AK203" s="597">
        <v>4</v>
      </c>
      <c r="AL203" s="597" t="s">
        <v>1338</v>
      </c>
      <c r="AM203" s="597"/>
      <c r="AN203" s="597"/>
      <c r="AO203" s="597"/>
      <c r="AP203" s="597"/>
      <c r="AQ203" s="597"/>
      <c r="AR203" s="597"/>
      <c r="AS203" s="597"/>
      <c r="AT203" s="597"/>
      <c r="AU203" s="597"/>
      <c r="AV203" s="40"/>
      <c r="AW203" s="597"/>
      <c r="AX203" s="597"/>
      <c r="AY203" s="597"/>
      <c r="AZ203" s="597"/>
      <c r="BA203" s="597"/>
      <c r="BB203" s="597"/>
    </row>
    <row r="204" spans="1:54" ht="15" customHeight="1">
      <c r="A204" s="469" t="e">
        <f>'Box Schedule'!#REF!</f>
        <v>#REF!</v>
      </c>
      <c r="B204" s="482" t="e">
        <f>'Box Schedule'!#REF!</f>
        <v>#REF!</v>
      </c>
      <c r="C204" s="483" t="e">
        <f>IF((B204&gt;0),(VLOOKUP(J204,'Valve Reference'!$A$2:$K$389,3)),"-")</f>
        <v>#REF!</v>
      </c>
      <c r="D204" s="471" t="s">
        <v>577</v>
      </c>
      <c r="E204" s="484" t="e">
        <f>IF((B204&gt;0),('Vlookup Tables'!$B$37),"-")</f>
        <v>#REF!</v>
      </c>
      <c r="F204" s="585" t="e">
        <f t="shared" si="22"/>
        <v>#REF!</v>
      </c>
      <c r="G204" s="485" t="e">
        <f>IF((B204&gt;0),(VLOOKUP($B204,'Vlookup Tables'!$B$23:$F$33,2,TRUE)),"-")</f>
        <v>#REF!</v>
      </c>
      <c r="H204" s="586" t="e">
        <f t="shared" si="23"/>
        <v>#REF!</v>
      </c>
      <c r="I204" s="476" t="e">
        <f>IF((B204&gt;0),('Vlookup Tables'!$B$35),"-")</f>
        <v>#REF!</v>
      </c>
      <c r="J204" s="477" t="e">
        <f>IF(B204&gt;0,(IF(D204="2-Way",VLOOKUP($G204,'Vlookup Tables'!$C$23:$F$33,2,FALSE),VLOOKUP($G204,'Vlookup Tables'!$C$23:$F$33,3,FALSE))),"-")</f>
        <v>#REF!</v>
      </c>
      <c r="K204" s="478" t="e">
        <f>IF(B204&gt;0,(VLOOKUP(J204,'Valve Reference'!$A$2:$K$389,4)),"-")</f>
        <v>#REF!</v>
      </c>
      <c r="L204" s="478" t="e">
        <f>IF(B204&gt;0,(VLOOKUP(J204,'Valve Reference'!$A$2:$K$389,5)),"-")</f>
        <v>#REF!</v>
      </c>
      <c r="M204" s="478" t="e">
        <f>IF(B204&gt;0,(VLOOKUP(J204,'Valve Reference'!$A$2:$K$389,8)),"-")</f>
        <v>#REF!</v>
      </c>
      <c r="N204" s="478" t="e">
        <f>IF(B204&gt;0,(VLOOKUP(J204,'Valve Reference'!$A$2:$K$389,10)),"-")</f>
        <v>#REF!</v>
      </c>
      <c r="O204" s="479" t="e">
        <f>IF(B204&gt;0,(VLOOKUP(J204,'Valve Reference'!$A$2:$K$389,11)),"-")</f>
        <v>#REF!</v>
      </c>
      <c r="P204" s="480" t="e">
        <f>IF(B204&gt;0,(VLOOKUP(I204,'Actuator Reference'!$A$2:$H$54,2)),"-")</f>
        <v>#REF!</v>
      </c>
      <c r="Q204" s="480" t="e">
        <f>IF(B204&gt;0,(VLOOKUP(I204,'Actuator Reference'!$A$2:$H$54,5)),"-")</f>
        <v>#REF!</v>
      </c>
      <c r="R204" s="480" t="e">
        <f>IF(B204&gt;0,(VLOOKUP(I204,'Actuator Reference'!$A$2:$H$54,6)),"-")</f>
        <v>#REF!</v>
      </c>
      <c r="S204" s="480" t="e">
        <f>IF(B204&gt;0,(VLOOKUP(I204,'Actuator Reference'!$A$2:$H$54,7)),"-")</f>
        <v>#REF!</v>
      </c>
      <c r="T204" s="481" t="e">
        <f>IF(B204&gt;0,(VLOOKUP(I204,'Actuator Reference'!$A$2:$H$54,8)),"-")</f>
        <v>#REF!</v>
      </c>
      <c r="U204" s="596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35">
        <v>1</v>
      </c>
      <c r="AG204" s="35" t="s">
        <v>1097</v>
      </c>
      <c r="AH204" s="597" t="e">
        <f t="shared" si="27"/>
        <v>#REF!</v>
      </c>
      <c r="AI204" s="594" t="e">
        <f t="shared" si="25"/>
        <v>#REF!</v>
      </c>
      <c r="AJ204" s="597" t="s">
        <v>1339</v>
      </c>
      <c r="AK204" s="597">
        <v>4</v>
      </c>
      <c r="AL204" s="597" t="s">
        <v>1338</v>
      </c>
      <c r="AM204" s="597"/>
      <c r="AN204" s="597"/>
      <c r="AO204" s="597"/>
      <c r="AP204" s="597"/>
      <c r="AQ204" s="597"/>
      <c r="AR204" s="597"/>
      <c r="AS204" s="597"/>
      <c r="AT204" s="597"/>
      <c r="AU204" s="597"/>
      <c r="AV204" s="40"/>
      <c r="AW204" s="597"/>
      <c r="AX204" s="597"/>
      <c r="AY204" s="597"/>
      <c r="AZ204" s="597"/>
      <c r="BA204" s="597"/>
      <c r="BB204" s="597"/>
    </row>
    <row r="205" spans="1:54" ht="15" customHeight="1">
      <c r="A205" s="469" t="e">
        <f>'Box Schedule'!#REF!</f>
        <v>#REF!</v>
      </c>
      <c r="B205" s="482" t="e">
        <f>'Box Schedule'!#REF!</f>
        <v>#REF!</v>
      </c>
      <c r="C205" s="483" t="e">
        <f>IF((B205&gt;0),(VLOOKUP(J205,'Valve Reference'!$A$2:$K$389,3)),"-")</f>
        <v>#REF!</v>
      </c>
      <c r="D205" s="471" t="s">
        <v>577</v>
      </c>
      <c r="E205" s="484" t="e">
        <f>IF((B205&gt;0),('Vlookup Tables'!$B$37),"-")</f>
        <v>#REF!</v>
      </c>
      <c r="F205" s="585" t="e">
        <f t="shared" si="22"/>
        <v>#REF!</v>
      </c>
      <c r="G205" s="485" t="e">
        <f>IF((B205&gt;0),(VLOOKUP($B205,'Vlookup Tables'!$B$23:$F$33,2,TRUE)),"-")</f>
        <v>#REF!</v>
      </c>
      <c r="H205" s="586" t="e">
        <f t="shared" si="23"/>
        <v>#REF!</v>
      </c>
      <c r="I205" s="476" t="e">
        <f>IF((B205&gt;0),('Vlookup Tables'!$B$35),"-")</f>
        <v>#REF!</v>
      </c>
      <c r="J205" s="477" t="e">
        <f>IF(B205&gt;0,(IF(D205="2-Way",VLOOKUP($G205,'Vlookup Tables'!$C$23:$F$33,2,FALSE),VLOOKUP($G205,'Vlookup Tables'!$C$23:$F$33,3,FALSE))),"-")</f>
        <v>#REF!</v>
      </c>
      <c r="K205" s="478" t="e">
        <f>IF(B205&gt;0,(VLOOKUP(J205,'Valve Reference'!$A$2:$K$389,4)),"-")</f>
        <v>#REF!</v>
      </c>
      <c r="L205" s="478" t="e">
        <f>IF(B205&gt;0,(VLOOKUP(J205,'Valve Reference'!$A$2:$K$389,5)),"-")</f>
        <v>#REF!</v>
      </c>
      <c r="M205" s="478" t="e">
        <f>IF(B205&gt;0,(VLOOKUP(J205,'Valve Reference'!$A$2:$K$389,8)),"-")</f>
        <v>#REF!</v>
      </c>
      <c r="N205" s="478" t="e">
        <f>IF(B205&gt;0,(VLOOKUP(J205,'Valve Reference'!$A$2:$K$389,10)),"-")</f>
        <v>#REF!</v>
      </c>
      <c r="O205" s="479" t="e">
        <f>IF(B205&gt;0,(VLOOKUP(J205,'Valve Reference'!$A$2:$K$389,11)),"-")</f>
        <v>#REF!</v>
      </c>
      <c r="P205" s="480" t="e">
        <f>IF(B205&gt;0,(VLOOKUP(I205,'Actuator Reference'!$A$2:$H$54,2)),"-")</f>
        <v>#REF!</v>
      </c>
      <c r="Q205" s="480" t="e">
        <f>IF(B205&gt;0,(VLOOKUP(I205,'Actuator Reference'!$A$2:$H$54,5)),"-")</f>
        <v>#REF!</v>
      </c>
      <c r="R205" s="480" t="e">
        <f>IF(B205&gt;0,(VLOOKUP(I205,'Actuator Reference'!$A$2:$H$54,6)),"-")</f>
        <v>#REF!</v>
      </c>
      <c r="S205" s="480" t="e">
        <f>IF(B205&gt;0,(VLOOKUP(I205,'Actuator Reference'!$A$2:$H$54,7)),"-")</f>
        <v>#REF!</v>
      </c>
      <c r="T205" s="481" t="e">
        <f>IF(B205&gt;0,(VLOOKUP(I205,'Actuator Reference'!$A$2:$H$54,8)),"-")</f>
        <v>#REF!</v>
      </c>
      <c r="U205" s="596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35">
        <v>1</v>
      </c>
      <c r="AG205" s="35" t="s">
        <v>1097</v>
      </c>
      <c r="AH205" s="597" t="e">
        <f t="shared" si="27"/>
        <v>#REF!</v>
      </c>
      <c r="AI205" s="594" t="e">
        <f t="shared" si="25"/>
        <v>#REF!</v>
      </c>
      <c r="AJ205" s="597" t="s">
        <v>1339</v>
      </c>
      <c r="AK205" s="597">
        <v>4</v>
      </c>
      <c r="AL205" s="597" t="s">
        <v>1338</v>
      </c>
      <c r="AM205" s="597"/>
      <c r="AN205" s="597"/>
      <c r="AO205" s="597"/>
      <c r="AP205" s="597"/>
      <c r="AQ205" s="597"/>
      <c r="AR205" s="597"/>
      <c r="AS205" s="597"/>
      <c r="AT205" s="597"/>
      <c r="AU205" s="597"/>
      <c r="AV205" s="40"/>
      <c r="AW205" s="597"/>
      <c r="AX205" s="597"/>
      <c r="AY205" s="597"/>
      <c r="AZ205" s="597"/>
      <c r="BA205" s="597"/>
      <c r="BB205" s="597"/>
    </row>
    <row r="206" spans="1:54" ht="15" customHeight="1">
      <c r="A206" s="469" t="e">
        <f>'Box Schedule'!#REF!</f>
        <v>#REF!</v>
      </c>
      <c r="B206" s="482" t="e">
        <f>'Box Schedule'!#REF!</f>
        <v>#REF!</v>
      </c>
      <c r="C206" s="483" t="e">
        <f>IF((B206&gt;0),(VLOOKUP(J206,'Valve Reference'!$A$2:$K$389,3)),"-")</f>
        <v>#REF!</v>
      </c>
      <c r="D206" s="471" t="s">
        <v>579</v>
      </c>
      <c r="E206" s="484" t="e">
        <f>IF((B206&gt;0),('Vlookup Tables'!$B$37),"-")</f>
        <v>#REF!</v>
      </c>
      <c r="F206" s="585" t="e">
        <f t="shared" si="22"/>
        <v>#REF!</v>
      </c>
      <c r="G206" s="485" t="e">
        <f>IF((B206&gt;0),(VLOOKUP($B206,'Vlookup Tables'!$B$23:$F$33,2,TRUE)),"-")</f>
        <v>#REF!</v>
      </c>
      <c r="H206" s="586" t="e">
        <f t="shared" si="23"/>
        <v>#REF!</v>
      </c>
      <c r="I206" s="476" t="e">
        <f>IF((B206&gt;0),('Vlookup Tables'!$B$35),"-")</f>
        <v>#REF!</v>
      </c>
      <c r="J206" s="477" t="e">
        <f>IF(B206&gt;0,(IF(D206="2-Way",VLOOKUP($G206,'Vlookup Tables'!$C$23:$F$33,2,FALSE),VLOOKUP($G206,'Vlookup Tables'!$C$23:$F$33,3,FALSE))),"-")</f>
        <v>#REF!</v>
      </c>
      <c r="K206" s="478" t="e">
        <f>IF(B206&gt;0,(VLOOKUP(J206,'Valve Reference'!$A$2:$K$389,4)),"-")</f>
        <v>#REF!</v>
      </c>
      <c r="L206" s="478" t="e">
        <f>IF(B206&gt;0,(VLOOKUP(J206,'Valve Reference'!$A$2:$K$389,5)),"-")</f>
        <v>#REF!</v>
      </c>
      <c r="M206" s="478" t="e">
        <f>IF(B206&gt;0,(VLOOKUP(J206,'Valve Reference'!$A$2:$K$389,8)),"-")</f>
        <v>#REF!</v>
      </c>
      <c r="N206" s="478" t="e">
        <f>IF(B206&gt;0,(VLOOKUP(J206,'Valve Reference'!$A$2:$K$389,10)),"-")</f>
        <v>#REF!</v>
      </c>
      <c r="O206" s="479" t="e">
        <f>IF(B206&gt;0,(VLOOKUP(J206,'Valve Reference'!$A$2:$K$389,11)),"-")</f>
        <v>#REF!</v>
      </c>
      <c r="P206" s="480" t="e">
        <f>IF(B206&gt;0,(VLOOKUP(I206,'Actuator Reference'!$A$2:$H$54,2)),"-")</f>
        <v>#REF!</v>
      </c>
      <c r="Q206" s="480" t="e">
        <f>IF(B206&gt;0,(VLOOKUP(I206,'Actuator Reference'!$A$2:$H$54,5)),"-")</f>
        <v>#REF!</v>
      </c>
      <c r="R206" s="480" t="e">
        <f>IF(B206&gt;0,(VLOOKUP(I206,'Actuator Reference'!$A$2:$H$54,6)),"-")</f>
        <v>#REF!</v>
      </c>
      <c r="S206" s="480" t="e">
        <f>IF(B206&gt;0,(VLOOKUP(I206,'Actuator Reference'!$A$2:$H$54,7)),"-")</f>
        <v>#REF!</v>
      </c>
      <c r="T206" s="481" t="e">
        <f>IF(B206&gt;0,(VLOOKUP(I206,'Actuator Reference'!$A$2:$H$54,8)),"-")</f>
        <v>#REF!</v>
      </c>
      <c r="U206" s="596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35">
        <v>1</v>
      </c>
      <c r="AG206" s="35" t="s">
        <v>1097</v>
      </c>
      <c r="AH206" s="597" t="e">
        <f>CONCATENATE(I206,"-",J206)</f>
        <v>#REF!</v>
      </c>
      <c r="AI206" s="594" t="e">
        <f t="shared" si="25"/>
        <v>#REF!</v>
      </c>
      <c r="AJ206" s="597" t="s">
        <v>1339</v>
      </c>
      <c r="AK206" s="597">
        <v>4</v>
      </c>
      <c r="AL206" s="597" t="s">
        <v>1338</v>
      </c>
      <c r="AM206" s="597"/>
      <c r="AN206" s="597"/>
      <c r="AO206" s="597"/>
      <c r="AP206" s="597"/>
      <c r="AQ206" s="597"/>
      <c r="AR206" s="597"/>
      <c r="AS206" s="597"/>
      <c r="AT206" s="597"/>
      <c r="AU206" s="597"/>
      <c r="AV206" s="40"/>
      <c r="AW206" s="597"/>
      <c r="AX206" s="597"/>
      <c r="AY206" s="597"/>
      <c r="AZ206" s="597"/>
      <c r="BA206" s="597"/>
      <c r="BB206" s="597"/>
    </row>
    <row r="207" spans="1:54" ht="15" customHeight="1">
      <c r="A207" s="469" t="e">
        <f>'Box Schedule'!#REF!</f>
        <v>#REF!</v>
      </c>
      <c r="B207" s="482" t="e">
        <f>'Box Schedule'!#REF!</f>
        <v>#REF!</v>
      </c>
      <c r="C207" s="483" t="e">
        <f>IF((B207&gt;0),(VLOOKUP(J207,'Valve Reference'!$A$2:$K$389,3)),"-")</f>
        <v>#REF!</v>
      </c>
      <c r="D207" s="471" t="s">
        <v>577</v>
      </c>
      <c r="E207" s="484" t="e">
        <f>IF((B207&gt;0),('Vlookup Tables'!$B$37),"-")</f>
        <v>#REF!</v>
      </c>
      <c r="F207" s="585" t="e">
        <f t="shared" si="22"/>
        <v>#REF!</v>
      </c>
      <c r="G207" s="485" t="e">
        <f>IF((B207&gt;0),(VLOOKUP($B207,'Vlookup Tables'!$B$23:$F$33,2,TRUE)),"-")</f>
        <v>#REF!</v>
      </c>
      <c r="H207" s="586" t="e">
        <f t="shared" si="23"/>
        <v>#REF!</v>
      </c>
      <c r="I207" s="476" t="e">
        <f>IF((B207&gt;0),('Vlookup Tables'!$B$35),"-")</f>
        <v>#REF!</v>
      </c>
      <c r="J207" s="477" t="e">
        <f>IF(B207&gt;0,(IF(D207="2-Way",VLOOKUP($G207,'Vlookup Tables'!$C$23:$F$33,2,FALSE),VLOOKUP($G207,'Vlookup Tables'!$C$23:$F$33,3,FALSE))),"-")</f>
        <v>#REF!</v>
      </c>
      <c r="K207" s="478" t="e">
        <f>IF(B207&gt;0,(VLOOKUP(J207,'Valve Reference'!$A$2:$K$389,4)),"-")</f>
        <v>#REF!</v>
      </c>
      <c r="L207" s="478" t="e">
        <f>IF(B207&gt;0,(VLOOKUP(J207,'Valve Reference'!$A$2:$K$389,5)),"-")</f>
        <v>#REF!</v>
      </c>
      <c r="M207" s="478" t="e">
        <f>IF(B207&gt;0,(VLOOKUP(J207,'Valve Reference'!$A$2:$K$389,8)),"-")</f>
        <v>#REF!</v>
      </c>
      <c r="N207" s="478" t="e">
        <f>IF(B207&gt;0,(VLOOKUP(J207,'Valve Reference'!$A$2:$K$389,10)),"-")</f>
        <v>#REF!</v>
      </c>
      <c r="O207" s="479" t="e">
        <f>IF(B207&gt;0,(VLOOKUP(J207,'Valve Reference'!$A$2:$K$389,11)),"-")</f>
        <v>#REF!</v>
      </c>
      <c r="P207" s="480" t="e">
        <f>IF(B207&gt;0,(VLOOKUP(I207,'Actuator Reference'!$A$2:$H$54,2)),"-")</f>
        <v>#REF!</v>
      </c>
      <c r="Q207" s="480" t="e">
        <f>IF(B207&gt;0,(VLOOKUP(I207,'Actuator Reference'!$A$2:$H$54,5)),"-")</f>
        <v>#REF!</v>
      </c>
      <c r="R207" s="480" t="e">
        <f>IF(B207&gt;0,(VLOOKUP(I207,'Actuator Reference'!$A$2:$H$54,6)),"-")</f>
        <v>#REF!</v>
      </c>
      <c r="S207" s="480" t="e">
        <f>IF(B207&gt;0,(VLOOKUP(I207,'Actuator Reference'!$A$2:$H$54,7)),"-")</f>
        <v>#REF!</v>
      </c>
      <c r="T207" s="481" t="e">
        <f>IF(B207&gt;0,(VLOOKUP(I207,'Actuator Reference'!$A$2:$H$54,8)),"-")</f>
        <v>#REF!</v>
      </c>
      <c r="U207" s="596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35">
        <v>1</v>
      </c>
      <c r="AG207" s="35" t="s">
        <v>1097</v>
      </c>
      <c r="AH207" s="597" t="e">
        <f>CONCATENATE(I207,"-",J207)</f>
        <v>#REF!</v>
      </c>
      <c r="AI207" s="594" t="e">
        <f t="shared" si="25"/>
        <v>#REF!</v>
      </c>
      <c r="AJ207" s="597" t="s">
        <v>1339</v>
      </c>
      <c r="AK207" s="597">
        <v>4</v>
      </c>
      <c r="AL207" s="597" t="s">
        <v>1338</v>
      </c>
      <c r="AM207" s="597"/>
      <c r="AN207" s="597"/>
      <c r="AO207" s="597"/>
      <c r="AP207" s="597"/>
      <c r="AQ207" s="597"/>
      <c r="AR207" s="597"/>
      <c r="AS207" s="597"/>
      <c r="AT207" s="597"/>
      <c r="AU207" s="597"/>
      <c r="AV207" s="40"/>
      <c r="AW207" s="597"/>
      <c r="AX207" s="597"/>
      <c r="AY207" s="597"/>
      <c r="AZ207" s="597"/>
      <c r="BA207" s="597"/>
      <c r="BB207" s="597"/>
    </row>
    <row r="208" spans="1:54" ht="15" customHeight="1">
      <c r="A208" s="469" t="e">
        <f>'Box Schedule'!#REF!</f>
        <v>#REF!</v>
      </c>
      <c r="B208" s="482" t="e">
        <f>'Box Schedule'!#REF!</f>
        <v>#REF!</v>
      </c>
      <c r="C208" s="483" t="e">
        <f>IF((B208&gt;0),(VLOOKUP(J208,'Valve Reference'!$A$2:$K$389,3)),"-")</f>
        <v>#REF!</v>
      </c>
      <c r="D208" s="471" t="s">
        <v>577</v>
      </c>
      <c r="E208" s="484" t="e">
        <f>IF((B208&gt;0),('Vlookup Tables'!$B$37),"-")</f>
        <v>#REF!</v>
      </c>
      <c r="F208" s="585" t="e">
        <f t="shared" si="22"/>
        <v>#REF!</v>
      </c>
      <c r="G208" s="485" t="e">
        <f>IF((B208&gt;0),(VLOOKUP($B208,'Vlookup Tables'!$B$23:$F$33,2,TRUE)),"-")</f>
        <v>#REF!</v>
      </c>
      <c r="H208" s="586" t="e">
        <f t="shared" si="23"/>
        <v>#REF!</v>
      </c>
      <c r="I208" s="476" t="e">
        <f>IF((B208&gt;0),('Vlookup Tables'!$B$35),"-")</f>
        <v>#REF!</v>
      </c>
      <c r="J208" s="477" t="e">
        <f>IF(B208&gt;0,(IF(D208="2-Way",VLOOKUP($G208,'Vlookup Tables'!$C$23:$F$33,2,FALSE),VLOOKUP($G208,'Vlookup Tables'!$C$23:$F$33,3,FALSE))),"-")</f>
        <v>#REF!</v>
      </c>
      <c r="K208" s="478" t="e">
        <f>IF(B208&gt;0,(VLOOKUP(J208,'Valve Reference'!$A$2:$K$389,4)),"-")</f>
        <v>#REF!</v>
      </c>
      <c r="L208" s="478" t="e">
        <f>IF(B208&gt;0,(VLOOKUP(J208,'Valve Reference'!$A$2:$K$389,5)),"-")</f>
        <v>#REF!</v>
      </c>
      <c r="M208" s="478" t="e">
        <f>IF(B208&gt;0,(VLOOKUP(J208,'Valve Reference'!$A$2:$K$389,8)),"-")</f>
        <v>#REF!</v>
      </c>
      <c r="N208" s="478" t="e">
        <f>IF(B208&gt;0,(VLOOKUP(J208,'Valve Reference'!$A$2:$K$389,10)),"-")</f>
        <v>#REF!</v>
      </c>
      <c r="O208" s="479" t="e">
        <f>IF(B208&gt;0,(VLOOKUP(J208,'Valve Reference'!$A$2:$K$389,11)),"-")</f>
        <v>#REF!</v>
      </c>
      <c r="P208" s="480" t="e">
        <f>IF(B208&gt;0,(VLOOKUP(I208,'Actuator Reference'!$A$2:$H$54,2)),"-")</f>
        <v>#REF!</v>
      </c>
      <c r="Q208" s="480" t="e">
        <f>IF(B208&gt;0,(VLOOKUP(I208,'Actuator Reference'!$A$2:$H$54,5)),"-")</f>
        <v>#REF!</v>
      </c>
      <c r="R208" s="480" t="e">
        <f>IF(B208&gt;0,(VLOOKUP(I208,'Actuator Reference'!$A$2:$H$54,6)),"-")</f>
        <v>#REF!</v>
      </c>
      <c r="S208" s="480" t="e">
        <f>IF(B208&gt;0,(VLOOKUP(I208,'Actuator Reference'!$A$2:$H$54,7)),"-")</f>
        <v>#REF!</v>
      </c>
      <c r="T208" s="481" t="e">
        <f>IF(B208&gt;0,(VLOOKUP(I208,'Actuator Reference'!$A$2:$H$54,8)),"-")</f>
        <v>#REF!</v>
      </c>
      <c r="U208" s="596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35">
        <v>1</v>
      </c>
      <c r="AG208" s="35" t="s">
        <v>1097</v>
      </c>
      <c r="AH208" s="597" t="e">
        <f t="shared" ref="AH208:AH214" si="28">CONCATENATE(I208,"-",J208)</f>
        <v>#REF!</v>
      </c>
      <c r="AI208" s="594" t="e">
        <f t="shared" si="25"/>
        <v>#REF!</v>
      </c>
      <c r="AJ208" s="597" t="s">
        <v>1339</v>
      </c>
      <c r="AK208" s="597">
        <v>4</v>
      </c>
      <c r="AL208" s="597" t="s">
        <v>1338</v>
      </c>
      <c r="AM208" s="597"/>
      <c r="AN208" s="597"/>
      <c r="AO208" s="597"/>
      <c r="AP208" s="597"/>
      <c r="AQ208" s="597"/>
      <c r="AR208" s="597"/>
      <c r="AS208" s="597"/>
      <c r="AT208" s="597"/>
      <c r="AU208" s="597"/>
      <c r="AV208" s="40"/>
      <c r="AW208" s="597"/>
      <c r="AX208" s="597"/>
      <c r="AY208" s="597"/>
      <c r="AZ208" s="597"/>
      <c r="BA208" s="597"/>
      <c r="BB208" s="597"/>
    </row>
    <row r="209" spans="1:54" ht="15" customHeight="1">
      <c r="A209" s="469" t="e">
        <f>'Box Schedule'!#REF!</f>
        <v>#REF!</v>
      </c>
      <c r="B209" s="482" t="e">
        <f>'Box Schedule'!#REF!</f>
        <v>#REF!</v>
      </c>
      <c r="C209" s="483" t="e">
        <f>IF((B209&gt;0),(VLOOKUP(J209,'Valve Reference'!$A$2:$K$389,3)),"-")</f>
        <v>#REF!</v>
      </c>
      <c r="D209" s="471" t="s">
        <v>577</v>
      </c>
      <c r="E209" s="484" t="e">
        <f>IF((B209&gt;0),('Vlookup Tables'!$B$37),"-")</f>
        <v>#REF!</v>
      </c>
      <c r="F209" s="585" t="e">
        <f t="shared" si="22"/>
        <v>#REF!</v>
      </c>
      <c r="G209" s="485" t="e">
        <f>IF((B209&gt;0),(VLOOKUP($B209,'Vlookup Tables'!$B$23:$F$33,2,TRUE)),"-")</f>
        <v>#REF!</v>
      </c>
      <c r="H209" s="586" t="e">
        <f t="shared" si="23"/>
        <v>#REF!</v>
      </c>
      <c r="I209" s="476" t="e">
        <f>IF((B209&gt;0),('Vlookup Tables'!$B$35),"-")</f>
        <v>#REF!</v>
      </c>
      <c r="J209" s="477" t="e">
        <f>IF(B209&gt;0,(IF(D209="2-Way",VLOOKUP($G209,'Vlookup Tables'!$C$23:$F$33,2,FALSE),VLOOKUP($G209,'Vlookup Tables'!$C$23:$F$33,3,FALSE))),"-")</f>
        <v>#REF!</v>
      </c>
      <c r="K209" s="478" t="e">
        <f>IF(B209&gt;0,(VLOOKUP(J209,'Valve Reference'!$A$2:$K$389,4)),"-")</f>
        <v>#REF!</v>
      </c>
      <c r="L209" s="478" t="e">
        <f>IF(B209&gt;0,(VLOOKUP(J209,'Valve Reference'!$A$2:$K$389,5)),"-")</f>
        <v>#REF!</v>
      </c>
      <c r="M209" s="478" t="e">
        <f>IF(B209&gt;0,(VLOOKUP(J209,'Valve Reference'!$A$2:$K$389,8)),"-")</f>
        <v>#REF!</v>
      </c>
      <c r="N209" s="478" t="e">
        <f>IF(B209&gt;0,(VLOOKUP(J209,'Valve Reference'!$A$2:$K$389,10)),"-")</f>
        <v>#REF!</v>
      </c>
      <c r="O209" s="479" t="e">
        <f>IF(B209&gt;0,(VLOOKUP(J209,'Valve Reference'!$A$2:$K$389,11)),"-")</f>
        <v>#REF!</v>
      </c>
      <c r="P209" s="480" t="e">
        <f>IF(B209&gt;0,(VLOOKUP(I209,'Actuator Reference'!$A$2:$H$54,2)),"-")</f>
        <v>#REF!</v>
      </c>
      <c r="Q209" s="480" t="e">
        <f>IF(B209&gt;0,(VLOOKUP(I209,'Actuator Reference'!$A$2:$H$54,5)),"-")</f>
        <v>#REF!</v>
      </c>
      <c r="R209" s="480" t="e">
        <f>IF(B209&gt;0,(VLOOKUP(I209,'Actuator Reference'!$A$2:$H$54,6)),"-")</f>
        <v>#REF!</v>
      </c>
      <c r="S209" s="480" t="e">
        <f>IF(B209&gt;0,(VLOOKUP(I209,'Actuator Reference'!$A$2:$H$54,7)),"-")</f>
        <v>#REF!</v>
      </c>
      <c r="T209" s="481" t="e">
        <f>IF(B209&gt;0,(VLOOKUP(I209,'Actuator Reference'!$A$2:$H$54,8)),"-")</f>
        <v>#REF!</v>
      </c>
      <c r="U209" s="596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35">
        <v>1</v>
      </c>
      <c r="AG209" s="35" t="s">
        <v>1097</v>
      </c>
      <c r="AH209" s="597" t="e">
        <f t="shared" si="28"/>
        <v>#REF!</v>
      </c>
      <c r="AI209" s="594" t="e">
        <f t="shared" si="25"/>
        <v>#REF!</v>
      </c>
      <c r="AJ209" s="597" t="s">
        <v>1339</v>
      </c>
      <c r="AK209" s="597">
        <v>4</v>
      </c>
      <c r="AL209" s="597" t="s">
        <v>1338</v>
      </c>
      <c r="AM209" s="597"/>
      <c r="AN209" s="597"/>
      <c r="AO209" s="597"/>
      <c r="AP209" s="597"/>
      <c r="AQ209" s="597"/>
      <c r="AR209" s="597"/>
      <c r="AS209" s="597"/>
      <c r="AT209" s="597"/>
      <c r="AU209" s="597"/>
      <c r="AV209" s="40"/>
      <c r="AW209" s="597"/>
      <c r="AX209" s="597"/>
      <c r="AY209" s="597"/>
      <c r="AZ209" s="597"/>
      <c r="BA209" s="597"/>
      <c r="BB209" s="597"/>
    </row>
    <row r="210" spans="1:54" ht="15" customHeight="1">
      <c r="A210" s="469" t="e">
        <f>'Box Schedule'!#REF!</f>
        <v>#REF!</v>
      </c>
      <c r="B210" s="482" t="e">
        <f>'Box Schedule'!#REF!</f>
        <v>#REF!</v>
      </c>
      <c r="C210" s="483" t="e">
        <f>IF((B210&gt;0),(VLOOKUP(J210,'Valve Reference'!$A$2:$K$389,3)),"-")</f>
        <v>#REF!</v>
      </c>
      <c r="D210" s="471" t="s">
        <v>577</v>
      </c>
      <c r="E210" s="484" t="e">
        <f>IF((B210&gt;0),('Vlookup Tables'!$B$37),"-")</f>
        <v>#REF!</v>
      </c>
      <c r="F210" s="585" t="e">
        <f t="shared" si="22"/>
        <v>#REF!</v>
      </c>
      <c r="G210" s="485" t="e">
        <f>IF((B210&gt;0),(VLOOKUP($B210,'Vlookup Tables'!$B$23:$F$33,2,TRUE)),"-")</f>
        <v>#REF!</v>
      </c>
      <c r="H210" s="586" t="e">
        <f t="shared" si="23"/>
        <v>#REF!</v>
      </c>
      <c r="I210" s="476" t="e">
        <f>IF((B210&gt;0),('Vlookup Tables'!$B$35),"-")</f>
        <v>#REF!</v>
      </c>
      <c r="J210" s="477" t="e">
        <f>IF(B210&gt;0,(IF(D210="2-Way",VLOOKUP($G210,'Vlookup Tables'!$C$23:$F$33,2,FALSE),VLOOKUP($G210,'Vlookup Tables'!$C$23:$F$33,3,FALSE))),"-")</f>
        <v>#REF!</v>
      </c>
      <c r="K210" s="478" t="e">
        <f>IF(B210&gt;0,(VLOOKUP(J210,'Valve Reference'!$A$2:$K$389,4)),"-")</f>
        <v>#REF!</v>
      </c>
      <c r="L210" s="478" t="e">
        <f>IF(B210&gt;0,(VLOOKUP(J210,'Valve Reference'!$A$2:$K$389,5)),"-")</f>
        <v>#REF!</v>
      </c>
      <c r="M210" s="478" t="e">
        <f>IF(B210&gt;0,(VLOOKUP(J210,'Valve Reference'!$A$2:$K$389,8)),"-")</f>
        <v>#REF!</v>
      </c>
      <c r="N210" s="478" t="e">
        <f>IF(B210&gt;0,(VLOOKUP(J210,'Valve Reference'!$A$2:$K$389,10)),"-")</f>
        <v>#REF!</v>
      </c>
      <c r="O210" s="479" t="e">
        <f>IF(B210&gt;0,(VLOOKUP(J210,'Valve Reference'!$A$2:$K$389,11)),"-")</f>
        <v>#REF!</v>
      </c>
      <c r="P210" s="480" t="e">
        <f>IF(B210&gt;0,(VLOOKUP(I210,'Actuator Reference'!$A$2:$H$54,2)),"-")</f>
        <v>#REF!</v>
      </c>
      <c r="Q210" s="480" t="e">
        <f>IF(B210&gt;0,(VLOOKUP(I210,'Actuator Reference'!$A$2:$H$54,5)),"-")</f>
        <v>#REF!</v>
      </c>
      <c r="R210" s="480" t="e">
        <f>IF(B210&gt;0,(VLOOKUP(I210,'Actuator Reference'!$A$2:$H$54,6)),"-")</f>
        <v>#REF!</v>
      </c>
      <c r="S210" s="480" t="e">
        <f>IF(B210&gt;0,(VLOOKUP(I210,'Actuator Reference'!$A$2:$H$54,7)),"-")</f>
        <v>#REF!</v>
      </c>
      <c r="T210" s="481" t="e">
        <f>IF(B210&gt;0,(VLOOKUP(I210,'Actuator Reference'!$A$2:$H$54,8)),"-")</f>
        <v>#REF!</v>
      </c>
      <c r="U210" s="596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35">
        <v>1</v>
      </c>
      <c r="AG210" s="35" t="s">
        <v>1097</v>
      </c>
      <c r="AH210" s="597" t="e">
        <f t="shared" si="28"/>
        <v>#REF!</v>
      </c>
      <c r="AI210" s="594" t="e">
        <f t="shared" si="25"/>
        <v>#REF!</v>
      </c>
      <c r="AJ210" s="597" t="s">
        <v>1339</v>
      </c>
      <c r="AK210" s="597">
        <v>4</v>
      </c>
      <c r="AL210" s="597" t="s">
        <v>1338</v>
      </c>
      <c r="AM210" s="597"/>
      <c r="AN210" s="597"/>
      <c r="AO210" s="597"/>
      <c r="AP210" s="597"/>
      <c r="AQ210" s="597"/>
      <c r="AR210" s="597"/>
      <c r="AS210" s="597"/>
      <c r="AT210" s="597"/>
      <c r="AU210" s="597"/>
      <c r="AV210" s="40"/>
      <c r="AW210" s="597"/>
      <c r="AX210" s="597"/>
      <c r="AY210" s="597"/>
      <c r="AZ210" s="597"/>
      <c r="BA210" s="597"/>
      <c r="BB210" s="597"/>
    </row>
    <row r="211" spans="1:54" ht="15" customHeight="1">
      <c r="A211" s="469" t="e">
        <f>'Box Schedule'!#REF!</f>
        <v>#REF!</v>
      </c>
      <c r="B211" s="482" t="e">
        <f>'Box Schedule'!#REF!</f>
        <v>#REF!</v>
      </c>
      <c r="C211" s="483" t="e">
        <f>IF((B211&gt;0),(VLOOKUP(J211,'Valve Reference'!$A$2:$K$389,3)),"-")</f>
        <v>#REF!</v>
      </c>
      <c r="D211" s="471" t="s">
        <v>577</v>
      </c>
      <c r="E211" s="484" t="e">
        <f>IF((B211&gt;0),('Vlookup Tables'!$B$37),"-")</f>
        <v>#REF!</v>
      </c>
      <c r="F211" s="585" t="e">
        <f t="shared" si="22"/>
        <v>#REF!</v>
      </c>
      <c r="G211" s="485" t="e">
        <f>IF((B211&gt;0),(VLOOKUP($B211,'Vlookup Tables'!$B$23:$F$33,2,TRUE)),"-")</f>
        <v>#REF!</v>
      </c>
      <c r="H211" s="586" t="e">
        <f t="shared" si="23"/>
        <v>#REF!</v>
      </c>
      <c r="I211" s="476" t="e">
        <f>IF((B211&gt;0),('Vlookup Tables'!$B$35),"-")</f>
        <v>#REF!</v>
      </c>
      <c r="J211" s="477" t="e">
        <f>IF(B211&gt;0,(IF(D211="2-Way",VLOOKUP($G211,'Vlookup Tables'!$C$23:$F$33,2,FALSE),VLOOKUP($G211,'Vlookup Tables'!$C$23:$F$33,3,FALSE))),"-")</f>
        <v>#REF!</v>
      </c>
      <c r="K211" s="478" t="e">
        <f>IF(B211&gt;0,(VLOOKUP(J211,'Valve Reference'!$A$2:$K$389,4)),"-")</f>
        <v>#REF!</v>
      </c>
      <c r="L211" s="478" t="e">
        <f>IF(B211&gt;0,(VLOOKUP(J211,'Valve Reference'!$A$2:$K$389,5)),"-")</f>
        <v>#REF!</v>
      </c>
      <c r="M211" s="478" t="e">
        <f>IF(B211&gt;0,(VLOOKUP(J211,'Valve Reference'!$A$2:$K$389,8)),"-")</f>
        <v>#REF!</v>
      </c>
      <c r="N211" s="478" t="e">
        <f>IF(B211&gt;0,(VLOOKUP(J211,'Valve Reference'!$A$2:$K$389,10)),"-")</f>
        <v>#REF!</v>
      </c>
      <c r="O211" s="479" t="e">
        <f>IF(B211&gt;0,(VLOOKUP(J211,'Valve Reference'!$A$2:$K$389,11)),"-")</f>
        <v>#REF!</v>
      </c>
      <c r="P211" s="480" t="e">
        <f>IF(B211&gt;0,(VLOOKUP(I211,'Actuator Reference'!$A$2:$H$54,2)),"-")</f>
        <v>#REF!</v>
      </c>
      <c r="Q211" s="480" t="e">
        <f>IF(B211&gt;0,(VLOOKUP(I211,'Actuator Reference'!$A$2:$H$54,5)),"-")</f>
        <v>#REF!</v>
      </c>
      <c r="R211" s="480" t="e">
        <f>IF(B211&gt;0,(VLOOKUP(I211,'Actuator Reference'!$A$2:$H$54,6)),"-")</f>
        <v>#REF!</v>
      </c>
      <c r="S211" s="480" t="e">
        <f>IF(B211&gt;0,(VLOOKUP(I211,'Actuator Reference'!$A$2:$H$54,7)),"-")</f>
        <v>#REF!</v>
      </c>
      <c r="T211" s="481" t="e">
        <f>IF(B211&gt;0,(VLOOKUP(I211,'Actuator Reference'!$A$2:$H$54,8)),"-")</f>
        <v>#REF!</v>
      </c>
      <c r="U211" s="596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35">
        <v>1</v>
      </c>
      <c r="AG211" s="35" t="s">
        <v>1097</v>
      </c>
      <c r="AH211" s="597" t="e">
        <f t="shared" si="28"/>
        <v>#REF!</v>
      </c>
      <c r="AI211" s="594" t="e">
        <f t="shared" si="25"/>
        <v>#REF!</v>
      </c>
      <c r="AJ211" s="597" t="s">
        <v>1339</v>
      </c>
      <c r="AK211" s="597">
        <v>4</v>
      </c>
      <c r="AL211" s="597" t="s">
        <v>1338</v>
      </c>
      <c r="AM211" s="597"/>
      <c r="AN211" s="597"/>
      <c r="AO211" s="597"/>
      <c r="AP211" s="597"/>
      <c r="AQ211" s="597"/>
      <c r="AR211" s="597"/>
      <c r="AS211" s="597"/>
      <c r="AT211" s="597"/>
      <c r="AU211" s="597"/>
      <c r="AV211" s="40"/>
      <c r="AW211" s="597"/>
      <c r="AX211" s="597"/>
      <c r="AY211" s="597"/>
      <c r="AZ211" s="597"/>
      <c r="BA211" s="597"/>
      <c r="BB211" s="597"/>
    </row>
    <row r="212" spans="1:54" ht="15" customHeight="1">
      <c r="A212" s="469" t="e">
        <f>'Box Schedule'!#REF!</f>
        <v>#REF!</v>
      </c>
      <c r="B212" s="482" t="e">
        <f>'Box Schedule'!#REF!</f>
        <v>#REF!</v>
      </c>
      <c r="C212" s="483" t="e">
        <f>IF((B212&gt;0),(VLOOKUP(J212,'Valve Reference'!$A$2:$K$389,3)),"-")</f>
        <v>#REF!</v>
      </c>
      <c r="D212" s="471" t="s">
        <v>577</v>
      </c>
      <c r="E212" s="484" t="e">
        <f>IF((B212&gt;0),('Vlookup Tables'!$B$37),"-")</f>
        <v>#REF!</v>
      </c>
      <c r="F212" s="585" t="e">
        <f t="shared" si="22"/>
        <v>#REF!</v>
      </c>
      <c r="G212" s="485" t="e">
        <f>IF((B212&gt;0),(VLOOKUP($B212,'Vlookup Tables'!$B$23:$F$33,2,TRUE)),"-")</f>
        <v>#REF!</v>
      </c>
      <c r="H212" s="586" t="e">
        <f t="shared" si="23"/>
        <v>#REF!</v>
      </c>
      <c r="I212" s="476" t="e">
        <f>IF((B212&gt;0),('Vlookup Tables'!$B$35),"-")</f>
        <v>#REF!</v>
      </c>
      <c r="J212" s="477" t="e">
        <f>IF(B212&gt;0,(IF(D212="2-Way",VLOOKUP($G212,'Vlookup Tables'!$C$23:$F$33,2,FALSE),VLOOKUP($G212,'Vlookup Tables'!$C$23:$F$33,3,FALSE))),"-")</f>
        <v>#REF!</v>
      </c>
      <c r="K212" s="478" t="e">
        <f>IF(B212&gt;0,(VLOOKUP(J212,'Valve Reference'!$A$2:$K$389,4)),"-")</f>
        <v>#REF!</v>
      </c>
      <c r="L212" s="478" t="e">
        <f>IF(B212&gt;0,(VLOOKUP(J212,'Valve Reference'!$A$2:$K$389,5)),"-")</f>
        <v>#REF!</v>
      </c>
      <c r="M212" s="478" t="e">
        <f>IF(B212&gt;0,(VLOOKUP(J212,'Valve Reference'!$A$2:$K$389,8)),"-")</f>
        <v>#REF!</v>
      </c>
      <c r="N212" s="478" t="e">
        <f>IF(B212&gt;0,(VLOOKUP(J212,'Valve Reference'!$A$2:$K$389,10)),"-")</f>
        <v>#REF!</v>
      </c>
      <c r="O212" s="479" t="e">
        <f>IF(B212&gt;0,(VLOOKUP(J212,'Valve Reference'!$A$2:$K$389,11)),"-")</f>
        <v>#REF!</v>
      </c>
      <c r="P212" s="480" t="e">
        <f>IF(B212&gt;0,(VLOOKUP(I212,'Actuator Reference'!$A$2:$H$54,2)),"-")</f>
        <v>#REF!</v>
      </c>
      <c r="Q212" s="480" t="e">
        <f>IF(B212&gt;0,(VLOOKUP(I212,'Actuator Reference'!$A$2:$H$54,5)),"-")</f>
        <v>#REF!</v>
      </c>
      <c r="R212" s="480" t="e">
        <f>IF(B212&gt;0,(VLOOKUP(I212,'Actuator Reference'!$A$2:$H$54,6)),"-")</f>
        <v>#REF!</v>
      </c>
      <c r="S212" s="480" t="e">
        <f>IF(B212&gt;0,(VLOOKUP(I212,'Actuator Reference'!$A$2:$H$54,7)),"-")</f>
        <v>#REF!</v>
      </c>
      <c r="T212" s="481" t="e">
        <f>IF(B212&gt;0,(VLOOKUP(I212,'Actuator Reference'!$A$2:$H$54,8)),"-")</f>
        <v>#REF!</v>
      </c>
      <c r="U212" s="596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35">
        <v>1</v>
      </c>
      <c r="AG212" s="35" t="s">
        <v>1097</v>
      </c>
      <c r="AH212" s="597" t="e">
        <f t="shared" si="28"/>
        <v>#REF!</v>
      </c>
      <c r="AI212" s="594" t="e">
        <f t="shared" si="25"/>
        <v>#REF!</v>
      </c>
      <c r="AJ212" s="597" t="s">
        <v>1339</v>
      </c>
      <c r="AK212" s="597">
        <v>4</v>
      </c>
      <c r="AL212" s="597" t="s">
        <v>1338</v>
      </c>
      <c r="AM212" s="597"/>
      <c r="AN212" s="597"/>
      <c r="AO212" s="597"/>
      <c r="AP212" s="597"/>
      <c r="AQ212" s="597"/>
      <c r="AR212" s="597"/>
      <c r="AS212" s="597"/>
      <c r="AT212" s="597"/>
      <c r="AU212" s="597"/>
      <c r="AV212" s="40"/>
      <c r="AW212" s="597"/>
      <c r="AX212" s="597"/>
      <c r="AY212" s="597"/>
      <c r="AZ212" s="597"/>
      <c r="BA212" s="597"/>
      <c r="BB212" s="597"/>
    </row>
    <row r="213" spans="1:54" ht="15" customHeight="1">
      <c r="A213" s="469" t="e">
        <f>'Box Schedule'!#REF!</f>
        <v>#REF!</v>
      </c>
      <c r="B213" s="482" t="e">
        <f>'Box Schedule'!#REF!</f>
        <v>#REF!</v>
      </c>
      <c r="C213" s="483" t="e">
        <f>IF((B213&gt;0),(VLOOKUP(J213,'Valve Reference'!$A$2:$K$389,3)),"-")</f>
        <v>#REF!</v>
      </c>
      <c r="D213" s="471" t="s">
        <v>577</v>
      </c>
      <c r="E213" s="484" t="e">
        <f>IF((B213&gt;0),('Vlookup Tables'!$B$37),"-")</f>
        <v>#REF!</v>
      </c>
      <c r="F213" s="585" t="e">
        <f t="shared" si="22"/>
        <v>#REF!</v>
      </c>
      <c r="G213" s="485" t="e">
        <f>IF((B213&gt;0),(VLOOKUP($B213,'Vlookup Tables'!$B$23:$F$33,2,TRUE)),"-")</f>
        <v>#REF!</v>
      </c>
      <c r="H213" s="586" t="e">
        <f t="shared" si="23"/>
        <v>#REF!</v>
      </c>
      <c r="I213" s="476" t="e">
        <f>IF((B213&gt;0),('Vlookup Tables'!$B$35),"-")</f>
        <v>#REF!</v>
      </c>
      <c r="J213" s="477" t="e">
        <f>IF(B213&gt;0,(IF(D213="2-Way",VLOOKUP($G213,'Vlookup Tables'!$C$23:$F$33,2,FALSE),VLOOKUP($G213,'Vlookup Tables'!$C$23:$F$33,3,FALSE))),"-")</f>
        <v>#REF!</v>
      </c>
      <c r="K213" s="478" t="e">
        <f>IF(B213&gt;0,(VLOOKUP(J213,'Valve Reference'!$A$2:$K$389,4)),"-")</f>
        <v>#REF!</v>
      </c>
      <c r="L213" s="478" t="e">
        <f>IF(B213&gt;0,(VLOOKUP(J213,'Valve Reference'!$A$2:$K$389,5)),"-")</f>
        <v>#REF!</v>
      </c>
      <c r="M213" s="478" t="e">
        <f>IF(B213&gt;0,(VLOOKUP(J213,'Valve Reference'!$A$2:$K$389,8)),"-")</f>
        <v>#REF!</v>
      </c>
      <c r="N213" s="478" t="e">
        <f>IF(B213&gt;0,(VLOOKUP(J213,'Valve Reference'!$A$2:$K$389,10)),"-")</f>
        <v>#REF!</v>
      </c>
      <c r="O213" s="479" t="e">
        <f>IF(B213&gt;0,(VLOOKUP(J213,'Valve Reference'!$A$2:$K$389,11)),"-")</f>
        <v>#REF!</v>
      </c>
      <c r="P213" s="480" t="e">
        <f>IF(B213&gt;0,(VLOOKUP(I213,'Actuator Reference'!$A$2:$H$54,2)),"-")</f>
        <v>#REF!</v>
      </c>
      <c r="Q213" s="480" t="e">
        <f>IF(B213&gt;0,(VLOOKUP(I213,'Actuator Reference'!$A$2:$H$54,5)),"-")</f>
        <v>#REF!</v>
      </c>
      <c r="R213" s="480" t="e">
        <f>IF(B213&gt;0,(VLOOKUP(I213,'Actuator Reference'!$A$2:$H$54,6)),"-")</f>
        <v>#REF!</v>
      </c>
      <c r="S213" s="480" t="e">
        <f>IF(B213&gt;0,(VLOOKUP(I213,'Actuator Reference'!$A$2:$H$54,7)),"-")</f>
        <v>#REF!</v>
      </c>
      <c r="T213" s="481" t="e">
        <f>IF(B213&gt;0,(VLOOKUP(I213,'Actuator Reference'!$A$2:$H$54,8)),"-")</f>
        <v>#REF!</v>
      </c>
      <c r="U213" s="596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35">
        <v>1</v>
      </c>
      <c r="AG213" s="35" t="s">
        <v>1097</v>
      </c>
      <c r="AH213" s="597" t="e">
        <f t="shared" si="28"/>
        <v>#REF!</v>
      </c>
      <c r="AI213" s="594" t="e">
        <f t="shared" si="25"/>
        <v>#REF!</v>
      </c>
      <c r="AJ213" s="597" t="s">
        <v>1339</v>
      </c>
      <c r="AK213" s="597">
        <v>4</v>
      </c>
      <c r="AL213" s="597" t="s">
        <v>1338</v>
      </c>
      <c r="AM213" s="597"/>
      <c r="AN213" s="597"/>
      <c r="AO213" s="597"/>
      <c r="AP213" s="597"/>
      <c r="AQ213" s="597"/>
      <c r="AR213" s="597"/>
      <c r="AS213" s="597"/>
      <c r="AT213" s="597"/>
      <c r="AU213" s="597"/>
      <c r="AV213" s="40"/>
      <c r="AW213" s="597"/>
      <c r="AX213" s="597"/>
      <c r="AY213" s="597"/>
      <c r="AZ213" s="597"/>
      <c r="BA213" s="597"/>
      <c r="BB213" s="597"/>
    </row>
    <row r="214" spans="1:54" ht="15" customHeight="1">
      <c r="A214" s="469" t="e">
        <f>'Box Schedule'!#REF!</f>
        <v>#REF!</v>
      </c>
      <c r="B214" s="482" t="e">
        <f>'Box Schedule'!#REF!</f>
        <v>#REF!</v>
      </c>
      <c r="C214" s="483" t="e">
        <f>IF((B214&gt;0),(VLOOKUP(J214,'Valve Reference'!$A$2:$K$389,3)),"-")</f>
        <v>#REF!</v>
      </c>
      <c r="D214" s="471" t="s">
        <v>577</v>
      </c>
      <c r="E214" s="484" t="e">
        <f>IF((B214&gt;0),('Vlookup Tables'!$B$37),"-")</f>
        <v>#REF!</v>
      </c>
      <c r="F214" s="585" t="e">
        <f t="shared" si="22"/>
        <v>#REF!</v>
      </c>
      <c r="G214" s="485" t="e">
        <f>IF((B214&gt;0),(VLOOKUP($B214,'Vlookup Tables'!$B$23:$F$33,2,TRUE)),"-")</f>
        <v>#REF!</v>
      </c>
      <c r="H214" s="586" t="e">
        <f t="shared" si="23"/>
        <v>#REF!</v>
      </c>
      <c r="I214" s="476" t="e">
        <f>IF((B214&gt;0),('Vlookup Tables'!$B$35),"-")</f>
        <v>#REF!</v>
      </c>
      <c r="J214" s="477" t="e">
        <f>IF(B214&gt;0,(IF(D214="2-Way",VLOOKUP($G214,'Vlookup Tables'!$C$23:$F$33,2,FALSE),VLOOKUP($G214,'Vlookup Tables'!$C$23:$F$33,3,FALSE))),"-")</f>
        <v>#REF!</v>
      </c>
      <c r="K214" s="478" t="e">
        <f>IF(B214&gt;0,(VLOOKUP(J214,'Valve Reference'!$A$2:$K$389,4)),"-")</f>
        <v>#REF!</v>
      </c>
      <c r="L214" s="478" t="e">
        <f>IF(B214&gt;0,(VLOOKUP(J214,'Valve Reference'!$A$2:$K$389,5)),"-")</f>
        <v>#REF!</v>
      </c>
      <c r="M214" s="478" t="e">
        <f>IF(B214&gt;0,(VLOOKUP(J214,'Valve Reference'!$A$2:$K$389,8)),"-")</f>
        <v>#REF!</v>
      </c>
      <c r="N214" s="478" t="e">
        <f>IF(B214&gt;0,(VLOOKUP(J214,'Valve Reference'!$A$2:$K$389,10)),"-")</f>
        <v>#REF!</v>
      </c>
      <c r="O214" s="479" t="e">
        <f>IF(B214&gt;0,(VLOOKUP(J214,'Valve Reference'!$A$2:$K$389,11)),"-")</f>
        <v>#REF!</v>
      </c>
      <c r="P214" s="480" t="e">
        <f>IF(B214&gt;0,(VLOOKUP(I214,'Actuator Reference'!$A$2:$H$54,2)),"-")</f>
        <v>#REF!</v>
      </c>
      <c r="Q214" s="480" t="e">
        <f>IF(B214&gt;0,(VLOOKUP(I214,'Actuator Reference'!$A$2:$H$54,5)),"-")</f>
        <v>#REF!</v>
      </c>
      <c r="R214" s="480" t="e">
        <f>IF(B214&gt;0,(VLOOKUP(I214,'Actuator Reference'!$A$2:$H$54,6)),"-")</f>
        <v>#REF!</v>
      </c>
      <c r="S214" s="480" t="e">
        <f>IF(B214&gt;0,(VLOOKUP(I214,'Actuator Reference'!$A$2:$H$54,7)),"-")</f>
        <v>#REF!</v>
      </c>
      <c r="T214" s="481" t="e">
        <f>IF(B214&gt;0,(VLOOKUP(I214,'Actuator Reference'!$A$2:$H$54,8)),"-")</f>
        <v>#REF!</v>
      </c>
      <c r="U214" s="596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35">
        <v>1</v>
      </c>
      <c r="AG214" s="35" t="s">
        <v>1097</v>
      </c>
      <c r="AH214" s="597" t="e">
        <f t="shared" si="28"/>
        <v>#REF!</v>
      </c>
      <c r="AI214" s="594" t="e">
        <f t="shared" si="25"/>
        <v>#REF!</v>
      </c>
      <c r="AJ214" s="597" t="s">
        <v>1339</v>
      </c>
      <c r="AK214" s="597">
        <v>4</v>
      </c>
      <c r="AL214" s="597" t="s">
        <v>1338</v>
      </c>
      <c r="AM214" s="597"/>
      <c r="AN214" s="597"/>
      <c r="AO214" s="597"/>
      <c r="AP214" s="597"/>
      <c r="AQ214" s="597"/>
      <c r="AR214" s="597"/>
      <c r="AS214" s="597"/>
      <c r="AT214" s="597"/>
      <c r="AU214" s="597"/>
      <c r="AV214" s="40"/>
      <c r="AW214" s="597"/>
      <c r="AX214" s="597"/>
      <c r="AY214" s="597"/>
      <c r="AZ214" s="597"/>
      <c r="BA214" s="597"/>
      <c r="BB214" s="597"/>
    </row>
    <row r="215" spans="1:54" ht="15" customHeight="1">
      <c r="A215" s="469" t="e">
        <f>'Box Schedule'!#REF!</f>
        <v>#REF!</v>
      </c>
      <c r="B215" s="482" t="e">
        <f>'Box Schedule'!#REF!</f>
        <v>#REF!</v>
      </c>
      <c r="C215" s="483" t="e">
        <f>IF((B215&gt;0),(VLOOKUP(J215,'Valve Reference'!$A$2:$K$389,3)),"-")</f>
        <v>#REF!</v>
      </c>
      <c r="D215" s="471" t="s">
        <v>577</v>
      </c>
      <c r="E215" s="484" t="e">
        <f>IF((B215&gt;0),('Vlookup Tables'!$B$37),"-")</f>
        <v>#REF!</v>
      </c>
      <c r="F215" s="585" t="e">
        <f t="shared" si="22"/>
        <v>#REF!</v>
      </c>
      <c r="G215" s="485" t="e">
        <f>IF((B215&gt;0),(VLOOKUP($B215,'Vlookup Tables'!$B$23:$F$33,2,TRUE)),"-")</f>
        <v>#REF!</v>
      </c>
      <c r="H215" s="586" t="e">
        <f t="shared" si="23"/>
        <v>#REF!</v>
      </c>
      <c r="I215" s="476" t="e">
        <f>IF((B215&gt;0),('Vlookup Tables'!$B$35),"-")</f>
        <v>#REF!</v>
      </c>
      <c r="J215" s="477" t="e">
        <f>IF(B215&gt;0,(IF(D215="2-Way",VLOOKUP($G215,'Vlookup Tables'!$C$23:$F$33,2,FALSE),VLOOKUP($G215,'Vlookup Tables'!$C$23:$F$33,3,FALSE))),"-")</f>
        <v>#REF!</v>
      </c>
      <c r="K215" s="478" t="e">
        <f>IF(B215&gt;0,(VLOOKUP(J215,'Valve Reference'!$A$2:$K$389,4)),"-")</f>
        <v>#REF!</v>
      </c>
      <c r="L215" s="478" t="e">
        <f>IF(B215&gt;0,(VLOOKUP(J215,'Valve Reference'!$A$2:$K$389,5)),"-")</f>
        <v>#REF!</v>
      </c>
      <c r="M215" s="478" t="e">
        <f>IF(B215&gt;0,(VLOOKUP(J215,'Valve Reference'!$A$2:$K$389,8)),"-")</f>
        <v>#REF!</v>
      </c>
      <c r="N215" s="478" t="e">
        <f>IF(B215&gt;0,(VLOOKUP(J215,'Valve Reference'!$A$2:$K$389,10)),"-")</f>
        <v>#REF!</v>
      </c>
      <c r="O215" s="479" t="e">
        <f>IF(B215&gt;0,(VLOOKUP(J215,'Valve Reference'!$A$2:$K$389,11)),"-")</f>
        <v>#REF!</v>
      </c>
      <c r="P215" s="480" t="e">
        <f>IF(B215&gt;0,(VLOOKUP(I215,'Actuator Reference'!$A$2:$H$54,2)),"-")</f>
        <v>#REF!</v>
      </c>
      <c r="Q215" s="480" t="e">
        <f>IF(B215&gt;0,(VLOOKUP(I215,'Actuator Reference'!$A$2:$H$54,5)),"-")</f>
        <v>#REF!</v>
      </c>
      <c r="R215" s="480" t="e">
        <f>IF(B215&gt;0,(VLOOKUP(I215,'Actuator Reference'!$A$2:$H$54,6)),"-")</f>
        <v>#REF!</v>
      </c>
      <c r="S215" s="480" t="e">
        <f>IF(B215&gt;0,(VLOOKUP(I215,'Actuator Reference'!$A$2:$H$54,7)),"-")</f>
        <v>#REF!</v>
      </c>
      <c r="T215" s="481" t="e">
        <f>IF(B215&gt;0,(VLOOKUP(I215,'Actuator Reference'!$A$2:$H$54,8)),"-")</f>
        <v>#REF!</v>
      </c>
      <c r="U215" s="596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35">
        <v>1</v>
      </c>
      <c r="AG215" s="35" t="s">
        <v>1097</v>
      </c>
      <c r="AH215" s="597" t="e">
        <f>CONCATENATE(I215,"-",J215)</f>
        <v>#REF!</v>
      </c>
      <c r="AI215" s="594" t="e">
        <f t="shared" si="25"/>
        <v>#REF!</v>
      </c>
      <c r="AJ215" s="597" t="s">
        <v>1339</v>
      </c>
      <c r="AK215" s="597">
        <v>4</v>
      </c>
      <c r="AL215" s="597" t="s">
        <v>1338</v>
      </c>
      <c r="AM215" s="597"/>
      <c r="AN215" s="597"/>
      <c r="AO215" s="597"/>
      <c r="AP215" s="597"/>
      <c r="AQ215" s="597"/>
      <c r="AR215" s="597"/>
      <c r="AS215" s="597"/>
      <c r="AT215" s="597"/>
      <c r="AU215" s="597"/>
      <c r="AV215" s="40"/>
      <c r="AW215" s="597"/>
      <c r="AX215" s="597"/>
      <c r="AY215" s="597"/>
      <c r="AZ215" s="597"/>
      <c r="BA215" s="597"/>
      <c r="BB215" s="597"/>
    </row>
    <row r="216" spans="1:54" ht="15" customHeight="1">
      <c r="A216" s="469" t="e">
        <f>'Box Schedule'!#REF!</f>
        <v>#REF!</v>
      </c>
      <c r="B216" s="482" t="e">
        <f>'Box Schedule'!#REF!</f>
        <v>#REF!</v>
      </c>
      <c r="C216" s="483" t="e">
        <f>IF((B216&gt;0),(VLOOKUP(J216,'Valve Reference'!$A$2:$K$389,3)),"-")</f>
        <v>#REF!</v>
      </c>
      <c r="D216" s="471" t="s">
        <v>577</v>
      </c>
      <c r="E216" s="484" t="e">
        <f>IF((B216&gt;0),('Vlookup Tables'!$B$37),"-")</f>
        <v>#REF!</v>
      </c>
      <c r="F216" s="585" t="e">
        <f t="shared" si="22"/>
        <v>#REF!</v>
      </c>
      <c r="G216" s="485" t="e">
        <f>IF((B216&gt;0),(VLOOKUP($B216,'Vlookup Tables'!$B$23:$F$33,2,TRUE)),"-")</f>
        <v>#REF!</v>
      </c>
      <c r="H216" s="586" t="e">
        <f t="shared" si="23"/>
        <v>#REF!</v>
      </c>
      <c r="I216" s="476" t="e">
        <f>IF((B216&gt;0),('Vlookup Tables'!$B$35),"-")</f>
        <v>#REF!</v>
      </c>
      <c r="J216" s="477" t="e">
        <f>IF(B216&gt;0,(IF(D216="2-Way",VLOOKUP($G216,'Vlookup Tables'!$C$23:$F$33,2,FALSE),VLOOKUP($G216,'Vlookup Tables'!$C$23:$F$33,3,FALSE))),"-")</f>
        <v>#REF!</v>
      </c>
      <c r="K216" s="478" t="e">
        <f>IF(B216&gt;0,(VLOOKUP(J216,'Valve Reference'!$A$2:$K$389,4)),"-")</f>
        <v>#REF!</v>
      </c>
      <c r="L216" s="478" t="e">
        <f>IF(B216&gt;0,(VLOOKUP(J216,'Valve Reference'!$A$2:$K$389,5)),"-")</f>
        <v>#REF!</v>
      </c>
      <c r="M216" s="478" t="e">
        <f>IF(B216&gt;0,(VLOOKUP(J216,'Valve Reference'!$A$2:$K$389,8)),"-")</f>
        <v>#REF!</v>
      </c>
      <c r="N216" s="478" t="e">
        <f>IF(B216&gt;0,(VLOOKUP(J216,'Valve Reference'!$A$2:$K$389,10)),"-")</f>
        <v>#REF!</v>
      </c>
      <c r="O216" s="479" t="e">
        <f>IF(B216&gt;0,(VLOOKUP(J216,'Valve Reference'!$A$2:$K$389,11)),"-")</f>
        <v>#REF!</v>
      </c>
      <c r="P216" s="480" t="e">
        <f>IF(B216&gt;0,(VLOOKUP(I216,'Actuator Reference'!$A$2:$H$54,2)),"-")</f>
        <v>#REF!</v>
      </c>
      <c r="Q216" s="480" t="e">
        <f>IF(B216&gt;0,(VLOOKUP(I216,'Actuator Reference'!$A$2:$H$54,5)),"-")</f>
        <v>#REF!</v>
      </c>
      <c r="R216" s="480" t="e">
        <f>IF(B216&gt;0,(VLOOKUP(I216,'Actuator Reference'!$A$2:$H$54,6)),"-")</f>
        <v>#REF!</v>
      </c>
      <c r="S216" s="480" t="e">
        <f>IF(B216&gt;0,(VLOOKUP(I216,'Actuator Reference'!$A$2:$H$54,7)),"-")</f>
        <v>#REF!</v>
      </c>
      <c r="T216" s="481" t="e">
        <f>IF(B216&gt;0,(VLOOKUP(I216,'Actuator Reference'!$A$2:$H$54,8)),"-")</f>
        <v>#REF!</v>
      </c>
      <c r="U216" s="596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35">
        <v>1</v>
      </c>
      <c r="AG216" s="35" t="s">
        <v>1097</v>
      </c>
      <c r="AH216" s="597" t="e">
        <f>CONCATENATE(I216,"-",J216)</f>
        <v>#REF!</v>
      </c>
      <c r="AI216" s="594" t="e">
        <f t="shared" si="25"/>
        <v>#REF!</v>
      </c>
      <c r="AJ216" s="597" t="s">
        <v>1339</v>
      </c>
      <c r="AK216" s="597">
        <v>4</v>
      </c>
      <c r="AL216" s="597" t="s">
        <v>1338</v>
      </c>
      <c r="AM216" s="597"/>
      <c r="AN216" s="597"/>
      <c r="AO216" s="597"/>
      <c r="AP216" s="597"/>
      <c r="AQ216" s="597"/>
      <c r="AR216" s="597"/>
      <c r="AS216" s="597"/>
      <c r="AT216" s="597"/>
      <c r="AU216" s="597"/>
      <c r="AV216" s="40"/>
      <c r="AW216" s="597"/>
      <c r="AX216" s="597"/>
      <c r="AY216" s="597"/>
      <c r="AZ216" s="597"/>
      <c r="BA216" s="597"/>
      <c r="BB216" s="597"/>
    </row>
    <row r="217" spans="1:54" ht="15" customHeight="1">
      <c r="A217" s="469" t="e">
        <f>'Box Schedule'!#REF!</f>
        <v>#REF!</v>
      </c>
      <c r="B217" s="482" t="e">
        <f>'Box Schedule'!#REF!</f>
        <v>#REF!</v>
      </c>
      <c r="C217" s="483" t="e">
        <f>IF((B217&gt;0),(VLOOKUP(J217,'Valve Reference'!$A$2:$K$389,3)),"-")</f>
        <v>#REF!</v>
      </c>
      <c r="D217" s="471" t="s">
        <v>577</v>
      </c>
      <c r="E217" s="484" t="e">
        <f>IF((B217&gt;0),('Vlookup Tables'!$B$37),"-")</f>
        <v>#REF!</v>
      </c>
      <c r="F217" s="585" t="e">
        <f t="shared" ref="F217:F218" si="29">IF((B217&gt;0),(B217/SQRT(E217)),"-")</f>
        <v>#REF!</v>
      </c>
      <c r="G217" s="485" t="e">
        <f>IF((B217&gt;0),(VLOOKUP($B217,'Vlookup Tables'!$B$23:$F$33,2,TRUE)),"-")</f>
        <v>#REF!</v>
      </c>
      <c r="H217" s="586" t="e">
        <f t="shared" ref="H217:H218" si="30">IF((B217&gt;0),(1/((G217/B217)^2)),"-")</f>
        <v>#REF!</v>
      </c>
      <c r="I217" s="476" t="e">
        <f>IF((B217&gt;0),('Vlookup Tables'!$B$35),"-")</f>
        <v>#REF!</v>
      </c>
      <c r="J217" s="477" t="e">
        <f>IF(B217&gt;0,(IF(D217="2-Way",VLOOKUP($G217,'Vlookup Tables'!$C$23:$F$33,2,FALSE),VLOOKUP($G217,'Vlookup Tables'!$C$23:$F$33,3,FALSE))),"-")</f>
        <v>#REF!</v>
      </c>
      <c r="K217" s="478" t="e">
        <f>IF(B217&gt;0,(VLOOKUP(J217,'Valve Reference'!$A$2:$K$389,4)),"-")</f>
        <v>#REF!</v>
      </c>
      <c r="L217" s="478" t="e">
        <f>IF(B217&gt;0,(VLOOKUP(J217,'Valve Reference'!$A$2:$K$389,5)),"-")</f>
        <v>#REF!</v>
      </c>
      <c r="M217" s="478" t="e">
        <f>IF(B217&gt;0,(VLOOKUP(J217,'Valve Reference'!$A$2:$K$389,8)),"-")</f>
        <v>#REF!</v>
      </c>
      <c r="N217" s="478" t="e">
        <f>IF(B217&gt;0,(VLOOKUP(J217,'Valve Reference'!$A$2:$K$389,10)),"-")</f>
        <v>#REF!</v>
      </c>
      <c r="O217" s="479" t="e">
        <f>IF(B217&gt;0,(VLOOKUP(J217,'Valve Reference'!$A$2:$K$389,11)),"-")</f>
        <v>#REF!</v>
      </c>
      <c r="P217" s="480" t="e">
        <f>IF(B217&gt;0,(VLOOKUP(I217,'Actuator Reference'!$A$2:$H$54,2)),"-")</f>
        <v>#REF!</v>
      </c>
      <c r="Q217" s="480" t="e">
        <f>IF(B217&gt;0,(VLOOKUP(I217,'Actuator Reference'!$A$2:$H$54,5)),"-")</f>
        <v>#REF!</v>
      </c>
      <c r="R217" s="480" t="e">
        <f>IF(B217&gt;0,(VLOOKUP(I217,'Actuator Reference'!$A$2:$H$54,6)),"-")</f>
        <v>#REF!</v>
      </c>
      <c r="S217" s="480" t="e">
        <f>IF(B217&gt;0,(VLOOKUP(I217,'Actuator Reference'!$A$2:$H$54,7)),"-")</f>
        <v>#REF!</v>
      </c>
      <c r="T217" s="481" t="e">
        <f>IF(B217&gt;0,(VLOOKUP(I217,'Actuator Reference'!$A$2:$H$54,8)),"-")</f>
        <v>#REF!</v>
      </c>
      <c r="U217" s="596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35">
        <v>1</v>
      </c>
      <c r="AG217" s="35" t="s">
        <v>1097</v>
      </c>
      <c r="AH217" s="597" t="e">
        <f t="shared" ref="AH217:AH218" si="31">CONCATENATE(I217,"-",J217)</f>
        <v>#REF!</v>
      </c>
      <c r="AI217" s="594" t="e">
        <f t="shared" ref="AI217:AI218" si="32">CONCATENATE("=",A217)</f>
        <v>#REF!</v>
      </c>
      <c r="AJ217" s="597" t="s">
        <v>1339</v>
      </c>
      <c r="AK217" s="597">
        <v>4</v>
      </c>
      <c r="AL217" s="597" t="s">
        <v>1338</v>
      </c>
      <c r="AM217" s="597"/>
      <c r="AN217" s="597"/>
      <c r="AO217" s="597"/>
      <c r="AP217" s="597"/>
      <c r="AQ217" s="597"/>
      <c r="AR217" s="597"/>
      <c r="AS217" s="597"/>
      <c r="AT217" s="597"/>
      <c r="AU217" s="597"/>
      <c r="AV217" s="40"/>
      <c r="AW217" s="597"/>
      <c r="AX217" s="597"/>
      <c r="AY217" s="597"/>
      <c r="AZ217" s="597"/>
      <c r="BA217" s="597"/>
      <c r="BB217" s="597"/>
    </row>
    <row r="218" spans="1:54" ht="15" customHeight="1">
      <c r="A218" s="469" t="e">
        <f>'Box Schedule'!#REF!</f>
        <v>#REF!</v>
      </c>
      <c r="B218" s="482" t="e">
        <f>'Box Schedule'!#REF!</f>
        <v>#REF!</v>
      </c>
      <c r="C218" s="483" t="e">
        <f>IF((B218&gt;0),(VLOOKUP(J218,'Valve Reference'!$A$2:$K$389,3)),"-")</f>
        <v>#REF!</v>
      </c>
      <c r="D218" s="471" t="s">
        <v>577</v>
      </c>
      <c r="E218" s="484" t="e">
        <f>IF((B218&gt;0),('Vlookup Tables'!$B$37),"-")</f>
        <v>#REF!</v>
      </c>
      <c r="F218" s="585" t="e">
        <f t="shared" si="29"/>
        <v>#REF!</v>
      </c>
      <c r="G218" s="485" t="e">
        <f>IF((B218&gt;0),(VLOOKUP($B218,'Vlookup Tables'!$B$23:$F$33,2,TRUE)),"-")</f>
        <v>#REF!</v>
      </c>
      <c r="H218" s="586" t="e">
        <f t="shared" si="30"/>
        <v>#REF!</v>
      </c>
      <c r="I218" s="476" t="e">
        <f>IF((B218&gt;0),('Vlookup Tables'!$B$35),"-")</f>
        <v>#REF!</v>
      </c>
      <c r="J218" s="477" t="e">
        <f>IF(B218&gt;0,(IF(D218="2-Way",VLOOKUP($G218,'Vlookup Tables'!$C$23:$F$33,2,FALSE),VLOOKUP($G218,'Vlookup Tables'!$C$23:$F$33,3,FALSE))),"-")</f>
        <v>#REF!</v>
      </c>
      <c r="K218" s="478" t="e">
        <f>IF(B218&gt;0,(VLOOKUP(J218,'Valve Reference'!$A$2:$K$389,4)),"-")</f>
        <v>#REF!</v>
      </c>
      <c r="L218" s="478" t="e">
        <f>IF(B218&gt;0,(VLOOKUP(J218,'Valve Reference'!$A$2:$K$389,5)),"-")</f>
        <v>#REF!</v>
      </c>
      <c r="M218" s="478" t="e">
        <f>IF(B218&gt;0,(VLOOKUP(J218,'Valve Reference'!$A$2:$K$389,8)),"-")</f>
        <v>#REF!</v>
      </c>
      <c r="N218" s="478" t="e">
        <f>IF(B218&gt;0,(VLOOKUP(J218,'Valve Reference'!$A$2:$K$389,10)),"-")</f>
        <v>#REF!</v>
      </c>
      <c r="O218" s="479" t="e">
        <f>IF(B218&gt;0,(VLOOKUP(J218,'Valve Reference'!$A$2:$K$389,11)),"-")</f>
        <v>#REF!</v>
      </c>
      <c r="P218" s="480" t="e">
        <f>IF(B218&gt;0,(VLOOKUP(I218,'Actuator Reference'!$A$2:$H$54,2)),"-")</f>
        <v>#REF!</v>
      </c>
      <c r="Q218" s="480" t="e">
        <f>IF(B218&gt;0,(VLOOKUP(I218,'Actuator Reference'!$A$2:$H$54,5)),"-")</f>
        <v>#REF!</v>
      </c>
      <c r="R218" s="480" t="e">
        <f>IF(B218&gt;0,(VLOOKUP(I218,'Actuator Reference'!$A$2:$H$54,6)),"-")</f>
        <v>#REF!</v>
      </c>
      <c r="S218" s="480" t="e">
        <f>IF(B218&gt;0,(VLOOKUP(I218,'Actuator Reference'!$A$2:$H$54,7)),"-")</f>
        <v>#REF!</v>
      </c>
      <c r="T218" s="481" t="e">
        <f>IF(B218&gt;0,(VLOOKUP(I218,'Actuator Reference'!$A$2:$H$54,8)),"-")</f>
        <v>#REF!</v>
      </c>
      <c r="U218" s="596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35">
        <v>1</v>
      </c>
      <c r="AG218" s="35" t="s">
        <v>1097</v>
      </c>
      <c r="AH218" s="597" t="e">
        <f t="shared" si="31"/>
        <v>#REF!</v>
      </c>
      <c r="AI218" s="594" t="e">
        <f t="shared" si="32"/>
        <v>#REF!</v>
      </c>
      <c r="AJ218" s="597" t="s">
        <v>1339</v>
      </c>
      <c r="AK218" s="597">
        <v>4</v>
      </c>
      <c r="AL218" s="597" t="s">
        <v>1338</v>
      </c>
      <c r="AM218" s="597"/>
      <c r="AN218" s="597"/>
      <c r="AO218" s="597"/>
      <c r="AP218" s="597"/>
      <c r="AQ218" s="597"/>
      <c r="AR218" s="597"/>
      <c r="AS218" s="597"/>
      <c r="AT218" s="597"/>
      <c r="AU218" s="597"/>
      <c r="AV218" s="40"/>
      <c r="AW218" s="597"/>
      <c r="AX218" s="597"/>
      <c r="AY218" s="597"/>
      <c r="AZ218" s="597"/>
      <c r="BA218" s="597"/>
      <c r="BB218" s="597"/>
    </row>
  </sheetData>
  <mergeCells count="7">
    <mergeCell ref="A1:T1"/>
    <mergeCell ref="P2:T2"/>
    <mergeCell ref="AC2:AG2"/>
    <mergeCell ref="A2:A3"/>
    <mergeCell ref="I2:J2"/>
    <mergeCell ref="K2:O2"/>
    <mergeCell ref="B2:H2"/>
  </mergeCells>
  <phoneticPr fontId="14" type="noConversion"/>
  <dataValidations count="1">
    <dataValidation type="list" allowBlank="1" showInputMessage="1" showErrorMessage="1" sqref="D4:D218" xr:uid="{00000000-0002-0000-0600-000000000000}">
      <formula1>$AD$6:$AD$8</formula1>
    </dataValidation>
  </dataValidations>
  <printOptions horizontalCentered="1"/>
  <pageMargins left="0.25" right="0.25" top="1.25" bottom="1.25" header="0.75" footer="0.25"/>
  <pageSetup scale="56" fitToHeight="0" orientation="landscape" r:id="rId1"/>
  <headerFooter alignWithMargins="0">
    <oddHeader xml:space="preserve">&amp;L&amp;"Siemens Sans Black,Bold"&amp;26SIEMENS&amp;R&amp;D
</oddHeader>
    <oddFooter>&amp;LNotes:
Valve sized for max 5 PSI pressure drop.&amp;R&amp;P of &amp;N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42"/>
    <pageSetUpPr fitToPage="1"/>
  </sheetPr>
  <dimension ref="A1:AD49"/>
  <sheetViews>
    <sheetView showGridLines="0" topLeftCell="C1" zoomScaleNormal="100" zoomScalePageLayoutView="85" workbookViewId="0">
      <pane ySplit="4" topLeftCell="A5" activePane="bottomLeft" state="frozen"/>
      <selection pane="bottomLeft" activeCell="T16" sqref="T16"/>
    </sheetView>
  </sheetViews>
  <sheetFormatPr defaultColWidth="7.140625" defaultRowHeight="12.75"/>
  <cols>
    <col min="1" max="1" width="12.28515625" style="240" bestFit="1" customWidth="1"/>
    <col min="2" max="2" width="6" style="240" bestFit="1" customWidth="1"/>
    <col min="3" max="3" width="35.42578125" style="240" bestFit="1" customWidth="1"/>
    <col min="4" max="4" width="8" style="240" bestFit="1" customWidth="1"/>
    <col min="5" max="5" width="9.28515625" style="240" bestFit="1" customWidth="1"/>
    <col min="6" max="6" width="8.28515625" style="240" bestFit="1" customWidth="1"/>
    <col min="7" max="7" width="10.7109375" style="644" customWidth="1"/>
    <col min="8" max="8" width="9.5703125" style="240" customWidth="1"/>
    <col min="9" max="9" width="12.42578125" style="240" bestFit="1" customWidth="1"/>
    <col min="10" max="10" width="10.140625" style="240" customWidth="1"/>
    <col min="11" max="11" width="16.5703125" style="240" bestFit="1" customWidth="1"/>
    <col min="12" max="12" width="10.5703125" style="240" bestFit="1" customWidth="1"/>
    <col min="13" max="13" width="10.42578125" style="240" bestFit="1" customWidth="1"/>
    <col min="14" max="14" width="11.140625" style="240" bestFit="1" customWidth="1"/>
    <col min="15" max="15" width="9.85546875" style="240" customWidth="1"/>
    <col min="16" max="16" width="14.42578125" style="240" customWidth="1"/>
    <col min="17" max="17" width="11.140625" style="240" bestFit="1" customWidth="1"/>
    <col min="18" max="18" width="7.140625" style="240" bestFit="1" customWidth="1"/>
    <col min="19" max="19" width="11.42578125" style="240" bestFit="1" customWidth="1"/>
    <col min="20" max="20" width="13.7109375" style="240" bestFit="1" customWidth="1"/>
    <col min="21" max="21" width="7.140625" style="240" bestFit="1" customWidth="1"/>
    <col min="22" max="22" width="1.7109375" style="240" customWidth="1"/>
    <col min="23" max="23" width="7.85546875" style="240" bestFit="1" customWidth="1"/>
    <col min="24" max="24" width="1.7109375" style="240" customWidth="1"/>
    <col min="25" max="25" width="6.42578125" style="240" bestFit="1" customWidth="1"/>
    <col min="26" max="26" width="1.7109375" style="240" customWidth="1"/>
    <col min="27" max="27" width="8" style="240" bestFit="1" customWidth="1"/>
    <col min="28" max="28" width="1.7109375" style="240" customWidth="1"/>
    <col min="29" max="29" width="7.140625" style="240" customWidth="1"/>
    <col min="30" max="30" width="10.85546875" style="240" customWidth="1"/>
    <col min="31" max="16384" width="7.140625" style="240"/>
  </cols>
  <sheetData>
    <row r="1" spans="1:30" ht="16.5" thickBot="1">
      <c r="A1" s="701" t="str">
        <f>CONCATENATE('Box Schedule'!C4," - Damper Schedule")</f>
        <v>TFC JH Winters AHU Reno. - Damper Schedule</v>
      </c>
      <c r="B1" s="701"/>
      <c r="C1" s="701"/>
      <c r="D1" s="701"/>
      <c r="E1" s="701"/>
      <c r="F1" s="701"/>
      <c r="G1" s="701"/>
      <c r="H1" s="701"/>
      <c r="I1" s="701"/>
      <c r="J1" s="701"/>
      <c r="K1" s="701"/>
      <c r="L1" s="701"/>
      <c r="M1" s="701"/>
      <c r="N1" s="701"/>
      <c r="O1" s="701"/>
      <c r="P1" s="701"/>
      <c r="Q1" s="701"/>
      <c r="R1" s="701"/>
      <c r="S1" s="701"/>
      <c r="T1" s="701"/>
      <c r="U1" s="701"/>
      <c r="V1" s="701"/>
      <c r="W1" s="701"/>
      <c r="X1" s="701"/>
      <c r="Y1" s="701"/>
      <c r="Z1" s="701"/>
      <c r="AA1" s="701"/>
      <c r="AD1" s="241" t="s">
        <v>578</v>
      </c>
    </row>
    <row r="2" spans="1:30" ht="15.75" thickTop="1">
      <c r="A2" s="567"/>
      <c r="B2" s="568"/>
      <c r="C2" s="569"/>
      <c r="D2" s="570"/>
      <c r="E2" s="570"/>
      <c r="F2" s="570"/>
      <c r="G2" s="570"/>
      <c r="H2" s="571"/>
      <c r="I2" s="572" t="s">
        <v>237</v>
      </c>
      <c r="J2" s="570"/>
      <c r="K2" s="570"/>
      <c r="L2" s="570"/>
      <c r="M2" s="570"/>
      <c r="N2" s="570" t="s">
        <v>544</v>
      </c>
      <c r="O2" s="570"/>
      <c r="P2" s="573"/>
      <c r="Q2" s="573"/>
      <c r="R2" s="573"/>
      <c r="S2" s="573" t="s">
        <v>544</v>
      </c>
      <c r="T2" s="573" t="s">
        <v>544</v>
      </c>
      <c r="U2" s="417" t="s">
        <v>544</v>
      </c>
      <c r="V2" s="565"/>
      <c r="W2" s="565"/>
      <c r="X2" s="565"/>
      <c r="Y2" s="565"/>
      <c r="Z2" s="565"/>
      <c r="AA2" s="566"/>
      <c r="AD2" s="240">
        <v>2.5</v>
      </c>
    </row>
    <row r="3" spans="1:30">
      <c r="A3" s="574" t="s">
        <v>238</v>
      </c>
      <c r="B3" s="568"/>
      <c r="C3" s="575" t="s">
        <v>250</v>
      </c>
      <c r="D3" s="576" t="s">
        <v>1260</v>
      </c>
      <c r="E3" s="576" t="s">
        <v>1261</v>
      </c>
      <c r="F3" s="570"/>
      <c r="G3" s="573"/>
      <c r="H3" s="577" t="s">
        <v>239</v>
      </c>
      <c r="I3" s="572" t="s">
        <v>240</v>
      </c>
      <c r="J3" s="573" t="s">
        <v>238</v>
      </c>
      <c r="K3" s="573" t="s">
        <v>258</v>
      </c>
      <c r="L3" s="573" t="s">
        <v>614</v>
      </c>
      <c r="M3" s="578" t="s">
        <v>245</v>
      </c>
      <c r="N3" s="578" t="s">
        <v>1319</v>
      </c>
      <c r="O3" s="578" t="s">
        <v>254</v>
      </c>
      <c r="P3" s="578" t="s">
        <v>1320</v>
      </c>
      <c r="Q3" s="573" t="s">
        <v>1319</v>
      </c>
      <c r="R3" s="573"/>
      <c r="S3" s="573" t="s">
        <v>1319</v>
      </c>
      <c r="T3" s="573"/>
      <c r="U3" s="698" t="s">
        <v>249</v>
      </c>
      <c r="V3" s="699"/>
      <c r="W3" s="699"/>
      <c r="X3" s="699"/>
      <c r="Y3" s="699"/>
      <c r="Z3" s="699"/>
      <c r="AA3" s="700"/>
      <c r="AD3" s="240">
        <v>5</v>
      </c>
    </row>
    <row r="4" spans="1:30" ht="13.5" thickBot="1">
      <c r="A4" s="579" t="s">
        <v>545</v>
      </c>
      <c r="B4" s="580" t="s">
        <v>1100</v>
      </c>
      <c r="C4" s="581" t="s">
        <v>251</v>
      </c>
      <c r="D4" s="582" t="s">
        <v>1263</v>
      </c>
      <c r="E4" s="459" t="s">
        <v>1263</v>
      </c>
      <c r="F4" s="583" t="s">
        <v>243</v>
      </c>
      <c r="G4" s="583" t="s">
        <v>514</v>
      </c>
      <c r="H4" s="582" t="s">
        <v>244</v>
      </c>
      <c r="I4" s="584" t="s">
        <v>245</v>
      </c>
      <c r="J4" s="459" t="s">
        <v>248</v>
      </c>
      <c r="K4" s="459" t="s">
        <v>259</v>
      </c>
      <c r="L4" s="459" t="s">
        <v>246</v>
      </c>
      <c r="M4" s="459" t="s">
        <v>237</v>
      </c>
      <c r="N4" s="459" t="s">
        <v>237</v>
      </c>
      <c r="O4" s="459" t="s">
        <v>255</v>
      </c>
      <c r="P4" s="583" t="s">
        <v>245</v>
      </c>
      <c r="Q4" s="459" t="s">
        <v>545</v>
      </c>
      <c r="R4" s="459" t="s">
        <v>1100</v>
      </c>
      <c r="S4" s="459" t="s">
        <v>248</v>
      </c>
      <c r="T4" s="459" t="s">
        <v>262</v>
      </c>
      <c r="U4" s="460" t="s">
        <v>1000</v>
      </c>
      <c r="V4" s="461"/>
      <c r="W4" s="462" t="s">
        <v>247</v>
      </c>
      <c r="X4" s="461"/>
      <c r="Y4" s="462" t="s">
        <v>260</v>
      </c>
      <c r="Z4" s="461"/>
      <c r="AA4" s="463" t="s">
        <v>261</v>
      </c>
      <c r="AD4" s="240">
        <v>7</v>
      </c>
    </row>
    <row r="5" spans="1:30" ht="13.5" thickTop="1">
      <c r="A5" s="645" t="s">
        <v>1806</v>
      </c>
      <c r="B5" s="429">
        <v>1</v>
      </c>
      <c r="C5" s="429" t="s">
        <v>1811</v>
      </c>
      <c r="D5" s="429">
        <v>36</v>
      </c>
      <c r="E5" s="429">
        <v>84</v>
      </c>
      <c r="F5" s="430">
        <f>($D5*$E5)/144</f>
        <v>21</v>
      </c>
      <c r="G5" s="642">
        <v>32000</v>
      </c>
      <c r="H5" s="430">
        <v>1708</v>
      </c>
      <c r="I5" s="436">
        <v>5</v>
      </c>
      <c r="J5" s="429" t="s">
        <v>1318</v>
      </c>
      <c r="K5" s="429" t="s">
        <v>1817</v>
      </c>
      <c r="L5" s="647" t="s">
        <v>1818</v>
      </c>
      <c r="M5" s="649">
        <f>($F5*$I5)</f>
        <v>105</v>
      </c>
      <c r="N5" s="650" t="str">
        <f>VLOOKUP($T5,'Actuator Reference'!$B$56:$H$81,7)</f>
        <v>62</v>
      </c>
      <c r="O5" s="651">
        <v>0.8</v>
      </c>
      <c r="P5" s="649">
        <f>($M5/$N5)*$O5</f>
        <v>1.3548387096774195</v>
      </c>
      <c r="Q5" s="652" t="s">
        <v>256</v>
      </c>
      <c r="R5" s="653">
        <f>ROUNDUP($P5,0)</f>
        <v>2</v>
      </c>
      <c r="S5" s="652" t="s">
        <v>252</v>
      </c>
      <c r="T5" s="654" t="s">
        <v>1081</v>
      </c>
      <c r="U5" s="653" t="str">
        <f>VLOOKUP($T5,'Actuator Reference'!$B$56:$H$81,2)</f>
        <v>Elec</v>
      </c>
      <c r="V5" s="655"/>
      <c r="W5" s="655" t="str">
        <f>VLOOKUP($T5,'Actuator Reference'!$B$56:$H$81,6)</f>
        <v>24V</v>
      </c>
      <c r="X5" s="655"/>
      <c r="Y5" s="655" t="str">
        <f>VLOOKUP($T5,'Actuator Reference'!$B$56:$H$81,4)</f>
        <v>0-10V</v>
      </c>
      <c r="Z5" s="655"/>
      <c r="AA5" s="656" t="str">
        <f>VLOOKUP($T5,'Actuator Reference'!$B$56:$H$81,5)</f>
        <v>SR</v>
      </c>
      <c r="AD5" s="240">
        <v>10</v>
      </c>
    </row>
    <row r="6" spans="1:30">
      <c r="A6" s="646" t="s">
        <v>1808</v>
      </c>
      <c r="B6" s="451">
        <v>1</v>
      </c>
      <c r="C6" s="451" t="s">
        <v>1812</v>
      </c>
      <c r="D6" s="451">
        <v>84</v>
      </c>
      <c r="E6" s="451">
        <v>42</v>
      </c>
      <c r="F6" s="435">
        <f t="shared" ref="F6:F9" si="0">($D6*$E6)/144</f>
        <v>24.5</v>
      </c>
      <c r="G6" s="641">
        <v>32000</v>
      </c>
      <c r="H6" s="435">
        <v>1506</v>
      </c>
      <c r="I6" s="436">
        <v>7</v>
      </c>
      <c r="J6" s="451" t="s">
        <v>1318</v>
      </c>
      <c r="K6" s="451" t="s">
        <v>1816</v>
      </c>
      <c r="L6" s="648" t="s">
        <v>1818</v>
      </c>
      <c r="M6" s="657">
        <f t="shared" ref="M6:M9" si="1">($F6*$I6)</f>
        <v>171.5</v>
      </c>
      <c r="N6" s="658" t="e">
        <f>VLOOKUP($T6,'Actuator Reference'!$B$56:$H$81,7)</f>
        <v>#N/A</v>
      </c>
      <c r="O6" s="659">
        <v>0.8</v>
      </c>
      <c r="P6" s="657" t="e">
        <f t="shared" ref="P6:P7" si="2">($M6/$N6)*$O6</f>
        <v>#N/A</v>
      </c>
      <c r="Q6" s="660" t="s">
        <v>1847</v>
      </c>
      <c r="R6" s="661" t="e">
        <f t="shared" ref="R6:R9" si="3">ROUNDUP($P6,0)</f>
        <v>#N/A</v>
      </c>
      <c r="S6" s="660" t="s">
        <v>252</v>
      </c>
      <c r="T6" s="662"/>
      <c r="U6" s="661" t="e">
        <f>VLOOKUP($T6,'Actuator Reference'!$B$56:$H$81,2)</f>
        <v>#N/A</v>
      </c>
      <c r="V6" s="663"/>
      <c r="W6" s="663" t="e">
        <f>VLOOKUP($T6,'Actuator Reference'!$B$56:$H$81,6)</f>
        <v>#N/A</v>
      </c>
      <c r="X6" s="663"/>
      <c r="Y6" s="663" t="e">
        <f>VLOOKUP($T6,'Actuator Reference'!$B$56:$H$81,4)</f>
        <v>#N/A</v>
      </c>
      <c r="Z6" s="663"/>
      <c r="AA6" s="664" t="e">
        <f>VLOOKUP($T6,'Actuator Reference'!$B$56:$H$81,5)</f>
        <v>#N/A</v>
      </c>
    </row>
    <row r="7" spans="1:30">
      <c r="A7" s="646" t="s">
        <v>1807</v>
      </c>
      <c r="B7" s="451">
        <v>1</v>
      </c>
      <c r="C7" s="451" t="s">
        <v>1813</v>
      </c>
      <c r="D7" s="451">
        <v>84</v>
      </c>
      <c r="E7" s="451">
        <v>42</v>
      </c>
      <c r="F7" s="435">
        <f t="shared" si="0"/>
        <v>24.5</v>
      </c>
      <c r="G7" s="641">
        <v>32000</v>
      </c>
      <c r="H7" s="435">
        <v>1506</v>
      </c>
      <c r="I7" s="436">
        <v>7</v>
      </c>
      <c r="J7" s="451" t="s">
        <v>1318</v>
      </c>
      <c r="K7" s="451" t="s">
        <v>1816</v>
      </c>
      <c r="L7" s="648" t="s">
        <v>1818</v>
      </c>
      <c r="M7" s="657">
        <f>($F7*$I7)</f>
        <v>171.5</v>
      </c>
      <c r="N7" s="658" t="e">
        <f>VLOOKUP($T7,'Actuator Reference'!$B$56:$H$81,7)</f>
        <v>#N/A</v>
      </c>
      <c r="O7" s="659">
        <v>0.8</v>
      </c>
      <c r="P7" s="657" t="e">
        <f t="shared" si="2"/>
        <v>#N/A</v>
      </c>
      <c r="Q7" s="660" t="s">
        <v>1848</v>
      </c>
      <c r="R7" s="661" t="e">
        <f t="shared" si="3"/>
        <v>#N/A</v>
      </c>
      <c r="S7" s="660" t="s">
        <v>252</v>
      </c>
      <c r="T7" s="662"/>
      <c r="U7" s="661" t="e">
        <f>VLOOKUP($T7,'Actuator Reference'!$B$56:$H$81,2)</f>
        <v>#N/A</v>
      </c>
      <c r="V7" s="663"/>
      <c r="W7" s="663" t="e">
        <f>VLOOKUP($T7,'Actuator Reference'!$B$56:$H$81,6)</f>
        <v>#N/A</v>
      </c>
      <c r="X7" s="663"/>
      <c r="Y7" s="663" t="e">
        <f>VLOOKUP($T7,'Actuator Reference'!$B$56:$H$81,4)</f>
        <v>#N/A</v>
      </c>
      <c r="Z7" s="663"/>
      <c r="AA7" s="664" t="e">
        <f>VLOOKUP($T7,'Actuator Reference'!$B$56:$H$81,5)</f>
        <v>#N/A</v>
      </c>
    </row>
    <row r="8" spans="1:30">
      <c r="A8" s="646" t="s">
        <v>1809</v>
      </c>
      <c r="B8" s="451">
        <v>1</v>
      </c>
      <c r="C8" s="451" t="s">
        <v>1814</v>
      </c>
      <c r="D8" s="451">
        <v>18</v>
      </c>
      <c r="E8" s="451">
        <v>84</v>
      </c>
      <c r="F8" s="435">
        <f t="shared" si="0"/>
        <v>10.5</v>
      </c>
      <c r="G8" s="641"/>
      <c r="H8" s="435">
        <f t="shared" ref="H8" si="4">($G8/$F8)</f>
        <v>0</v>
      </c>
      <c r="I8" s="436"/>
      <c r="J8" s="451" t="s">
        <v>1318</v>
      </c>
      <c r="K8" s="451"/>
      <c r="L8" s="648" t="s">
        <v>1850</v>
      </c>
      <c r="M8" s="657" t="s">
        <v>580</v>
      </c>
      <c r="N8" s="658" t="s">
        <v>580</v>
      </c>
      <c r="O8" s="659" t="s">
        <v>580</v>
      </c>
      <c r="P8" s="657" t="s">
        <v>580</v>
      </c>
      <c r="Q8" s="660" t="s">
        <v>580</v>
      </c>
      <c r="R8" s="661" t="s">
        <v>580</v>
      </c>
      <c r="S8" s="660" t="s">
        <v>1851</v>
      </c>
      <c r="T8" s="662" t="s">
        <v>1852</v>
      </c>
      <c r="U8" s="661" t="s">
        <v>580</v>
      </c>
      <c r="V8" s="663"/>
      <c r="W8" s="663" t="s">
        <v>580</v>
      </c>
      <c r="X8" s="663"/>
      <c r="Y8" s="663" t="s">
        <v>580</v>
      </c>
      <c r="Z8" s="663"/>
      <c r="AA8" s="664" t="s">
        <v>580</v>
      </c>
    </row>
    <row r="9" spans="1:30">
      <c r="A9" s="646" t="s">
        <v>1810</v>
      </c>
      <c r="B9" s="451">
        <v>1</v>
      </c>
      <c r="C9" s="451" t="s">
        <v>1815</v>
      </c>
      <c r="D9" s="451">
        <v>54</v>
      </c>
      <c r="E9" s="451">
        <v>84</v>
      </c>
      <c r="F9" s="435">
        <f t="shared" si="0"/>
        <v>31.5</v>
      </c>
      <c r="G9" s="641">
        <v>27000</v>
      </c>
      <c r="H9" s="435">
        <v>983</v>
      </c>
      <c r="I9" s="436">
        <v>5</v>
      </c>
      <c r="J9" s="451" t="s">
        <v>1318</v>
      </c>
      <c r="K9" s="451" t="s">
        <v>1817</v>
      </c>
      <c r="L9" s="648" t="s">
        <v>1818</v>
      </c>
      <c r="M9" s="657">
        <f t="shared" si="1"/>
        <v>157.5</v>
      </c>
      <c r="N9" s="658" t="e">
        <f>VLOOKUP($T9,'Actuator Reference'!$B$56:$H$81,7)</f>
        <v>#N/A</v>
      </c>
      <c r="O9" s="659">
        <v>0.8</v>
      </c>
      <c r="P9" s="657" t="e">
        <f>($M9/$N9)*$O9</f>
        <v>#N/A</v>
      </c>
      <c r="Q9" s="660" t="s">
        <v>1849</v>
      </c>
      <c r="R9" s="661" t="e">
        <f t="shared" si="3"/>
        <v>#N/A</v>
      </c>
      <c r="S9" s="660" t="s">
        <v>252</v>
      </c>
      <c r="T9" s="662"/>
      <c r="U9" s="661" t="e">
        <f>VLOOKUP($T9,'Actuator Reference'!$B$56:$H$81,2)</f>
        <v>#N/A</v>
      </c>
      <c r="V9" s="663"/>
      <c r="W9" s="663" t="e">
        <f>VLOOKUP($T9,'Actuator Reference'!$B$56:$H$81,6)</f>
        <v>#N/A</v>
      </c>
      <c r="X9" s="663"/>
      <c r="Y9" s="663" t="e">
        <f>VLOOKUP($T9,'Actuator Reference'!$B$56:$H$81,4)</f>
        <v>#N/A</v>
      </c>
      <c r="Z9" s="663"/>
      <c r="AA9" s="664" t="e">
        <f>VLOOKUP($T9,'Actuator Reference'!$B$56:$H$81,5)</f>
        <v>#N/A</v>
      </c>
    </row>
    <row r="10" spans="1:30">
      <c r="A10" s="646"/>
      <c r="B10" s="451"/>
      <c r="C10" s="451"/>
      <c r="D10" s="451"/>
      <c r="E10" s="451"/>
      <c r="F10" s="435"/>
      <c r="G10" s="641"/>
      <c r="H10" s="435"/>
      <c r="I10" s="436"/>
      <c r="J10" s="451"/>
      <c r="K10" s="451"/>
      <c r="L10" s="648"/>
      <c r="M10" s="657"/>
      <c r="N10" s="658"/>
      <c r="O10" s="659"/>
      <c r="P10" s="657"/>
      <c r="Q10" s="660"/>
      <c r="R10" s="661"/>
      <c r="S10" s="660"/>
      <c r="T10" s="660"/>
      <c r="U10" s="661"/>
      <c r="V10" s="665"/>
      <c r="W10" s="665"/>
      <c r="X10" s="665"/>
      <c r="Y10" s="665"/>
      <c r="Z10" s="665"/>
      <c r="AA10" s="664"/>
    </row>
    <row r="11" spans="1:30">
      <c r="A11" s="646" t="s">
        <v>1819</v>
      </c>
      <c r="B11" s="451">
        <v>1</v>
      </c>
      <c r="C11" s="451" t="s">
        <v>1811</v>
      </c>
      <c r="D11" s="451">
        <v>36</v>
      </c>
      <c r="E11" s="451">
        <v>84</v>
      </c>
      <c r="F11" s="435">
        <f>($D11*$E11)/144</f>
        <v>21</v>
      </c>
      <c r="G11" s="641">
        <v>32000</v>
      </c>
      <c r="H11" s="435">
        <v>1708</v>
      </c>
      <c r="I11" s="436">
        <v>5</v>
      </c>
      <c r="J11" s="451" t="s">
        <v>1318</v>
      </c>
      <c r="K11" s="451" t="s">
        <v>1817</v>
      </c>
      <c r="L11" s="648" t="s">
        <v>1818</v>
      </c>
      <c r="M11" s="657">
        <f>($F11*$I11)</f>
        <v>105</v>
      </c>
      <c r="N11" s="658" t="e">
        <f>VLOOKUP($T11,'Actuator Reference'!$B$56:$H$81,7)</f>
        <v>#N/A</v>
      </c>
      <c r="O11" s="659">
        <v>0.8</v>
      </c>
      <c r="P11" s="657" t="e">
        <f>($M11/$N11)*$O11</f>
        <v>#N/A</v>
      </c>
      <c r="Q11" s="660" t="s">
        <v>256</v>
      </c>
      <c r="R11" s="661" t="e">
        <f>ROUNDUP($P11,0)</f>
        <v>#N/A</v>
      </c>
      <c r="S11" s="660" t="s">
        <v>252</v>
      </c>
      <c r="T11" s="662"/>
      <c r="U11" s="661" t="e">
        <f>VLOOKUP($T11,'Actuator Reference'!$B$56:$H$81,2)</f>
        <v>#N/A</v>
      </c>
      <c r="V11" s="663"/>
      <c r="W11" s="663" t="e">
        <f>VLOOKUP($T11,'Actuator Reference'!$B$56:$H$81,6)</f>
        <v>#N/A</v>
      </c>
      <c r="X11" s="663"/>
      <c r="Y11" s="663" t="e">
        <f>VLOOKUP($T11,'Actuator Reference'!$B$56:$H$81,4)</f>
        <v>#N/A</v>
      </c>
      <c r="Z11" s="663"/>
      <c r="AA11" s="664" t="e">
        <f>VLOOKUP($T11,'Actuator Reference'!$B$56:$H$81,5)</f>
        <v>#N/A</v>
      </c>
    </row>
    <row r="12" spans="1:30">
      <c r="A12" s="646" t="s">
        <v>1820</v>
      </c>
      <c r="B12" s="451">
        <v>1</v>
      </c>
      <c r="C12" s="451" t="s">
        <v>1812</v>
      </c>
      <c r="D12" s="451">
        <v>84</v>
      </c>
      <c r="E12" s="451">
        <v>42</v>
      </c>
      <c r="F12" s="435">
        <f t="shared" ref="F12:F39" si="5">($D12*$E12)/144</f>
        <v>24.5</v>
      </c>
      <c r="G12" s="641">
        <v>32000</v>
      </c>
      <c r="H12" s="435">
        <v>1506</v>
      </c>
      <c r="I12" s="436">
        <v>7</v>
      </c>
      <c r="J12" s="451" t="s">
        <v>1318</v>
      </c>
      <c r="K12" s="451" t="s">
        <v>1816</v>
      </c>
      <c r="L12" s="648" t="s">
        <v>1818</v>
      </c>
      <c r="M12" s="657">
        <f t="shared" ref="M12:M15" si="6">($F12*$I12)</f>
        <v>171.5</v>
      </c>
      <c r="N12" s="658" t="e">
        <f>VLOOKUP($T12,'Actuator Reference'!$B$56:$H$81,7)</f>
        <v>#N/A</v>
      </c>
      <c r="O12" s="659">
        <v>0.8</v>
      </c>
      <c r="P12" s="657" t="e">
        <f t="shared" ref="P12:P15" si="7">($M12/$N12)*$O12</f>
        <v>#N/A</v>
      </c>
      <c r="Q12" s="660" t="s">
        <v>1847</v>
      </c>
      <c r="R12" s="661" t="e">
        <f t="shared" ref="R12:R15" si="8">ROUNDUP($P12,0)</f>
        <v>#N/A</v>
      </c>
      <c r="S12" s="660" t="s">
        <v>252</v>
      </c>
      <c r="T12" s="662"/>
      <c r="U12" s="661" t="e">
        <f>VLOOKUP($T12,'Actuator Reference'!$B$56:$H$81,2)</f>
        <v>#N/A</v>
      </c>
      <c r="V12" s="663"/>
      <c r="W12" s="663" t="e">
        <f>VLOOKUP($T12,'Actuator Reference'!$B$56:$H$81,6)</f>
        <v>#N/A</v>
      </c>
      <c r="X12" s="663"/>
      <c r="Y12" s="663" t="e">
        <f>VLOOKUP($T12,'Actuator Reference'!$B$56:$H$81,4)</f>
        <v>#N/A</v>
      </c>
      <c r="Z12" s="663"/>
      <c r="AA12" s="664" t="e">
        <f>VLOOKUP($T12,'Actuator Reference'!$B$56:$H$81,5)</f>
        <v>#N/A</v>
      </c>
    </row>
    <row r="13" spans="1:30">
      <c r="A13" s="646" t="s">
        <v>1821</v>
      </c>
      <c r="B13" s="451">
        <v>1</v>
      </c>
      <c r="C13" s="451" t="s">
        <v>1813</v>
      </c>
      <c r="D13" s="451">
        <v>84</v>
      </c>
      <c r="E13" s="451">
        <v>42</v>
      </c>
      <c r="F13" s="435">
        <f t="shared" si="5"/>
        <v>24.5</v>
      </c>
      <c r="G13" s="641">
        <v>32000</v>
      </c>
      <c r="H13" s="435">
        <v>1506</v>
      </c>
      <c r="I13" s="436">
        <v>7</v>
      </c>
      <c r="J13" s="451" t="s">
        <v>1318</v>
      </c>
      <c r="K13" s="451" t="s">
        <v>1816</v>
      </c>
      <c r="L13" s="648" t="s">
        <v>1818</v>
      </c>
      <c r="M13" s="657">
        <f t="shared" si="6"/>
        <v>171.5</v>
      </c>
      <c r="N13" s="658" t="e">
        <f>VLOOKUP($T13,'Actuator Reference'!$B$56:$H$81,7)</f>
        <v>#N/A</v>
      </c>
      <c r="O13" s="659">
        <v>0.8</v>
      </c>
      <c r="P13" s="657" t="e">
        <f t="shared" si="7"/>
        <v>#N/A</v>
      </c>
      <c r="Q13" s="660" t="s">
        <v>1848</v>
      </c>
      <c r="R13" s="661" t="e">
        <f t="shared" si="8"/>
        <v>#N/A</v>
      </c>
      <c r="S13" s="660" t="s">
        <v>252</v>
      </c>
      <c r="T13" s="662"/>
      <c r="U13" s="661" t="e">
        <f>VLOOKUP($T13,'Actuator Reference'!$B$56:$H$81,2)</f>
        <v>#N/A</v>
      </c>
      <c r="V13" s="663"/>
      <c r="W13" s="663" t="e">
        <f>VLOOKUP($T13,'Actuator Reference'!$B$56:$H$81,6)</f>
        <v>#N/A</v>
      </c>
      <c r="X13" s="663"/>
      <c r="Y13" s="663" t="e">
        <f>VLOOKUP($T13,'Actuator Reference'!$B$56:$H$81,4)</f>
        <v>#N/A</v>
      </c>
      <c r="Z13" s="663"/>
      <c r="AA13" s="664" t="e">
        <f>VLOOKUP($T13,'Actuator Reference'!$B$56:$H$81,5)</f>
        <v>#N/A</v>
      </c>
    </row>
    <row r="14" spans="1:30">
      <c r="A14" s="646" t="s">
        <v>1822</v>
      </c>
      <c r="B14" s="451">
        <v>1</v>
      </c>
      <c r="C14" s="451" t="s">
        <v>1814</v>
      </c>
      <c r="D14" s="451">
        <v>18</v>
      </c>
      <c r="E14" s="451">
        <v>84</v>
      </c>
      <c r="F14" s="435">
        <f t="shared" si="5"/>
        <v>10.5</v>
      </c>
      <c r="G14" s="641"/>
      <c r="H14" s="435">
        <f t="shared" ref="H14" si="9">($G14/$F14)</f>
        <v>0</v>
      </c>
      <c r="I14" s="436"/>
      <c r="J14" s="451" t="s">
        <v>1318</v>
      </c>
      <c r="K14" s="451"/>
      <c r="L14" s="648" t="s">
        <v>1850</v>
      </c>
      <c r="M14" s="657" t="s">
        <v>580</v>
      </c>
      <c r="N14" s="658" t="s">
        <v>580</v>
      </c>
      <c r="O14" s="659" t="s">
        <v>580</v>
      </c>
      <c r="P14" s="657" t="s">
        <v>580</v>
      </c>
      <c r="Q14" s="660" t="s">
        <v>580</v>
      </c>
      <c r="R14" s="661" t="s">
        <v>580</v>
      </c>
      <c r="S14" s="660" t="s">
        <v>1851</v>
      </c>
      <c r="T14" s="662" t="s">
        <v>1852</v>
      </c>
      <c r="U14" s="661" t="s">
        <v>580</v>
      </c>
      <c r="V14" s="663"/>
      <c r="W14" s="663" t="s">
        <v>580</v>
      </c>
      <c r="X14" s="663"/>
      <c r="Y14" s="663" t="s">
        <v>580</v>
      </c>
      <c r="Z14" s="663"/>
      <c r="AA14" s="664" t="s">
        <v>580</v>
      </c>
    </row>
    <row r="15" spans="1:30">
      <c r="A15" s="646" t="s">
        <v>1823</v>
      </c>
      <c r="B15" s="451">
        <v>1</v>
      </c>
      <c r="C15" s="451" t="s">
        <v>1815</v>
      </c>
      <c r="D15" s="451">
        <v>54</v>
      </c>
      <c r="E15" s="451">
        <v>84</v>
      </c>
      <c r="F15" s="435">
        <f t="shared" si="5"/>
        <v>31.5</v>
      </c>
      <c r="G15" s="641">
        <v>27000</v>
      </c>
      <c r="H15" s="435">
        <v>983</v>
      </c>
      <c r="I15" s="436">
        <v>5</v>
      </c>
      <c r="J15" s="451" t="s">
        <v>1318</v>
      </c>
      <c r="K15" s="451" t="s">
        <v>1817</v>
      </c>
      <c r="L15" s="648" t="s">
        <v>1818</v>
      </c>
      <c r="M15" s="657">
        <f t="shared" si="6"/>
        <v>157.5</v>
      </c>
      <c r="N15" s="658" t="e">
        <f>VLOOKUP($T15,'Actuator Reference'!$B$56:$H$81,7)</f>
        <v>#N/A</v>
      </c>
      <c r="O15" s="659">
        <v>0.8</v>
      </c>
      <c r="P15" s="657" t="e">
        <f t="shared" si="7"/>
        <v>#N/A</v>
      </c>
      <c r="Q15" s="660" t="s">
        <v>1849</v>
      </c>
      <c r="R15" s="661" t="e">
        <f t="shared" si="8"/>
        <v>#N/A</v>
      </c>
      <c r="S15" s="660" t="s">
        <v>252</v>
      </c>
      <c r="T15" s="662"/>
      <c r="U15" s="661" t="e">
        <f>VLOOKUP($T15,'Actuator Reference'!$B$56:$H$81,2)</f>
        <v>#N/A</v>
      </c>
      <c r="V15" s="663"/>
      <c r="W15" s="663" t="e">
        <f>VLOOKUP($T15,'Actuator Reference'!$B$56:$H$81,6)</f>
        <v>#N/A</v>
      </c>
      <c r="X15" s="663"/>
      <c r="Y15" s="663" t="e">
        <f>VLOOKUP($T15,'Actuator Reference'!$B$56:$H$81,4)</f>
        <v>#N/A</v>
      </c>
      <c r="Z15" s="663"/>
      <c r="AA15" s="664" t="e">
        <f>VLOOKUP($T15,'Actuator Reference'!$B$56:$H$81,5)</f>
        <v>#N/A</v>
      </c>
    </row>
    <row r="16" spans="1:30">
      <c r="A16" s="646"/>
      <c r="B16" s="451"/>
      <c r="C16" s="451"/>
      <c r="D16" s="451"/>
      <c r="E16" s="451"/>
      <c r="F16" s="435"/>
      <c r="G16" s="641"/>
      <c r="H16" s="435"/>
      <c r="I16" s="436"/>
      <c r="J16" s="451"/>
      <c r="K16" s="451"/>
      <c r="L16" s="648"/>
      <c r="M16" s="657"/>
      <c r="N16" s="658"/>
      <c r="O16" s="659"/>
      <c r="P16" s="657"/>
      <c r="Q16" s="660"/>
      <c r="R16" s="661"/>
      <c r="S16" s="660"/>
      <c r="T16" s="660"/>
      <c r="U16" s="661"/>
      <c r="V16" s="665"/>
      <c r="W16" s="665"/>
      <c r="X16" s="665"/>
      <c r="Y16" s="665"/>
      <c r="Z16" s="665"/>
      <c r="AA16" s="664"/>
    </row>
    <row r="17" spans="1:27">
      <c r="A17" s="646" t="s">
        <v>1824</v>
      </c>
      <c r="B17" s="451">
        <v>1</v>
      </c>
      <c r="C17" s="451" t="s">
        <v>1811</v>
      </c>
      <c r="D17" s="451">
        <v>60</v>
      </c>
      <c r="E17" s="451">
        <v>114</v>
      </c>
      <c r="F17" s="435">
        <f t="shared" si="5"/>
        <v>47.5</v>
      </c>
      <c r="G17" s="641">
        <v>64000</v>
      </c>
      <c r="H17" s="435">
        <v>1543</v>
      </c>
      <c r="I17" s="436">
        <v>5</v>
      </c>
      <c r="J17" s="451" t="s">
        <v>1318</v>
      </c>
      <c r="K17" s="451" t="s">
        <v>1817</v>
      </c>
      <c r="L17" s="648" t="s">
        <v>1846</v>
      </c>
      <c r="M17" s="657">
        <f>($F17*$I17)</f>
        <v>237.5</v>
      </c>
      <c r="N17" s="658" t="e">
        <f>VLOOKUP($T17,'Actuator Reference'!$B$56:$H$81,7)</f>
        <v>#N/A</v>
      </c>
      <c r="O17" s="659">
        <v>0.8</v>
      </c>
      <c r="P17" s="657" t="e">
        <f>($M17/$N17)*$O17</f>
        <v>#N/A</v>
      </c>
      <c r="Q17" s="660" t="s">
        <v>256</v>
      </c>
      <c r="R17" s="661" t="e">
        <f>ROUNDUP($P17,0)</f>
        <v>#N/A</v>
      </c>
      <c r="S17" s="660" t="s">
        <v>252</v>
      </c>
      <c r="T17" s="662"/>
      <c r="U17" s="661" t="e">
        <f>VLOOKUP($T17,'Actuator Reference'!$B$56:$H$81,2)</f>
        <v>#N/A</v>
      </c>
      <c r="V17" s="663"/>
      <c r="W17" s="663" t="e">
        <f>VLOOKUP($T17,'Actuator Reference'!$B$56:$H$81,6)</f>
        <v>#N/A</v>
      </c>
      <c r="X17" s="663"/>
      <c r="Y17" s="663" t="e">
        <f>VLOOKUP($T17,'Actuator Reference'!$B$56:$H$81,4)</f>
        <v>#N/A</v>
      </c>
      <c r="Z17" s="663"/>
      <c r="AA17" s="664" t="e">
        <f>VLOOKUP($T17,'Actuator Reference'!$B$56:$H$81,5)</f>
        <v>#N/A</v>
      </c>
    </row>
    <row r="18" spans="1:27">
      <c r="A18" s="646" t="s">
        <v>1825</v>
      </c>
      <c r="B18" s="451">
        <v>1</v>
      </c>
      <c r="C18" s="451" t="s">
        <v>1812</v>
      </c>
      <c r="D18" s="451">
        <v>114</v>
      </c>
      <c r="E18" s="451">
        <v>72</v>
      </c>
      <c r="F18" s="435">
        <f t="shared" si="5"/>
        <v>57</v>
      </c>
      <c r="G18" s="641">
        <v>64000</v>
      </c>
      <c r="H18" s="435">
        <v>1286</v>
      </c>
      <c r="I18" s="436">
        <v>7</v>
      </c>
      <c r="J18" s="451" t="s">
        <v>1318</v>
      </c>
      <c r="K18" s="451" t="s">
        <v>1816</v>
      </c>
      <c r="L18" s="648" t="s">
        <v>1846</v>
      </c>
      <c r="M18" s="657">
        <f t="shared" ref="M18:M21" si="10">($F18*$I18)</f>
        <v>399</v>
      </c>
      <c r="N18" s="658" t="e">
        <f>VLOOKUP($T18,'Actuator Reference'!$B$56:$H$81,7)</f>
        <v>#N/A</v>
      </c>
      <c r="O18" s="659">
        <v>0.8</v>
      </c>
      <c r="P18" s="657" t="e">
        <f t="shared" ref="P18:P21" si="11">($M18/$N18)*$O18</f>
        <v>#N/A</v>
      </c>
      <c r="Q18" s="660" t="s">
        <v>1847</v>
      </c>
      <c r="R18" s="661" t="e">
        <f t="shared" ref="R18:R21" si="12">ROUNDUP($P18,0)</f>
        <v>#N/A</v>
      </c>
      <c r="S18" s="660" t="s">
        <v>252</v>
      </c>
      <c r="T18" s="662"/>
      <c r="U18" s="661" t="e">
        <f>VLOOKUP($T18,'Actuator Reference'!$B$56:$H$81,2)</f>
        <v>#N/A</v>
      </c>
      <c r="V18" s="663"/>
      <c r="W18" s="663" t="e">
        <f>VLOOKUP($T18,'Actuator Reference'!$B$56:$H$81,6)</f>
        <v>#N/A</v>
      </c>
      <c r="X18" s="663"/>
      <c r="Y18" s="663" t="e">
        <f>VLOOKUP($T18,'Actuator Reference'!$B$56:$H$81,4)</f>
        <v>#N/A</v>
      </c>
      <c r="Z18" s="663"/>
      <c r="AA18" s="664" t="e">
        <f>VLOOKUP($T18,'Actuator Reference'!$B$56:$H$81,5)</f>
        <v>#N/A</v>
      </c>
    </row>
    <row r="19" spans="1:27">
      <c r="A19" s="646" t="s">
        <v>1826</v>
      </c>
      <c r="B19" s="451">
        <v>1</v>
      </c>
      <c r="C19" s="451" t="s">
        <v>1813</v>
      </c>
      <c r="D19" s="451">
        <v>114</v>
      </c>
      <c r="E19" s="451">
        <v>72</v>
      </c>
      <c r="F19" s="435">
        <f t="shared" si="5"/>
        <v>57</v>
      </c>
      <c r="G19" s="641">
        <v>64000</v>
      </c>
      <c r="H19" s="435">
        <v>1286</v>
      </c>
      <c r="I19" s="436">
        <v>7</v>
      </c>
      <c r="J19" s="451" t="s">
        <v>1318</v>
      </c>
      <c r="K19" s="451" t="s">
        <v>1816</v>
      </c>
      <c r="L19" s="648" t="s">
        <v>1846</v>
      </c>
      <c r="M19" s="657">
        <f t="shared" si="10"/>
        <v>399</v>
      </c>
      <c r="N19" s="658" t="e">
        <f>VLOOKUP($T19,'Actuator Reference'!$B$56:$H$81,7)</f>
        <v>#N/A</v>
      </c>
      <c r="O19" s="659">
        <v>0.8</v>
      </c>
      <c r="P19" s="657" t="e">
        <f t="shared" si="11"/>
        <v>#N/A</v>
      </c>
      <c r="Q19" s="660" t="s">
        <v>1848</v>
      </c>
      <c r="R19" s="661" t="e">
        <f t="shared" si="12"/>
        <v>#N/A</v>
      </c>
      <c r="S19" s="660" t="s">
        <v>252</v>
      </c>
      <c r="T19" s="662"/>
      <c r="U19" s="661" t="e">
        <f>VLOOKUP($T19,'Actuator Reference'!$B$56:$H$81,2)</f>
        <v>#N/A</v>
      </c>
      <c r="V19" s="663"/>
      <c r="W19" s="663" t="e">
        <f>VLOOKUP($T19,'Actuator Reference'!$B$56:$H$81,6)</f>
        <v>#N/A</v>
      </c>
      <c r="X19" s="663"/>
      <c r="Y19" s="663" t="e">
        <f>VLOOKUP($T19,'Actuator Reference'!$B$56:$H$81,4)</f>
        <v>#N/A</v>
      </c>
      <c r="Z19" s="663"/>
      <c r="AA19" s="664" t="e">
        <f>VLOOKUP($T19,'Actuator Reference'!$B$56:$H$81,5)</f>
        <v>#N/A</v>
      </c>
    </row>
    <row r="20" spans="1:27">
      <c r="A20" s="646" t="s">
        <v>1827</v>
      </c>
      <c r="B20" s="451">
        <v>1</v>
      </c>
      <c r="C20" s="451" t="s">
        <v>1814</v>
      </c>
      <c r="D20" s="451">
        <v>18</v>
      </c>
      <c r="E20" s="451">
        <v>114</v>
      </c>
      <c r="F20" s="435">
        <f t="shared" si="5"/>
        <v>14.25</v>
      </c>
      <c r="G20" s="641"/>
      <c r="H20" s="435"/>
      <c r="I20" s="436"/>
      <c r="J20" s="451" t="s">
        <v>1318</v>
      </c>
      <c r="K20" s="451"/>
      <c r="L20" s="648" t="s">
        <v>1850</v>
      </c>
      <c r="M20" s="657" t="s">
        <v>580</v>
      </c>
      <c r="N20" s="658" t="s">
        <v>580</v>
      </c>
      <c r="O20" s="659" t="s">
        <v>580</v>
      </c>
      <c r="P20" s="657" t="s">
        <v>580</v>
      </c>
      <c r="Q20" s="660" t="s">
        <v>580</v>
      </c>
      <c r="R20" s="661" t="s">
        <v>580</v>
      </c>
      <c r="S20" s="660" t="s">
        <v>1851</v>
      </c>
      <c r="T20" s="662" t="s">
        <v>1852</v>
      </c>
      <c r="U20" s="661" t="s">
        <v>580</v>
      </c>
      <c r="V20" s="663"/>
      <c r="W20" s="663" t="s">
        <v>580</v>
      </c>
      <c r="X20" s="663"/>
      <c r="Y20" s="663" t="s">
        <v>580</v>
      </c>
      <c r="Z20" s="663"/>
      <c r="AA20" s="664" t="s">
        <v>580</v>
      </c>
    </row>
    <row r="21" spans="1:27">
      <c r="A21" s="646" t="s">
        <v>1828</v>
      </c>
      <c r="B21" s="451">
        <v>1</v>
      </c>
      <c r="C21" s="451" t="s">
        <v>1815</v>
      </c>
      <c r="D21" s="451">
        <v>102</v>
      </c>
      <c r="E21" s="451">
        <v>102</v>
      </c>
      <c r="F21" s="435">
        <f t="shared" si="5"/>
        <v>72.25</v>
      </c>
      <c r="G21" s="641">
        <v>64000</v>
      </c>
      <c r="H21" s="435">
        <v>1017</v>
      </c>
      <c r="I21" s="436">
        <v>5</v>
      </c>
      <c r="J21" s="451" t="s">
        <v>1318</v>
      </c>
      <c r="K21" s="451" t="s">
        <v>1817</v>
      </c>
      <c r="L21" s="648" t="s">
        <v>1846</v>
      </c>
      <c r="M21" s="657">
        <f t="shared" si="10"/>
        <v>361.25</v>
      </c>
      <c r="N21" s="658" t="e">
        <f>VLOOKUP($T21,'Actuator Reference'!$B$56:$H$81,7)</f>
        <v>#N/A</v>
      </c>
      <c r="O21" s="659">
        <v>0.8</v>
      </c>
      <c r="P21" s="657" t="e">
        <f t="shared" si="11"/>
        <v>#N/A</v>
      </c>
      <c r="Q21" s="660" t="s">
        <v>1849</v>
      </c>
      <c r="R21" s="661" t="e">
        <f t="shared" si="12"/>
        <v>#N/A</v>
      </c>
      <c r="S21" s="660" t="s">
        <v>252</v>
      </c>
      <c r="T21" s="662"/>
      <c r="U21" s="661" t="e">
        <f>VLOOKUP($T21,'Actuator Reference'!$B$56:$H$81,2)</f>
        <v>#N/A</v>
      </c>
      <c r="V21" s="663"/>
      <c r="W21" s="663" t="e">
        <f>VLOOKUP($T21,'Actuator Reference'!$B$56:$H$81,6)</f>
        <v>#N/A</v>
      </c>
      <c r="X21" s="663"/>
      <c r="Y21" s="663" t="e">
        <f>VLOOKUP($T21,'Actuator Reference'!$B$56:$H$81,4)</f>
        <v>#N/A</v>
      </c>
      <c r="Z21" s="663"/>
      <c r="AA21" s="664" t="e">
        <f>VLOOKUP($T21,'Actuator Reference'!$B$56:$H$81,5)</f>
        <v>#N/A</v>
      </c>
    </row>
    <row r="22" spans="1:27">
      <c r="A22" s="441"/>
      <c r="B22" s="451"/>
      <c r="C22" s="451"/>
      <c r="D22" s="451"/>
      <c r="E22" s="451"/>
      <c r="F22" s="435"/>
      <c r="G22" s="641"/>
      <c r="H22" s="435"/>
      <c r="I22" s="436"/>
      <c r="J22" s="451"/>
      <c r="K22" s="451"/>
      <c r="L22" s="648"/>
      <c r="M22" s="657"/>
      <c r="N22" s="658"/>
      <c r="O22" s="659"/>
      <c r="P22" s="657"/>
      <c r="Q22" s="660"/>
      <c r="R22" s="661"/>
      <c r="S22" s="660"/>
      <c r="T22" s="660"/>
      <c r="U22" s="661"/>
      <c r="V22" s="665"/>
      <c r="W22" s="665"/>
      <c r="X22" s="665"/>
      <c r="Y22" s="665"/>
      <c r="Z22" s="665"/>
      <c r="AA22" s="664"/>
    </row>
    <row r="23" spans="1:27">
      <c r="A23" s="646" t="s">
        <v>1829</v>
      </c>
      <c r="B23" s="451">
        <v>1</v>
      </c>
      <c r="C23" s="451" t="s">
        <v>1811</v>
      </c>
      <c r="D23" s="451">
        <v>60</v>
      </c>
      <c r="E23" s="451">
        <v>114</v>
      </c>
      <c r="F23" s="435">
        <f t="shared" si="5"/>
        <v>47.5</v>
      </c>
      <c r="G23" s="641">
        <v>64000</v>
      </c>
      <c r="H23" s="435">
        <v>1543</v>
      </c>
      <c r="I23" s="436">
        <v>5</v>
      </c>
      <c r="J23" s="451" t="s">
        <v>1318</v>
      </c>
      <c r="K23" s="451" t="s">
        <v>1817</v>
      </c>
      <c r="L23" s="648" t="s">
        <v>1846</v>
      </c>
      <c r="M23" s="657">
        <f>($F23*$I23)</f>
        <v>237.5</v>
      </c>
      <c r="N23" s="658" t="e">
        <f>VLOOKUP($T23,'Actuator Reference'!$B$56:$H$81,7)</f>
        <v>#N/A</v>
      </c>
      <c r="O23" s="659">
        <v>0.8</v>
      </c>
      <c r="P23" s="657" t="e">
        <f>($M23/$N23)*$O23</f>
        <v>#N/A</v>
      </c>
      <c r="Q23" s="660" t="s">
        <v>256</v>
      </c>
      <c r="R23" s="661" t="e">
        <f>ROUNDUP($P23,0)</f>
        <v>#N/A</v>
      </c>
      <c r="S23" s="660" t="s">
        <v>252</v>
      </c>
      <c r="T23" s="662"/>
      <c r="U23" s="661" t="e">
        <f>VLOOKUP($T23,'Actuator Reference'!$B$56:$H$81,2)</f>
        <v>#N/A</v>
      </c>
      <c r="V23" s="663"/>
      <c r="W23" s="663" t="e">
        <f>VLOOKUP($T23,'Actuator Reference'!$B$56:$H$81,6)</f>
        <v>#N/A</v>
      </c>
      <c r="X23" s="663"/>
      <c r="Y23" s="663" t="e">
        <f>VLOOKUP($T23,'Actuator Reference'!$B$56:$H$81,4)</f>
        <v>#N/A</v>
      </c>
      <c r="Z23" s="663"/>
      <c r="AA23" s="664" t="e">
        <f>VLOOKUP($T23,'Actuator Reference'!$B$56:$H$81,5)</f>
        <v>#N/A</v>
      </c>
    </row>
    <row r="24" spans="1:27">
      <c r="A24" s="646" t="s">
        <v>1830</v>
      </c>
      <c r="B24" s="451">
        <v>1</v>
      </c>
      <c r="C24" s="451" t="s">
        <v>1812</v>
      </c>
      <c r="D24" s="451">
        <v>114</v>
      </c>
      <c r="E24" s="451">
        <v>72</v>
      </c>
      <c r="F24" s="435">
        <f t="shared" si="5"/>
        <v>57</v>
      </c>
      <c r="G24" s="641">
        <v>64000</v>
      </c>
      <c r="H24" s="435">
        <v>1286</v>
      </c>
      <c r="I24" s="436">
        <v>7</v>
      </c>
      <c r="J24" s="451" t="s">
        <v>1318</v>
      </c>
      <c r="K24" s="451" t="s">
        <v>1816</v>
      </c>
      <c r="L24" s="648" t="s">
        <v>1846</v>
      </c>
      <c r="M24" s="657">
        <f t="shared" ref="M24:M27" si="13">($F24*$I24)</f>
        <v>399</v>
      </c>
      <c r="N24" s="658" t="e">
        <f>VLOOKUP($T24,'Actuator Reference'!$B$56:$H$81,7)</f>
        <v>#N/A</v>
      </c>
      <c r="O24" s="659">
        <v>0.8</v>
      </c>
      <c r="P24" s="657" t="e">
        <f t="shared" ref="P24:P27" si="14">($M24/$N24)*$O24</f>
        <v>#N/A</v>
      </c>
      <c r="Q24" s="660" t="s">
        <v>1847</v>
      </c>
      <c r="R24" s="661" t="e">
        <f t="shared" ref="R24:R27" si="15">ROUNDUP($P24,0)</f>
        <v>#N/A</v>
      </c>
      <c r="S24" s="660" t="s">
        <v>252</v>
      </c>
      <c r="T24" s="662"/>
      <c r="U24" s="661" t="e">
        <f>VLOOKUP($T24,'Actuator Reference'!$B$56:$H$81,2)</f>
        <v>#N/A</v>
      </c>
      <c r="V24" s="663"/>
      <c r="W24" s="663" t="e">
        <f>VLOOKUP($T24,'Actuator Reference'!$B$56:$H$81,6)</f>
        <v>#N/A</v>
      </c>
      <c r="X24" s="663"/>
      <c r="Y24" s="663" t="e">
        <f>VLOOKUP($T24,'Actuator Reference'!$B$56:$H$81,4)</f>
        <v>#N/A</v>
      </c>
      <c r="Z24" s="663"/>
      <c r="AA24" s="664" t="e">
        <f>VLOOKUP($T24,'Actuator Reference'!$B$56:$H$81,5)</f>
        <v>#N/A</v>
      </c>
    </row>
    <row r="25" spans="1:27">
      <c r="A25" s="646" t="s">
        <v>1831</v>
      </c>
      <c r="B25" s="451">
        <v>1</v>
      </c>
      <c r="C25" s="451" t="s">
        <v>1813</v>
      </c>
      <c r="D25" s="451">
        <v>114</v>
      </c>
      <c r="E25" s="451">
        <v>72</v>
      </c>
      <c r="F25" s="435">
        <f t="shared" si="5"/>
        <v>57</v>
      </c>
      <c r="G25" s="641">
        <v>64000</v>
      </c>
      <c r="H25" s="435">
        <v>1286</v>
      </c>
      <c r="I25" s="436">
        <v>7</v>
      </c>
      <c r="J25" s="451" t="s">
        <v>1318</v>
      </c>
      <c r="K25" s="451" t="s">
        <v>1816</v>
      </c>
      <c r="L25" s="648" t="s">
        <v>1846</v>
      </c>
      <c r="M25" s="657">
        <f t="shared" si="13"/>
        <v>399</v>
      </c>
      <c r="N25" s="658" t="e">
        <f>VLOOKUP($T25,'Actuator Reference'!$B$56:$H$81,7)</f>
        <v>#N/A</v>
      </c>
      <c r="O25" s="659">
        <v>0.8</v>
      </c>
      <c r="P25" s="657" t="e">
        <f t="shared" si="14"/>
        <v>#N/A</v>
      </c>
      <c r="Q25" s="660" t="s">
        <v>1848</v>
      </c>
      <c r="R25" s="661" t="e">
        <f t="shared" si="15"/>
        <v>#N/A</v>
      </c>
      <c r="S25" s="660" t="s">
        <v>252</v>
      </c>
      <c r="T25" s="662"/>
      <c r="U25" s="661" t="e">
        <f>VLOOKUP($T25,'Actuator Reference'!$B$56:$H$81,2)</f>
        <v>#N/A</v>
      </c>
      <c r="V25" s="663"/>
      <c r="W25" s="663" t="e">
        <f>VLOOKUP($T25,'Actuator Reference'!$B$56:$H$81,6)</f>
        <v>#N/A</v>
      </c>
      <c r="X25" s="663"/>
      <c r="Y25" s="663" t="e">
        <f>VLOOKUP($T25,'Actuator Reference'!$B$56:$H$81,4)</f>
        <v>#N/A</v>
      </c>
      <c r="Z25" s="663"/>
      <c r="AA25" s="664" t="e">
        <f>VLOOKUP($T25,'Actuator Reference'!$B$56:$H$81,5)</f>
        <v>#N/A</v>
      </c>
    </row>
    <row r="26" spans="1:27">
      <c r="A26" s="646" t="s">
        <v>1832</v>
      </c>
      <c r="B26" s="451">
        <v>1</v>
      </c>
      <c r="C26" s="451" t="s">
        <v>1814</v>
      </c>
      <c r="D26" s="451">
        <v>18</v>
      </c>
      <c r="E26" s="451">
        <v>114</v>
      </c>
      <c r="F26" s="435">
        <f t="shared" si="5"/>
        <v>14.25</v>
      </c>
      <c r="G26" s="641"/>
      <c r="H26" s="435"/>
      <c r="I26" s="436"/>
      <c r="J26" s="451" t="s">
        <v>1318</v>
      </c>
      <c r="K26" s="451"/>
      <c r="L26" s="648" t="s">
        <v>1850</v>
      </c>
      <c r="M26" s="657" t="s">
        <v>580</v>
      </c>
      <c r="N26" s="658" t="s">
        <v>580</v>
      </c>
      <c r="O26" s="659" t="s">
        <v>580</v>
      </c>
      <c r="P26" s="657" t="s">
        <v>580</v>
      </c>
      <c r="Q26" s="660" t="s">
        <v>580</v>
      </c>
      <c r="R26" s="661" t="s">
        <v>580</v>
      </c>
      <c r="S26" s="660" t="s">
        <v>1851</v>
      </c>
      <c r="T26" s="662" t="s">
        <v>1852</v>
      </c>
      <c r="U26" s="661" t="s">
        <v>580</v>
      </c>
      <c r="V26" s="663"/>
      <c r="W26" s="663" t="s">
        <v>580</v>
      </c>
      <c r="X26" s="663"/>
      <c r="Y26" s="663" t="s">
        <v>580</v>
      </c>
      <c r="Z26" s="663"/>
      <c r="AA26" s="664" t="s">
        <v>580</v>
      </c>
    </row>
    <row r="27" spans="1:27">
      <c r="A27" s="646" t="s">
        <v>1833</v>
      </c>
      <c r="B27" s="451">
        <v>1</v>
      </c>
      <c r="C27" s="451" t="s">
        <v>1815</v>
      </c>
      <c r="D27" s="451">
        <v>102</v>
      </c>
      <c r="E27" s="451">
        <v>102</v>
      </c>
      <c r="F27" s="435">
        <f t="shared" si="5"/>
        <v>72.25</v>
      </c>
      <c r="G27" s="641">
        <v>64000</v>
      </c>
      <c r="H27" s="435">
        <v>1017</v>
      </c>
      <c r="I27" s="436">
        <v>5</v>
      </c>
      <c r="J27" s="451" t="s">
        <v>1318</v>
      </c>
      <c r="K27" s="451" t="s">
        <v>1817</v>
      </c>
      <c r="L27" s="648" t="s">
        <v>1846</v>
      </c>
      <c r="M27" s="657">
        <f t="shared" si="13"/>
        <v>361.25</v>
      </c>
      <c r="N27" s="658" t="e">
        <f>VLOOKUP($T27,'Actuator Reference'!$B$56:$H$81,7)</f>
        <v>#N/A</v>
      </c>
      <c r="O27" s="659">
        <v>0.8</v>
      </c>
      <c r="P27" s="657" t="e">
        <f t="shared" si="14"/>
        <v>#N/A</v>
      </c>
      <c r="Q27" s="660" t="s">
        <v>1849</v>
      </c>
      <c r="R27" s="661" t="e">
        <f t="shared" si="15"/>
        <v>#N/A</v>
      </c>
      <c r="S27" s="660" t="s">
        <v>252</v>
      </c>
      <c r="T27" s="662"/>
      <c r="U27" s="661" t="e">
        <f>VLOOKUP($T27,'Actuator Reference'!$B$56:$H$81,2)</f>
        <v>#N/A</v>
      </c>
      <c r="V27" s="663"/>
      <c r="W27" s="663" t="e">
        <f>VLOOKUP($T27,'Actuator Reference'!$B$56:$H$81,6)</f>
        <v>#N/A</v>
      </c>
      <c r="X27" s="663"/>
      <c r="Y27" s="663" t="e">
        <f>VLOOKUP($T27,'Actuator Reference'!$B$56:$H$81,4)</f>
        <v>#N/A</v>
      </c>
      <c r="Z27" s="663"/>
      <c r="AA27" s="664" t="e">
        <f>VLOOKUP($T27,'Actuator Reference'!$B$56:$H$81,5)</f>
        <v>#N/A</v>
      </c>
    </row>
    <row r="28" spans="1:27">
      <c r="A28" s="441"/>
      <c r="B28" s="451"/>
      <c r="C28" s="451"/>
      <c r="D28" s="451"/>
      <c r="E28" s="451"/>
      <c r="F28" s="435"/>
      <c r="G28" s="641"/>
      <c r="H28" s="435"/>
      <c r="I28" s="436"/>
      <c r="J28" s="451"/>
      <c r="K28" s="451"/>
      <c r="L28" s="648"/>
      <c r="M28" s="657"/>
      <c r="N28" s="658"/>
      <c r="O28" s="659"/>
      <c r="P28" s="657"/>
      <c r="Q28" s="660"/>
      <c r="R28" s="661"/>
      <c r="S28" s="660"/>
      <c r="T28" s="660"/>
      <c r="U28" s="661"/>
      <c r="V28" s="665"/>
      <c r="W28" s="665"/>
      <c r="X28" s="665"/>
      <c r="Y28" s="665"/>
      <c r="Z28" s="665"/>
      <c r="AA28" s="664"/>
    </row>
    <row r="29" spans="1:27">
      <c r="A29" s="646" t="s">
        <v>1834</v>
      </c>
      <c r="B29" s="451">
        <v>1</v>
      </c>
      <c r="C29" s="451" t="s">
        <v>1811</v>
      </c>
      <c r="D29" s="451">
        <v>54</v>
      </c>
      <c r="E29" s="451">
        <v>114</v>
      </c>
      <c r="F29" s="435">
        <f t="shared" si="5"/>
        <v>42.75</v>
      </c>
      <c r="G29" s="641">
        <v>54000</v>
      </c>
      <c r="H29" s="435">
        <v>1449</v>
      </c>
      <c r="I29" s="436">
        <v>5</v>
      </c>
      <c r="J29" s="451" t="s">
        <v>1318</v>
      </c>
      <c r="K29" s="451" t="s">
        <v>1817</v>
      </c>
      <c r="L29" s="648" t="s">
        <v>1846</v>
      </c>
      <c r="M29" s="657">
        <f>($F29*$I29)</f>
        <v>213.75</v>
      </c>
      <c r="N29" s="658" t="e">
        <f>VLOOKUP($T29,'Actuator Reference'!$B$56:$H$81,7)</f>
        <v>#N/A</v>
      </c>
      <c r="O29" s="659">
        <v>0.8</v>
      </c>
      <c r="P29" s="657" t="e">
        <f>($M29/$N29)*$O29</f>
        <v>#N/A</v>
      </c>
      <c r="Q29" s="660" t="s">
        <v>256</v>
      </c>
      <c r="R29" s="661" t="e">
        <f>ROUNDUP($P29,0)</f>
        <v>#N/A</v>
      </c>
      <c r="S29" s="660" t="s">
        <v>252</v>
      </c>
      <c r="T29" s="662"/>
      <c r="U29" s="661" t="e">
        <f>VLOOKUP($T29,'Actuator Reference'!$B$56:$H$81,2)</f>
        <v>#N/A</v>
      </c>
      <c r="V29" s="663"/>
      <c r="W29" s="663" t="e">
        <f>VLOOKUP($T29,'Actuator Reference'!$B$56:$H$81,6)</f>
        <v>#N/A</v>
      </c>
      <c r="X29" s="663"/>
      <c r="Y29" s="663" t="e">
        <f>VLOOKUP($T29,'Actuator Reference'!$B$56:$H$81,4)</f>
        <v>#N/A</v>
      </c>
      <c r="Z29" s="663"/>
      <c r="AA29" s="664" t="e">
        <f>VLOOKUP($T29,'Actuator Reference'!$B$56:$H$81,5)</f>
        <v>#N/A</v>
      </c>
    </row>
    <row r="30" spans="1:27">
      <c r="A30" s="646" t="s">
        <v>1835</v>
      </c>
      <c r="B30" s="451">
        <v>1</v>
      </c>
      <c r="C30" s="451" t="s">
        <v>1812</v>
      </c>
      <c r="D30" s="451">
        <v>114</v>
      </c>
      <c r="E30" s="451">
        <v>66</v>
      </c>
      <c r="F30" s="435">
        <f t="shared" si="5"/>
        <v>52.25</v>
      </c>
      <c r="G30" s="641">
        <v>54000</v>
      </c>
      <c r="H30" s="435">
        <v>1184</v>
      </c>
      <c r="I30" s="436">
        <v>7</v>
      </c>
      <c r="J30" s="451" t="s">
        <v>1318</v>
      </c>
      <c r="K30" s="451" t="s">
        <v>1816</v>
      </c>
      <c r="L30" s="648" t="s">
        <v>1846</v>
      </c>
      <c r="M30" s="657">
        <f t="shared" ref="M30:M33" si="16">($F30*$I30)</f>
        <v>365.75</v>
      </c>
      <c r="N30" s="658" t="e">
        <f>VLOOKUP($T30,'Actuator Reference'!$B$56:$H$81,7)</f>
        <v>#N/A</v>
      </c>
      <c r="O30" s="659">
        <v>0.8</v>
      </c>
      <c r="P30" s="657" t="e">
        <f t="shared" ref="P30:P33" si="17">($M30/$N30)*$O30</f>
        <v>#N/A</v>
      </c>
      <c r="Q30" s="660" t="s">
        <v>1847</v>
      </c>
      <c r="R30" s="661" t="e">
        <f t="shared" ref="R30:R33" si="18">ROUNDUP($P30,0)</f>
        <v>#N/A</v>
      </c>
      <c r="S30" s="660" t="s">
        <v>252</v>
      </c>
      <c r="T30" s="662"/>
      <c r="U30" s="661" t="e">
        <f>VLOOKUP($T30,'Actuator Reference'!$B$56:$H$81,2)</f>
        <v>#N/A</v>
      </c>
      <c r="V30" s="663"/>
      <c r="W30" s="663" t="e">
        <f>VLOOKUP($T30,'Actuator Reference'!$B$56:$H$81,6)</f>
        <v>#N/A</v>
      </c>
      <c r="X30" s="663"/>
      <c r="Y30" s="663" t="e">
        <f>VLOOKUP($T30,'Actuator Reference'!$B$56:$H$81,4)</f>
        <v>#N/A</v>
      </c>
      <c r="Z30" s="663"/>
      <c r="AA30" s="664" t="e">
        <f>VLOOKUP($T30,'Actuator Reference'!$B$56:$H$81,5)</f>
        <v>#N/A</v>
      </c>
    </row>
    <row r="31" spans="1:27">
      <c r="A31" s="646" t="s">
        <v>1836</v>
      </c>
      <c r="B31" s="451">
        <v>1</v>
      </c>
      <c r="C31" s="451" t="s">
        <v>1813</v>
      </c>
      <c r="D31" s="451">
        <v>114</v>
      </c>
      <c r="E31" s="451">
        <v>54</v>
      </c>
      <c r="F31" s="435">
        <f t="shared" si="5"/>
        <v>42.75</v>
      </c>
      <c r="G31" s="641">
        <v>54000</v>
      </c>
      <c r="H31" s="435">
        <v>1447</v>
      </c>
      <c r="I31" s="436">
        <v>7</v>
      </c>
      <c r="J31" s="451" t="s">
        <v>1318</v>
      </c>
      <c r="K31" s="451" t="s">
        <v>1816</v>
      </c>
      <c r="L31" s="648" t="s">
        <v>1846</v>
      </c>
      <c r="M31" s="657">
        <f t="shared" si="16"/>
        <v>299.25</v>
      </c>
      <c r="N31" s="658" t="e">
        <f>VLOOKUP($T31,'Actuator Reference'!$B$56:$H$81,7)</f>
        <v>#N/A</v>
      </c>
      <c r="O31" s="659">
        <v>0.8</v>
      </c>
      <c r="P31" s="657" t="e">
        <f t="shared" si="17"/>
        <v>#N/A</v>
      </c>
      <c r="Q31" s="660" t="s">
        <v>1848</v>
      </c>
      <c r="R31" s="661" t="e">
        <f t="shared" si="18"/>
        <v>#N/A</v>
      </c>
      <c r="S31" s="660" t="s">
        <v>252</v>
      </c>
      <c r="T31" s="662"/>
      <c r="U31" s="661" t="e">
        <f>VLOOKUP($T31,'Actuator Reference'!$B$56:$H$81,2)</f>
        <v>#N/A</v>
      </c>
      <c r="V31" s="663"/>
      <c r="W31" s="663" t="e">
        <f>VLOOKUP($T31,'Actuator Reference'!$B$56:$H$81,6)</f>
        <v>#N/A</v>
      </c>
      <c r="X31" s="663"/>
      <c r="Y31" s="663" t="e">
        <f>VLOOKUP($T31,'Actuator Reference'!$B$56:$H$81,4)</f>
        <v>#N/A</v>
      </c>
      <c r="Z31" s="663"/>
      <c r="AA31" s="664" t="e">
        <f>VLOOKUP($T31,'Actuator Reference'!$B$56:$H$81,5)</f>
        <v>#N/A</v>
      </c>
    </row>
    <row r="32" spans="1:27">
      <c r="A32" s="646" t="s">
        <v>1837</v>
      </c>
      <c r="B32" s="451">
        <v>1</v>
      </c>
      <c r="C32" s="451" t="s">
        <v>1814</v>
      </c>
      <c r="D32" s="451">
        <v>18</v>
      </c>
      <c r="E32" s="451">
        <v>114</v>
      </c>
      <c r="F32" s="435">
        <f t="shared" si="5"/>
        <v>14.25</v>
      </c>
      <c r="G32" s="641"/>
      <c r="H32" s="435"/>
      <c r="I32" s="436"/>
      <c r="J32" s="451" t="s">
        <v>1318</v>
      </c>
      <c r="K32" s="451"/>
      <c r="L32" s="648" t="s">
        <v>1850</v>
      </c>
      <c r="M32" s="657" t="s">
        <v>580</v>
      </c>
      <c r="N32" s="658" t="s">
        <v>580</v>
      </c>
      <c r="O32" s="659" t="s">
        <v>580</v>
      </c>
      <c r="P32" s="657" t="s">
        <v>580</v>
      </c>
      <c r="Q32" s="660" t="s">
        <v>580</v>
      </c>
      <c r="R32" s="661" t="s">
        <v>580</v>
      </c>
      <c r="S32" s="660" t="s">
        <v>1851</v>
      </c>
      <c r="T32" s="662" t="s">
        <v>1852</v>
      </c>
      <c r="U32" s="661" t="s">
        <v>580</v>
      </c>
      <c r="V32" s="663"/>
      <c r="W32" s="663" t="s">
        <v>580</v>
      </c>
      <c r="X32" s="663"/>
      <c r="Y32" s="663" t="s">
        <v>580</v>
      </c>
      <c r="Z32" s="663"/>
      <c r="AA32" s="664" t="s">
        <v>580</v>
      </c>
    </row>
    <row r="33" spans="1:27">
      <c r="A33" s="646" t="s">
        <v>1838</v>
      </c>
      <c r="B33" s="451">
        <v>1</v>
      </c>
      <c r="C33" s="451" t="s">
        <v>1815</v>
      </c>
      <c r="D33" s="451">
        <v>78</v>
      </c>
      <c r="E33" s="451">
        <v>114</v>
      </c>
      <c r="F33" s="435">
        <f t="shared" si="5"/>
        <v>61.75</v>
      </c>
      <c r="G33" s="641">
        <v>54000</v>
      </c>
      <c r="H33" s="435">
        <v>981</v>
      </c>
      <c r="I33" s="436">
        <v>5</v>
      </c>
      <c r="J33" s="451" t="s">
        <v>1318</v>
      </c>
      <c r="K33" s="451" t="s">
        <v>1817</v>
      </c>
      <c r="L33" s="648" t="s">
        <v>1846</v>
      </c>
      <c r="M33" s="657">
        <f t="shared" si="16"/>
        <v>308.75</v>
      </c>
      <c r="N33" s="658" t="e">
        <f>VLOOKUP($T33,'Actuator Reference'!$B$56:$H$81,7)</f>
        <v>#N/A</v>
      </c>
      <c r="O33" s="659">
        <v>0.8</v>
      </c>
      <c r="P33" s="657" t="e">
        <f t="shared" si="17"/>
        <v>#N/A</v>
      </c>
      <c r="Q33" s="660" t="s">
        <v>1849</v>
      </c>
      <c r="R33" s="661" t="e">
        <f t="shared" si="18"/>
        <v>#N/A</v>
      </c>
      <c r="S33" s="660" t="s">
        <v>252</v>
      </c>
      <c r="T33" s="662"/>
      <c r="U33" s="661" t="e">
        <f>VLOOKUP($T33,'Actuator Reference'!$B$56:$H$81,2)</f>
        <v>#N/A</v>
      </c>
      <c r="V33" s="663"/>
      <c r="W33" s="663" t="e">
        <f>VLOOKUP($T33,'Actuator Reference'!$B$56:$H$81,6)</f>
        <v>#N/A</v>
      </c>
      <c r="X33" s="663"/>
      <c r="Y33" s="663" t="e">
        <f>VLOOKUP($T33,'Actuator Reference'!$B$56:$H$81,4)</f>
        <v>#N/A</v>
      </c>
      <c r="Z33" s="663"/>
      <c r="AA33" s="664" t="e">
        <f>VLOOKUP($T33,'Actuator Reference'!$B$56:$H$81,5)</f>
        <v>#N/A</v>
      </c>
    </row>
    <row r="34" spans="1:27">
      <c r="A34" s="441"/>
      <c r="B34" s="451"/>
      <c r="C34" s="451"/>
      <c r="D34" s="451"/>
      <c r="E34" s="451"/>
      <c r="F34" s="435"/>
      <c r="G34" s="641"/>
      <c r="H34" s="435"/>
      <c r="I34" s="436"/>
      <c r="J34" s="451"/>
      <c r="K34" s="451"/>
      <c r="L34" s="648"/>
      <c r="M34" s="657"/>
      <c r="N34" s="658"/>
      <c r="O34" s="659"/>
      <c r="P34" s="657"/>
      <c r="Q34" s="660"/>
      <c r="R34" s="661"/>
      <c r="S34" s="660"/>
      <c r="T34" s="660"/>
      <c r="U34" s="661"/>
      <c r="V34" s="665"/>
      <c r="W34" s="665"/>
      <c r="X34" s="665"/>
      <c r="Y34" s="665"/>
      <c r="Z34" s="665"/>
      <c r="AA34" s="664"/>
    </row>
    <row r="35" spans="1:27">
      <c r="A35" s="646" t="s">
        <v>1839</v>
      </c>
      <c r="B35" s="451">
        <v>1</v>
      </c>
      <c r="C35" s="451" t="s">
        <v>1811</v>
      </c>
      <c r="D35" s="451">
        <v>54</v>
      </c>
      <c r="E35" s="451">
        <v>114</v>
      </c>
      <c r="F35" s="435">
        <f t="shared" si="5"/>
        <v>42.75</v>
      </c>
      <c r="G35" s="641">
        <v>54000</v>
      </c>
      <c r="H35" s="435">
        <v>1449</v>
      </c>
      <c r="I35" s="436">
        <v>5</v>
      </c>
      <c r="J35" s="451" t="s">
        <v>1318</v>
      </c>
      <c r="K35" s="451" t="s">
        <v>1817</v>
      </c>
      <c r="L35" s="648" t="s">
        <v>1846</v>
      </c>
      <c r="M35" s="657">
        <f>($F35*$I35)</f>
        <v>213.75</v>
      </c>
      <c r="N35" s="658" t="e">
        <f>VLOOKUP($T35,'Actuator Reference'!$B$56:$H$81,7)</f>
        <v>#N/A</v>
      </c>
      <c r="O35" s="659">
        <v>0.8</v>
      </c>
      <c r="P35" s="657" t="e">
        <f>($M35/$N35)*$O35</f>
        <v>#N/A</v>
      </c>
      <c r="Q35" s="660" t="s">
        <v>256</v>
      </c>
      <c r="R35" s="661" t="e">
        <f>ROUNDUP($P35,0)</f>
        <v>#N/A</v>
      </c>
      <c r="S35" s="660" t="s">
        <v>252</v>
      </c>
      <c r="T35" s="662"/>
      <c r="U35" s="661" t="e">
        <f>VLOOKUP($T35,'Actuator Reference'!$B$56:$H$81,2)</f>
        <v>#N/A</v>
      </c>
      <c r="V35" s="663"/>
      <c r="W35" s="663" t="e">
        <f>VLOOKUP($T35,'Actuator Reference'!$B$56:$H$81,6)</f>
        <v>#N/A</v>
      </c>
      <c r="X35" s="663"/>
      <c r="Y35" s="663" t="e">
        <f>VLOOKUP($T35,'Actuator Reference'!$B$56:$H$81,4)</f>
        <v>#N/A</v>
      </c>
      <c r="Z35" s="663"/>
      <c r="AA35" s="664" t="e">
        <f>VLOOKUP($T35,'Actuator Reference'!$B$56:$H$81,5)</f>
        <v>#N/A</v>
      </c>
    </row>
    <row r="36" spans="1:27">
      <c r="A36" s="646" t="s">
        <v>1840</v>
      </c>
      <c r="B36" s="451">
        <v>1</v>
      </c>
      <c r="C36" s="451" t="s">
        <v>1812</v>
      </c>
      <c r="D36" s="451">
        <v>114</v>
      </c>
      <c r="E36" s="451">
        <v>54</v>
      </c>
      <c r="F36" s="435">
        <f t="shared" si="5"/>
        <v>42.75</v>
      </c>
      <c r="G36" s="641">
        <v>54000</v>
      </c>
      <c r="H36" s="435">
        <v>1184</v>
      </c>
      <c r="I36" s="436">
        <v>7</v>
      </c>
      <c r="J36" s="451" t="s">
        <v>1318</v>
      </c>
      <c r="K36" s="451" t="s">
        <v>1816</v>
      </c>
      <c r="L36" s="648" t="s">
        <v>1846</v>
      </c>
      <c r="M36" s="657">
        <f t="shared" ref="M36:M39" si="19">($F36*$I36)</f>
        <v>299.25</v>
      </c>
      <c r="N36" s="658" t="e">
        <f>VLOOKUP($T36,'Actuator Reference'!$B$56:$H$81,7)</f>
        <v>#N/A</v>
      </c>
      <c r="O36" s="659">
        <v>0.8</v>
      </c>
      <c r="P36" s="657" t="e">
        <f t="shared" ref="P36:P39" si="20">($M36/$N36)*$O36</f>
        <v>#N/A</v>
      </c>
      <c r="Q36" s="660" t="s">
        <v>1847</v>
      </c>
      <c r="R36" s="661" t="e">
        <f t="shared" ref="R36:R39" si="21">ROUNDUP($P36,0)</f>
        <v>#N/A</v>
      </c>
      <c r="S36" s="660" t="s">
        <v>252</v>
      </c>
      <c r="T36" s="662"/>
      <c r="U36" s="661" t="e">
        <f>VLOOKUP($T36,'Actuator Reference'!$B$56:$H$81,2)</f>
        <v>#N/A</v>
      </c>
      <c r="V36" s="663"/>
      <c r="W36" s="663" t="e">
        <f>VLOOKUP($T36,'Actuator Reference'!$B$56:$H$81,6)</f>
        <v>#N/A</v>
      </c>
      <c r="X36" s="663"/>
      <c r="Y36" s="663" t="e">
        <f>VLOOKUP($T36,'Actuator Reference'!$B$56:$H$81,4)</f>
        <v>#N/A</v>
      </c>
      <c r="Z36" s="663"/>
      <c r="AA36" s="664" t="e">
        <f>VLOOKUP($T36,'Actuator Reference'!$B$56:$H$81,5)</f>
        <v>#N/A</v>
      </c>
    </row>
    <row r="37" spans="1:27">
      <c r="A37" s="646" t="s">
        <v>1841</v>
      </c>
      <c r="B37" s="451">
        <v>1</v>
      </c>
      <c r="C37" s="451" t="s">
        <v>1813</v>
      </c>
      <c r="D37" s="451">
        <v>114</v>
      </c>
      <c r="E37" s="451">
        <v>66</v>
      </c>
      <c r="F37" s="435">
        <f t="shared" si="5"/>
        <v>52.25</v>
      </c>
      <c r="G37" s="641">
        <v>54000</v>
      </c>
      <c r="H37" s="435">
        <v>1447</v>
      </c>
      <c r="I37" s="436">
        <v>7</v>
      </c>
      <c r="J37" s="451" t="s">
        <v>1318</v>
      </c>
      <c r="K37" s="451" t="s">
        <v>1816</v>
      </c>
      <c r="L37" s="648" t="s">
        <v>1846</v>
      </c>
      <c r="M37" s="657">
        <f t="shared" si="19"/>
        <v>365.75</v>
      </c>
      <c r="N37" s="658" t="e">
        <f>VLOOKUP($T37,'Actuator Reference'!$B$56:$H$81,7)</f>
        <v>#N/A</v>
      </c>
      <c r="O37" s="659">
        <v>0.8</v>
      </c>
      <c r="P37" s="657" t="e">
        <f t="shared" si="20"/>
        <v>#N/A</v>
      </c>
      <c r="Q37" s="660" t="s">
        <v>1848</v>
      </c>
      <c r="R37" s="661" t="e">
        <f t="shared" si="21"/>
        <v>#N/A</v>
      </c>
      <c r="S37" s="660" t="s">
        <v>252</v>
      </c>
      <c r="T37" s="662"/>
      <c r="U37" s="661" t="e">
        <f>VLOOKUP($T37,'Actuator Reference'!$B$56:$H$81,2)</f>
        <v>#N/A</v>
      </c>
      <c r="V37" s="663"/>
      <c r="W37" s="663" t="e">
        <f>VLOOKUP($T37,'Actuator Reference'!$B$56:$H$81,6)</f>
        <v>#N/A</v>
      </c>
      <c r="X37" s="663"/>
      <c r="Y37" s="663" t="e">
        <f>VLOOKUP($T37,'Actuator Reference'!$B$56:$H$81,4)</f>
        <v>#N/A</v>
      </c>
      <c r="Z37" s="663"/>
      <c r="AA37" s="664" t="e">
        <f>VLOOKUP($T37,'Actuator Reference'!$B$56:$H$81,5)</f>
        <v>#N/A</v>
      </c>
    </row>
    <row r="38" spans="1:27">
      <c r="A38" s="646" t="s">
        <v>1842</v>
      </c>
      <c r="B38" s="451">
        <v>1</v>
      </c>
      <c r="C38" s="451" t="s">
        <v>1814</v>
      </c>
      <c r="D38" s="451">
        <v>18</v>
      </c>
      <c r="E38" s="451">
        <v>114</v>
      </c>
      <c r="F38" s="435">
        <f t="shared" si="5"/>
        <v>14.25</v>
      </c>
      <c r="G38" s="641"/>
      <c r="H38" s="435"/>
      <c r="I38" s="436"/>
      <c r="J38" s="451" t="s">
        <v>1318</v>
      </c>
      <c r="K38" s="451"/>
      <c r="L38" s="648" t="s">
        <v>1850</v>
      </c>
      <c r="M38" s="657" t="s">
        <v>580</v>
      </c>
      <c r="N38" s="658" t="s">
        <v>580</v>
      </c>
      <c r="O38" s="659" t="s">
        <v>580</v>
      </c>
      <c r="P38" s="657" t="s">
        <v>580</v>
      </c>
      <c r="Q38" s="660" t="s">
        <v>580</v>
      </c>
      <c r="R38" s="661" t="s">
        <v>580</v>
      </c>
      <c r="S38" s="660" t="s">
        <v>1851</v>
      </c>
      <c r="T38" s="662" t="s">
        <v>1852</v>
      </c>
      <c r="U38" s="661" t="s">
        <v>580</v>
      </c>
      <c r="V38" s="663"/>
      <c r="W38" s="663" t="s">
        <v>580</v>
      </c>
      <c r="X38" s="663"/>
      <c r="Y38" s="663" t="s">
        <v>580</v>
      </c>
      <c r="Z38" s="663"/>
      <c r="AA38" s="664" t="s">
        <v>580</v>
      </c>
    </row>
    <row r="39" spans="1:27">
      <c r="A39" s="646" t="s">
        <v>1843</v>
      </c>
      <c r="B39" s="451">
        <v>1</v>
      </c>
      <c r="C39" s="451" t="s">
        <v>1815</v>
      </c>
      <c r="D39" s="451">
        <v>78</v>
      </c>
      <c r="E39" s="451">
        <v>114</v>
      </c>
      <c r="F39" s="435">
        <f t="shared" si="5"/>
        <v>61.75</v>
      </c>
      <c r="G39" s="641">
        <v>54000</v>
      </c>
      <c r="H39" s="435">
        <v>981</v>
      </c>
      <c r="I39" s="436">
        <v>5</v>
      </c>
      <c r="J39" s="451" t="s">
        <v>1318</v>
      </c>
      <c r="K39" s="451" t="s">
        <v>1817</v>
      </c>
      <c r="L39" s="648" t="s">
        <v>1846</v>
      </c>
      <c r="M39" s="657">
        <f t="shared" si="19"/>
        <v>308.75</v>
      </c>
      <c r="N39" s="658" t="e">
        <f>VLOOKUP($T39,'Actuator Reference'!$B$56:$H$81,7)</f>
        <v>#N/A</v>
      </c>
      <c r="O39" s="659">
        <v>0.8</v>
      </c>
      <c r="P39" s="657" t="e">
        <f t="shared" si="20"/>
        <v>#N/A</v>
      </c>
      <c r="Q39" s="660" t="s">
        <v>1849</v>
      </c>
      <c r="R39" s="661" t="e">
        <f t="shared" si="21"/>
        <v>#N/A</v>
      </c>
      <c r="S39" s="660" t="s">
        <v>252</v>
      </c>
      <c r="T39" s="662"/>
      <c r="U39" s="661" t="e">
        <f>VLOOKUP($T39,'Actuator Reference'!$B$56:$H$81,2)</f>
        <v>#N/A</v>
      </c>
      <c r="V39" s="663"/>
      <c r="W39" s="663" t="e">
        <f>VLOOKUP($T39,'Actuator Reference'!$B$56:$H$81,6)</f>
        <v>#N/A</v>
      </c>
      <c r="X39" s="663"/>
      <c r="Y39" s="663" t="e">
        <f>VLOOKUP($T39,'Actuator Reference'!$B$56:$H$81,4)</f>
        <v>#N/A</v>
      </c>
      <c r="Z39" s="663"/>
      <c r="AA39" s="664" t="e">
        <f>VLOOKUP($T39,'Actuator Reference'!$B$56:$H$81,5)</f>
        <v>#N/A</v>
      </c>
    </row>
    <row r="40" spans="1:27">
      <c r="A40" s="441"/>
      <c r="B40" s="451"/>
      <c r="C40" s="451"/>
      <c r="D40" s="451"/>
      <c r="E40" s="451"/>
      <c r="F40" s="435"/>
      <c r="G40" s="641"/>
      <c r="H40" s="435"/>
      <c r="I40" s="436"/>
      <c r="J40" s="451"/>
      <c r="K40" s="451"/>
      <c r="L40" s="451"/>
      <c r="M40" s="435"/>
      <c r="N40" s="442"/>
      <c r="O40" s="443"/>
      <c r="P40" s="435"/>
      <c r="Q40" s="451"/>
      <c r="R40" s="444"/>
      <c r="S40" s="451"/>
      <c r="T40" s="451"/>
      <c r="U40" s="445"/>
      <c r="V40" s="449"/>
      <c r="W40" s="450"/>
      <c r="X40" s="449"/>
      <c r="Y40" s="450"/>
      <c r="Z40" s="449"/>
      <c r="AA40" s="448"/>
    </row>
    <row r="41" spans="1:27">
      <c r="A41" s="441"/>
      <c r="B41" s="451"/>
      <c r="C41" s="451"/>
      <c r="D41" s="451"/>
      <c r="E41" s="451"/>
      <c r="F41" s="435"/>
      <c r="G41" s="641"/>
      <c r="H41" s="435"/>
      <c r="I41" s="436"/>
      <c r="J41" s="451"/>
      <c r="K41" s="451"/>
      <c r="L41" s="451"/>
      <c r="M41" s="435"/>
      <c r="N41" s="442"/>
      <c r="O41" s="443"/>
      <c r="P41" s="435"/>
      <c r="Q41" s="451"/>
      <c r="R41" s="444"/>
      <c r="S41" s="451"/>
      <c r="T41" s="451"/>
      <c r="U41" s="445"/>
      <c r="V41" s="449"/>
      <c r="W41" s="450"/>
      <c r="X41" s="449"/>
      <c r="Y41" s="450"/>
      <c r="Z41" s="449"/>
      <c r="AA41" s="448"/>
    </row>
    <row r="42" spans="1:27">
      <c r="A42" s="441"/>
      <c r="B42" s="451"/>
      <c r="C42" s="451"/>
      <c r="D42" s="451"/>
      <c r="E42" s="451"/>
      <c r="F42" s="435"/>
      <c r="G42" s="641"/>
      <c r="H42" s="435"/>
      <c r="I42" s="436"/>
      <c r="J42" s="451"/>
      <c r="K42" s="451"/>
      <c r="L42" s="451"/>
      <c r="M42" s="435"/>
      <c r="N42" s="442"/>
      <c r="O42" s="443"/>
      <c r="P42" s="435"/>
      <c r="Q42" s="451"/>
      <c r="R42" s="444"/>
      <c r="S42" s="451"/>
      <c r="T42" s="451"/>
      <c r="U42" s="445"/>
      <c r="V42" s="449"/>
      <c r="W42" s="450"/>
      <c r="X42" s="449"/>
      <c r="Y42" s="450"/>
      <c r="Z42" s="449"/>
      <c r="AA42" s="448"/>
    </row>
    <row r="43" spans="1:27">
      <c r="A43" s="441"/>
      <c r="B43" s="451"/>
      <c r="C43" s="451"/>
      <c r="D43" s="451"/>
      <c r="E43" s="451"/>
      <c r="F43" s="435"/>
      <c r="G43" s="641"/>
      <c r="H43" s="435"/>
      <c r="I43" s="436"/>
      <c r="J43" s="451"/>
      <c r="K43" s="451"/>
      <c r="L43" s="451"/>
      <c r="M43" s="435"/>
      <c r="N43" s="442"/>
      <c r="O43" s="443"/>
      <c r="P43" s="435"/>
      <c r="Q43" s="451"/>
      <c r="R43" s="444"/>
      <c r="S43" s="451"/>
      <c r="T43" s="451"/>
      <c r="U43" s="445"/>
      <c r="V43" s="449"/>
      <c r="W43" s="450"/>
      <c r="X43" s="449"/>
      <c r="Y43" s="450"/>
      <c r="Z43" s="449"/>
      <c r="AA43" s="448"/>
    </row>
    <row r="44" spans="1:27">
      <c r="A44" s="441"/>
      <c r="B44" s="451"/>
      <c r="C44" s="451"/>
      <c r="D44" s="451"/>
      <c r="E44" s="451"/>
      <c r="F44" s="435"/>
      <c r="G44" s="641"/>
      <c r="H44" s="435"/>
      <c r="I44" s="436"/>
      <c r="J44" s="451"/>
      <c r="K44" s="451"/>
      <c r="L44" s="451"/>
      <c r="M44" s="435"/>
      <c r="N44" s="442"/>
      <c r="O44" s="443"/>
      <c r="P44" s="435"/>
      <c r="Q44" s="451"/>
      <c r="R44" s="444"/>
      <c r="S44" s="451"/>
      <c r="T44" s="451"/>
      <c r="U44" s="445"/>
      <c r="V44" s="449"/>
      <c r="W44" s="450"/>
      <c r="X44" s="449"/>
      <c r="Y44" s="450"/>
      <c r="Z44" s="449"/>
      <c r="AA44" s="448"/>
    </row>
    <row r="45" spans="1:27">
      <c r="A45" s="441"/>
      <c r="B45" s="451"/>
      <c r="C45" s="451"/>
      <c r="D45" s="451"/>
      <c r="E45" s="451"/>
      <c r="F45" s="435"/>
      <c r="G45" s="641"/>
      <c r="H45" s="435"/>
      <c r="I45" s="436"/>
      <c r="J45" s="451"/>
      <c r="K45" s="451"/>
      <c r="L45" s="451"/>
      <c r="M45" s="435"/>
      <c r="N45" s="442"/>
      <c r="O45" s="443"/>
      <c r="P45" s="435"/>
      <c r="Q45" s="451"/>
      <c r="R45" s="444"/>
      <c r="S45" s="451"/>
      <c r="T45" s="451"/>
      <c r="U45" s="445"/>
      <c r="V45" s="449"/>
      <c r="W45" s="450"/>
      <c r="X45" s="449"/>
      <c r="Y45" s="450"/>
      <c r="Z45" s="449"/>
      <c r="AA45" s="448"/>
    </row>
    <row r="46" spans="1:27">
      <c r="A46" s="441"/>
      <c r="B46" s="451"/>
      <c r="C46" s="451"/>
      <c r="D46" s="451"/>
      <c r="E46" s="451"/>
      <c r="F46" s="435"/>
      <c r="G46" s="641"/>
      <c r="H46" s="435"/>
      <c r="I46" s="436"/>
      <c r="J46" s="451"/>
      <c r="K46" s="451"/>
      <c r="L46" s="451"/>
      <c r="M46" s="435"/>
      <c r="N46" s="442"/>
      <c r="O46" s="443"/>
      <c r="P46" s="435"/>
      <c r="Q46" s="451"/>
      <c r="R46" s="444"/>
      <c r="S46" s="451"/>
      <c r="T46" s="451"/>
      <c r="U46" s="445"/>
      <c r="V46" s="449"/>
      <c r="W46" s="450"/>
      <c r="X46" s="449"/>
      <c r="Y46" s="450"/>
      <c r="Z46" s="449"/>
      <c r="AA46" s="448"/>
    </row>
    <row r="47" spans="1:27">
      <c r="A47" s="441"/>
      <c r="B47" s="434"/>
      <c r="C47" s="451"/>
      <c r="D47" s="434"/>
      <c r="E47" s="434"/>
      <c r="F47" s="435"/>
      <c r="G47" s="641"/>
      <c r="H47" s="435"/>
      <c r="I47" s="436"/>
      <c r="J47" s="451"/>
      <c r="K47" s="451"/>
      <c r="L47" s="451"/>
      <c r="M47" s="435"/>
      <c r="N47" s="442"/>
      <c r="O47" s="443"/>
      <c r="P47" s="435"/>
      <c r="Q47" s="434"/>
      <c r="R47" s="444"/>
      <c r="S47" s="434"/>
      <c r="T47" s="451"/>
      <c r="U47" s="445"/>
      <c r="V47" s="446"/>
      <c r="W47" s="447"/>
      <c r="X47" s="446"/>
      <c r="Y47" s="447"/>
      <c r="Z47" s="446"/>
      <c r="AA47" s="448"/>
    </row>
    <row r="48" spans="1:27">
      <c r="A48" s="452"/>
      <c r="B48" s="453"/>
      <c r="C48" s="453"/>
      <c r="D48" s="453"/>
      <c r="E48" s="453"/>
      <c r="F48" s="453"/>
      <c r="G48" s="643"/>
      <c r="H48" s="453"/>
      <c r="I48" s="453"/>
      <c r="J48" s="453"/>
      <c r="K48" s="453"/>
      <c r="L48" s="453"/>
      <c r="M48" s="453"/>
      <c r="N48" s="454"/>
      <c r="O48" s="453"/>
      <c r="P48" s="455"/>
      <c r="Q48" s="455"/>
      <c r="R48" s="455"/>
      <c r="S48" s="455"/>
      <c r="T48" s="455"/>
      <c r="U48" s="455"/>
      <c r="V48" s="456"/>
      <c r="W48" s="456"/>
      <c r="X48" s="456"/>
      <c r="Y48" s="456"/>
      <c r="Z48" s="456"/>
      <c r="AA48" s="457"/>
    </row>
    <row r="49" spans="2:2">
      <c r="B49" s="339"/>
    </row>
  </sheetData>
  <sheetProtection insertRows="0" deleteRows="0" selectLockedCells="1"/>
  <mergeCells count="2">
    <mergeCell ref="U3:AA3"/>
    <mergeCell ref="A1:AA1"/>
  </mergeCells>
  <phoneticPr fontId="12" type="noConversion"/>
  <dataValidations count="1">
    <dataValidation type="list" allowBlank="1" showInputMessage="1" showErrorMessage="1" sqref="I5:I47" xr:uid="{00000000-0002-0000-0700-000000000000}">
      <formula1>$AD$2:$AD$5</formula1>
    </dataValidation>
  </dataValidations>
  <printOptions horizontalCentered="1"/>
  <pageMargins left="0.25" right="0.25" top="1.25" bottom="1.25" header="0.75" footer="0.25"/>
  <pageSetup scale="50" orientation="landscape" r:id="rId1"/>
  <headerFooter alignWithMargins="0">
    <oddHeader>&amp;L&amp;"Siemens Sans Black,Bold"&amp;26SIEMENS&amp;R&amp;D</oddHeader>
    <oddFooter>&amp;L&amp;12Note: All sizes are preliminary for submittal purposes, actual size to be confirmed with the Sheet Metal Contractor.&amp;R&amp;P of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>
    <tabColor indexed="42"/>
    <pageSetUpPr fitToPage="1"/>
  </sheetPr>
  <dimension ref="A1:S50"/>
  <sheetViews>
    <sheetView zoomScale="85" zoomScaleNormal="85" workbookViewId="0">
      <selection activeCell="P21" sqref="P21"/>
    </sheetView>
  </sheetViews>
  <sheetFormatPr defaultColWidth="17.7109375" defaultRowHeight="12.75"/>
  <cols>
    <col min="1" max="1" width="22.28515625" bestFit="1" customWidth="1"/>
    <col min="2" max="2" width="5.7109375" bestFit="1" customWidth="1"/>
    <col min="3" max="3" width="20.5703125" bestFit="1" customWidth="1"/>
    <col min="4" max="4" width="12.28515625" customWidth="1"/>
    <col min="5" max="5" width="8" bestFit="1" customWidth="1"/>
    <col min="6" max="6" width="9.28515625" bestFit="1" customWidth="1"/>
    <col min="7" max="7" width="5.42578125" customWidth="1"/>
    <col min="8" max="8" width="8.7109375" bestFit="1" customWidth="1"/>
    <col min="9" max="9" width="8.140625" bestFit="1" customWidth="1"/>
    <col min="10" max="10" width="11.7109375" bestFit="1" customWidth="1"/>
    <col min="11" max="11" width="9.140625" bestFit="1" customWidth="1"/>
    <col min="12" max="12" width="10.5703125" bestFit="1" customWidth="1"/>
    <col min="13" max="13" width="6.85546875" bestFit="1" customWidth="1"/>
    <col min="14" max="14" width="10.28515625" bestFit="1" customWidth="1"/>
    <col min="15" max="15" width="17.7109375" bestFit="1" customWidth="1"/>
    <col min="16" max="16" width="17.85546875" bestFit="1" customWidth="1"/>
  </cols>
  <sheetData>
    <row r="1" spans="1:19" ht="16.5" thickBot="1">
      <c r="A1" s="701" t="str">
        <f>CONCATENATE('Box Schedule'!C4," - Airflow Measuring Station Schedule")</f>
        <v>TFC JH Winters AHU Reno. - Airflow Measuring Station Schedule</v>
      </c>
      <c r="B1" s="701"/>
      <c r="C1" s="701"/>
      <c r="D1" s="701"/>
      <c r="E1" s="701"/>
      <c r="F1" s="701"/>
      <c r="G1" s="701"/>
      <c r="H1" s="701"/>
      <c r="I1" s="701"/>
      <c r="J1" s="701"/>
      <c r="K1" s="701"/>
      <c r="L1" s="701"/>
      <c r="M1" s="701"/>
      <c r="N1" s="701"/>
      <c r="O1" s="701"/>
      <c r="P1" s="701"/>
      <c r="S1" s="154"/>
    </row>
    <row r="2" spans="1:19" ht="15" thickTop="1">
      <c r="A2" s="549"/>
      <c r="B2" s="415"/>
      <c r="C2" s="550"/>
      <c r="D2" s="550"/>
      <c r="E2" s="458"/>
      <c r="F2" s="458"/>
      <c r="G2" s="458"/>
      <c r="H2" s="458"/>
      <c r="I2" s="458"/>
      <c r="J2" s="551"/>
      <c r="K2" s="458"/>
      <c r="L2" s="458"/>
      <c r="M2" s="458"/>
      <c r="N2" s="458" t="s">
        <v>544</v>
      </c>
      <c r="O2" s="550"/>
      <c r="P2" s="552"/>
    </row>
    <row r="3" spans="1:19" ht="15">
      <c r="A3" s="414" t="s">
        <v>1248</v>
      </c>
      <c r="B3" s="415"/>
      <c r="C3" s="416" t="s">
        <v>250</v>
      </c>
      <c r="D3" s="417"/>
      <c r="E3" s="418" t="s">
        <v>1260</v>
      </c>
      <c r="F3" s="418" t="s">
        <v>1261</v>
      </c>
      <c r="G3" s="418" t="s">
        <v>1262</v>
      </c>
      <c r="H3" s="418" t="s">
        <v>1242</v>
      </c>
      <c r="I3" s="418"/>
      <c r="J3" s="419" t="s">
        <v>1264</v>
      </c>
      <c r="K3" s="418"/>
      <c r="L3" s="418" t="s">
        <v>614</v>
      </c>
      <c r="M3" s="420" t="s">
        <v>241</v>
      </c>
      <c r="N3" s="420" t="s">
        <v>1243</v>
      </c>
      <c r="O3" s="553"/>
      <c r="P3" s="421" t="s">
        <v>1266</v>
      </c>
    </row>
    <row r="4" spans="1:19" ht="15.75" thickBot="1">
      <c r="A4" s="422" t="s">
        <v>242</v>
      </c>
      <c r="B4" s="423" t="s">
        <v>1100</v>
      </c>
      <c r="C4" s="424" t="s">
        <v>251</v>
      </c>
      <c r="D4" s="424" t="s">
        <v>1000</v>
      </c>
      <c r="E4" s="425" t="s">
        <v>1263</v>
      </c>
      <c r="F4" s="426" t="s">
        <v>1263</v>
      </c>
      <c r="G4" s="426" t="s">
        <v>1263</v>
      </c>
      <c r="H4" s="427" t="s">
        <v>243</v>
      </c>
      <c r="I4" s="427" t="s">
        <v>514</v>
      </c>
      <c r="J4" s="425" t="s">
        <v>244</v>
      </c>
      <c r="K4" s="426" t="s">
        <v>248</v>
      </c>
      <c r="L4" s="426" t="s">
        <v>246</v>
      </c>
      <c r="M4" s="426" t="s">
        <v>247</v>
      </c>
      <c r="N4" s="426" t="s">
        <v>1002</v>
      </c>
      <c r="O4" s="554" t="s">
        <v>1244</v>
      </c>
      <c r="P4" s="428" t="s">
        <v>1267</v>
      </c>
    </row>
    <row r="5" spans="1:19" ht="13.5" thickTop="1">
      <c r="A5" s="433" t="s">
        <v>1798</v>
      </c>
      <c r="B5" s="451">
        <v>1</v>
      </c>
      <c r="C5" s="534" t="s">
        <v>1793</v>
      </c>
      <c r="D5" s="451"/>
      <c r="E5" s="451">
        <v>66</v>
      </c>
      <c r="F5" s="451">
        <v>30</v>
      </c>
      <c r="G5" s="429"/>
      <c r="H5" s="543">
        <f>($E5*$F5)/144</f>
        <v>13.75</v>
      </c>
      <c r="I5" s="540">
        <v>6500</v>
      </c>
      <c r="J5" s="548">
        <f>($I5/$H5)</f>
        <v>472.72727272727275</v>
      </c>
      <c r="K5" s="429" t="s">
        <v>1245</v>
      </c>
      <c r="L5" s="429" t="s">
        <v>1794</v>
      </c>
      <c r="M5" s="431" t="s">
        <v>1246</v>
      </c>
      <c r="N5" s="432" t="s">
        <v>1247</v>
      </c>
      <c r="O5" s="555" t="s">
        <v>1269</v>
      </c>
      <c r="P5" s="639" t="s">
        <v>1268</v>
      </c>
    </row>
    <row r="6" spans="1:19">
      <c r="A6" s="433" t="s">
        <v>1799</v>
      </c>
      <c r="B6" s="451">
        <v>1</v>
      </c>
      <c r="C6" s="534" t="s">
        <v>1793</v>
      </c>
      <c r="D6" s="451"/>
      <c r="E6" s="451">
        <v>66</v>
      </c>
      <c r="F6" s="451">
        <v>30</v>
      </c>
      <c r="G6" s="451"/>
      <c r="H6" s="543">
        <f>($E6*$F6)/144</f>
        <v>13.75</v>
      </c>
      <c r="I6" s="540">
        <v>6500</v>
      </c>
      <c r="J6" s="545">
        <f>($I6/$H6)</f>
        <v>472.72727272727275</v>
      </c>
      <c r="K6" s="451" t="s">
        <v>1245</v>
      </c>
      <c r="L6" s="451" t="s">
        <v>1794</v>
      </c>
      <c r="M6" s="437" t="s">
        <v>1246</v>
      </c>
      <c r="N6" s="438" t="s">
        <v>1247</v>
      </c>
      <c r="O6" s="556" t="s">
        <v>1269</v>
      </c>
      <c r="P6" s="640" t="s">
        <v>1268</v>
      </c>
    </row>
    <row r="7" spans="1:19">
      <c r="A7" s="433" t="s">
        <v>1800</v>
      </c>
      <c r="B7" s="451">
        <v>1</v>
      </c>
      <c r="C7" s="534" t="s">
        <v>1793</v>
      </c>
      <c r="D7" s="451"/>
      <c r="E7" s="451">
        <v>36</v>
      </c>
      <c r="F7" s="451">
        <v>16</v>
      </c>
      <c r="G7" s="451"/>
      <c r="H7" s="543">
        <f t="shared" ref="H7:H15" si="0">($E7*$F7)/144</f>
        <v>4</v>
      </c>
      <c r="I7" s="540">
        <v>5625</v>
      </c>
      <c r="J7" s="545">
        <f t="shared" ref="J7:J15" si="1">($I7/$H7)</f>
        <v>1406.25</v>
      </c>
      <c r="K7" s="451" t="s">
        <v>1245</v>
      </c>
      <c r="L7" s="451" t="s">
        <v>1794</v>
      </c>
      <c r="M7" s="437" t="s">
        <v>1246</v>
      </c>
      <c r="N7" s="438" t="s">
        <v>1247</v>
      </c>
      <c r="O7" s="556" t="s">
        <v>1269</v>
      </c>
      <c r="P7" s="640" t="s">
        <v>1268</v>
      </c>
    </row>
    <row r="8" spans="1:19">
      <c r="A8" s="433" t="s">
        <v>1801</v>
      </c>
      <c r="B8" s="451">
        <v>1</v>
      </c>
      <c r="C8" s="534" t="s">
        <v>1793</v>
      </c>
      <c r="D8" s="451"/>
      <c r="E8" s="451">
        <v>36</v>
      </c>
      <c r="F8" s="451">
        <v>20</v>
      </c>
      <c r="G8" s="451"/>
      <c r="H8" s="543">
        <f t="shared" si="0"/>
        <v>5</v>
      </c>
      <c r="I8" s="540">
        <v>5625</v>
      </c>
      <c r="J8" s="545">
        <f t="shared" si="1"/>
        <v>1125</v>
      </c>
      <c r="K8" s="451" t="s">
        <v>1245</v>
      </c>
      <c r="L8" s="451" t="s">
        <v>1794</v>
      </c>
      <c r="M8" s="437" t="s">
        <v>1246</v>
      </c>
      <c r="N8" s="438" t="s">
        <v>1247</v>
      </c>
      <c r="O8" s="556" t="s">
        <v>1269</v>
      </c>
      <c r="P8" s="640" t="s">
        <v>1268</v>
      </c>
    </row>
    <row r="9" spans="1:19">
      <c r="A9" s="433" t="s">
        <v>1802</v>
      </c>
      <c r="B9" s="451">
        <v>1</v>
      </c>
      <c r="C9" s="534" t="s">
        <v>1793</v>
      </c>
      <c r="D9" s="451"/>
      <c r="E9" s="451">
        <v>36</v>
      </c>
      <c r="F9" s="451">
        <v>16</v>
      </c>
      <c r="G9" s="451"/>
      <c r="H9" s="543">
        <f t="shared" si="0"/>
        <v>4</v>
      </c>
      <c r="I9" s="540">
        <v>6000</v>
      </c>
      <c r="J9" s="545">
        <f t="shared" si="1"/>
        <v>1500</v>
      </c>
      <c r="K9" s="451" t="s">
        <v>1245</v>
      </c>
      <c r="L9" s="451" t="s">
        <v>1794</v>
      </c>
      <c r="M9" s="437" t="s">
        <v>1246</v>
      </c>
      <c r="N9" s="438" t="s">
        <v>1247</v>
      </c>
      <c r="O9" s="556" t="s">
        <v>1269</v>
      </c>
      <c r="P9" s="640" t="s">
        <v>1268</v>
      </c>
    </row>
    <row r="10" spans="1:19">
      <c r="A10" s="433" t="s">
        <v>1803</v>
      </c>
      <c r="B10" s="451">
        <v>1</v>
      </c>
      <c r="C10" s="534" t="s">
        <v>1793</v>
      </c>
      <c r="D10" s="451"/>
      <c r="E10" s="451">
        <v>54</v>
      </c>
      <c r="F10" s="451">
        <v>24</v>
      </c>
      <c r="G10" s="451"/>
      <c r="H10" s="543">
        <f t="shared" si="0"/>
        <v>9</v>
      </c>
      <c r="I10" s="540">
        <v>10000</v>
      </c>
      <c r="J10" s="545">
        <f t="shared" si="1"/>
        <v>1111.1111111111111</v>
      </c>
      <c r="K10" s="451" t="s">
        <v>1245</v>
      </c>
      <c r="L10" s="451" t="s">
        <v>1794</v>
      </c>
      <c r="M10" s="437" t="s">
        <v>1246</v>
      </c>
      <c r="N10" s="438" t="s">
        <v>1247</v>
      </c>
      <c r="O10" s="556" t="s">
        <v>1269</v>
      </c>
      <c r="P10" s="640" t="s">
        <v>1268</v>
      </c>
    </row>
    <row r="11" spans="1:19">
      <c r="A11" s="433" t="s">
        <v>1804</v>
      </c>
      <c r="B11" s="451">
        <v>1</v>
      </c>
      <c r="C11" s="534" t="s">
        <v>1793</v>
      </c>
      <c r="D11" s="451"/>
      <c r="E11" s="451">
        <v>54</v>
      </c>
      <c r="F11" s="451">
        <v>24</v>
      </c>
      <c r="G11" s="451"/>
      <c r="H11" s="543">
        <f t="shared" si="0"/>
        <v>9</v>
      </c>
      <c r="I11" s="540">
        <v>8000</v>
      </c>
      <c r="J11" s="545">
        <f t="shared" si="1"/>
        <v>888.88888888888891</v>
      </c>
      <c r="K11" s="451" t="s">
        <v>1245</v>
      </c>
      <c r="L11" s="451" t="s">
        <v>1794</v>
      </c>
      <c r="M11" s="437" t="s">
        <v>1246</v>
      </c>
      <c r="N11" s="438" t="s">
        <v>1247</v>
      </c>
      <c r="O11" s="556" t="s">
        <v>1269</v>
      </c>
      <c r="P11" s="640" t="s">
        <v>1268</v>
      </c>
    </row>
    <row r="12" spans="1:19">
      <c r="A12" s="433" t="s">
        <v>1805</v>
      </c>
      <c r="B12" s="451">
        <v>1</v>
      </c>
      <c r="C12" s="534" t="s">
        <v>1793</v>
      </c>
      <c r="D12" s="451"/>
      <c r="E12" s="451">
        <v>48</v>
      </c>
      <c r="F12" s="451">
        <v>20</v>
      </c>
      <c r="G12" s="451"/>
      <c r="H12" s="543">
        <f t="shared" si="0"/>
        <v>6.666666666666667</v>
      </c>
      <c r="I12" s="540">
        <v>7000</v>
      </c>
      <c r="J12" s="545">
        <f t="shared" si="1"/>
        <v>1050</v>
      </c>
      <c r="K12" s="451" t="s">
        <v>1245</v>
      </c>
      <c r="L12" s="451" t="s">
        <v>1794</v>
      </c>
      <c r="M12" s="437" t="s">
        <v>1246</v>
      </c>
      <c r="N12" s="438" t="s">
        <v>1247</v>
      </c>
      <c r="O12" s="556" t="s">
        <v>1269</v>
      </c>
      <c r="P12" s="640" t="s">
        <v>1268</v>
      </c>
    </row>
    <row r="13" spans="1:19">
      <c r="A13" s="433" t="s">
        <v>1797</v>
      </c>
      <c r="B13" s="451">
        <v>1</v>
      </c>
      <c r="C13" s="534" t="s">
        <v>1793</v>
      </c>
      <c r="D13" s="451"/>
      <c r="E13" s="451">
        <v>36</v>
      </c>
      <c r="F13" s="451">
        <v>20</v>
      </c>
      <c r="G13" s="451"/>
      <c r="H13" s="543">
        <f t="shared" si="0"/>
        <v>5</v>
      </c>
      <c r="I13" s="540">
        <v>2500</v>
      </c>
      <c r="J13" s="545">
        <f t="shared" si="1"/>
        <v>500</v>
      </c>
      <c r="K13" s="451" t="s">
        <v>1245</v>
      </c>
      <c r="L13" s="451" t="s">
        <v>1794</v>
      </c>
      <c r="M13" s="437" t="s">
        <v>1246</v>
      </c>
      <c r="N13" s="438" t="s">
        <v>1247</v>
      </c>
      <c r="O13" s="556" t="s">
        <v>1269</v>
      </c>
      <c r="P13" s="640" t="s">
        <v>1268</v>
      </c>
    </row>
    <row r="14" spans="1:19">
      <c r="A14" s="433" t="s">
        <v>1795</v>
      </c>
      <c r="B14" s="434">
        <v>1</v>
      </c>
      <c r="C14" s="534" t="s">
        <v>1793</v>
      </c>
      <c r="D14" s="451"/>
      <c r="E14" s="451">
        <v>72</v>
      </c>
      <c r="F14" s="451">
        <v>60</v>
      </c>
      <c r="G14" s="440"/>
      <c r="H14" s="543">
        <f t="shared" si="0"/>
        <v>30</v>
      </c>
      <c r="I14" s="540">
        <v>13475</v>
      </c>
      <c r="J14" s="545">
        <f t="shared" si="1"/>
        <v>449.16666666666669</v>
      </c>
      <c r="K14" s="451" t="s">
        <v>1245</v>
      </c>
      <c r="L14" s="451" t="s">
        <v>1794</v>
      </c>
      <c r="M14" s="437" t="s">
        <v>1246</v>
      </c>
      <c r="N14" s="438" t="s">
        <v>1247</v>
      </c>
      <c r="O14" s="556" t="s">
        <v>1269</v>
      </c>
      <c r="P14" s="640" t="s">
        <v>1268</v>
      </c>
    </row>
    <row r="15" spans="1:19">
      <c r="A15" s="433" t="s">
        <v>1796</v>
      </c>
      <c r="B15" s="434">
        <v>1</v>
      </c>
      <c r="C15" s="534" t="s">
        <v>1793</v>
      </c>
      <c r="D15" s="451"/>
      <c r="E15" s="451">
        <v>72</v>
      </c>
      <c r="F15" s="451">
        <v>36</v>
      </c>
      <c r="G15" s="451"/>
      <c r="H15" s="543">
        <f t="shared" si="0"/>
        <v>18</v>
      </c>
      <c r="I15" s="540">
        <v>5425</v>
      </c>
      <c r="J15" s="545">
        <f t="shared" si="1"/>
        <v>301.38888888888891</v>
      </c>
      <c r="K15" s="451" t="s">
        <v>1245</v>
      </c>
      <c r="L15" s="451" t="s">
        <v>1794</v>
      </c>
      <c r="M15" s="437" t="s">
        <v>1246</v>
      </c>
      <c r="N15" s="438" t="s">
        <v>1247</v>
      </c>
      <c r="O15" s="556" t="s">
        <v>1269</v>
      </c>
      <c r="P15" s="640" t="s">
        <v>1268</v>
      </c>
    </row>
    <row r="16" spans="1:19">
      <c r="A16" s="433"/>
      <c r="B16" s="434"/>
      <c r="C16" s="532"/>
      <c r="D16" s="451"/>
      <c r="E16" s="434"/>
      <c r="F16" s="434"/>
      <c r="G16" s="451"/>
      <c r="H16" s="543"/>
      <c r="I16" s="540"/>
      <c r="J16" s="543"/>
      <c r="K16" s="451"/>
      <c r="L16" s="451"/>
      <c r="M16" s="437"/>
      <c r="N16" s="438"/>
      <c r="O16" s="556"/>
      <c r="P16" s="640"/>
    </row>
    <row r="17" spans="1:16">
      <c r="A17" s="433"/>
      <c r="B17" s="434"/>
      <c r="C17" s="533"/>
      <c r="D17" s="451"/>
      <c r="E17" s="434"/>
      <c r="F17" s="451"/>
      <c r="G17" s="451"/>
      <c r="H17" s="543"/>
      <c r="I17" s="540"/>
      <c r="J17" s="543"/>
      <c r="K17" s="434"/>
      <c r="L17" s="434"/>
      <c r="M17" s="437"/>
      <c r="N17" s="438"/>
      <c r="O17" s="556"/>
      <c r="P17" s="439"/>
    </row>
    <row r="18" spans="1:16">
      <c r="A18" s="433"/>
      <c r="B18" s="434"/>
      <c r="C18" s="532"/>
      <c r="D18" s="451"/>
      <c r="E18" s="434"/>
      <c r="F18" s="434"/>
      <c r="G18" s="451"/>
      <c r="H18" s="543"/>
      <c r="I18" s="540"/>
      <c r="J18" s="543"/>
      <c r="K18" s="434"/>
      <c r="L18" s="434"/>
      <c r="M18" s="437"/>
      <c r="N18" s="438"/>
      <c r="O18" s="556"/>
      <c r="P18" s="439"/>
    </row>
    <row r="19" spans="1:16">
      <c r="A19" s="433"/>
      <c r="B19" s="434"/>
      <c r="C19" s="451"/>
      <c r="D19" s="451"/>
      <c r="E19" s="434"/>
      <c r="F19" s="434"/>
      <c r="G19" s="451"/>
      <c r="H19" s="543"/>
      <c r="I19" s="540"/>
      <c r="J19" s="543"/>
      <c r="K19" s="434"/>
      <c r="L19" s="434"/>
      <c r="M19" s="437"/>
      <c r="N19" s="438"/>
      <c r="O19" s="556"/>
      <c r="P19" s="439"/>
    </row>
    <row r="20" spans="1:16">
      <c r="A20" s="433"/>
      <c r="B20" s="434"/>
      <c r="C20" s="533"/>
      <c r="D20" s="451"/>
      <c r="E20" s="434"/>
      <c r="F20" s="434"/>
      <c r="G20" s="451"/>
      <c r="H20" s="543"/>
      <c r="I20" s="540"/>
      <c r="J20" s="543"/>
      <c r="K20" s="434"/>
      <c r="L20" s="434"/>
      <c r="M20" s="437"/>
      <c r="N20" s="438"/>
      <c r="O20" s="556"/>
      <c r="P20" s="439"/>
    </row>
    <row r="21" spans="1:16">
      <c r="A21" s="433"/>
      <c r="B21" s="434"/>
      <c r="C21" s="532"/>
      <c r="D21" s="451"/>
      <c r="E21" s="434"/>
      <c r="F21" s="434"/>
      <c r="G21" s="451"/>
      <c r="H21" s="543"/>
      <c r="I21" s="540"/>
      <c r="J21" s="543"/>
      <c r="K21" s="434"/>
      <c r="L21" s="434"/>
      <c r="M21" s="437"/>
      <c r="N21" s="438"/>
      <c r="O21" s="556"/>
      <c r="P21" s="439"/>
    </row>
    <row r="22" spans="1:16">
      <c r="A22" s="433"/>
      <c r="B22" s="434"/>
      <c r="C22" s="451"/>
      <c r="D22" s="451"/>
      <c r="E22" s="434"/>
      <c r="F22" s="434"/>
      <c r="G22" s="451"/>
      <c r="H22" s="543"/>
      <c r="I22" s="540"/>
      <c r="J22" s="543"/>
      <c r="K22" s="434"/>
      <c r="L22" s="434"/>
      <c r="M22" s="437"/>
      <c r="N22" s="438"/>
      <c r="O22" s="556"/>
      <c r="P22" s="439"/>
    </row>
    <row r="23" spans="1:16">
      <c r="A23" s="433"/>
      <c r="B23" s="434"/>
      <c r="C23" s="533"/>
      <c r="D23" s="451"/>
      <c r="E23" s="434"/>
      <c r="F23" s="434"/>
      <c r="G23" s="451"/>
      <c r="H23" s="543"/>
      <c r="I23" s="540"/>
      <c r="J23" s="543"/>
      <c r="K23" s="434"/>
      <c r="L23" s="434"/>
      <c r="M23" s="437"/>
      <c r="N23" s="438"/>
      <c r="O23" s="556"/>
      <c r="P23" s="439"/>
    </row>
    <row r="24" spans="1:16">
      <c r="A24" s="433"/>
      <c r="B24" s="451"/>
      <c r="C24" s="532"/>
      <c r="D24" s="451"/>
      <c r="E24" s="451"/>
      <c r="F24" s="451"/>
      <c r="G24" s="451"/>
      <c r="H24" s="543"/>
      <c r="I24" s="540"/>
      <c r="J24" s="543"/>
      <c r="K24" s="451"/>
      <c r="L24" s="451"/>
      <c r="M24" s="437"/>
      <c r="N24" s="438"/>
      <c r="O24" s="556"/>
      <c r="P24" s="439"/>
    </row>
    <row r="25" spans="1:16">
      <c r="A25" s="433"/>
      <c r="B25" s="451"/>
      <c r="C25" s="451"/>
      <c r="D25" s="451"/>
      <c r="E25" s="451"/>
      <c r="F25" s="451"/>
      <c r="G25" s="451"/>
      <c r="H25" s="544"/>
      <c r="I25" s="540"/>
      <c r="J25" s="543"/>
      <c r="K25" s="451"/>
      <c r="L25" s="451"/>
      <c r="M25" s="437"/>
      <c r="N25" s="438"/>
      <c r="O25" s="556"/>
      <c r="P25" s="439"/>
    </row>
    <row r="26" spans="1:16">
      <c r="A26" s="433"/>
      <c r="B26" s="451"/>
      <c r="C26" s="533"/>
      <c r="D26" s="451"/>
      <c r="E26" s="451"/>
      <c r="F26" s="451"/>
      <c r="G26" s="451"/>
      <c r="H26" s="545"/>
      <c r="I26" s="540"/>
      <c r="J26" s="543"/>
      <c r="K26" s="451"/>
      <c r="L26" s="451"/>
      <c r="M26" s="437"/>
      <c r="N26" s="438"/>
      <c r="O26" s="556"/>
      <c r="P26" s="439"/>
    </row>
    <row r="27" spans="1:16">
      <c r="A27" s="433"/>
      <c r="B27" s="451"/>
      <c r="C27" s="532"/>
      <c r="D27" s="451"/>
      <c r="E27" s="451"/>
      <c r="F27" s="451"/>
      <c r="G27" s="451"/>
      <c r="H27" s="543"/>
      <c r="I27" s="540"/>
      <c r="J27" s="543"/>
      <c r="K27" s="451"/>
      <c r="L27" s="451"/>
      <c r="M27" s="437"/>
      <c r="N27" s="438"/>
      <c r="O27" s="556"/>
      <c r="P27" s="439"/>
    </row>
    <row r="28" spans="1:16">
      <c r="A28" s="433"/>
      <c r="B28" s="451"/>
      <c r="C28" s="451"/>
      <c r="D28" s="451"/>
      <c r="E28" s="451"/>
      <c r="F28" s="451"/>
      <c r="G28" s="451"/>
      <c r="H28" s="544"/>
      <c r="I28" s="540"/>
      <c r="J28" s="543"/>
      <c r="K28" s="451"/>
      <c r="L28" s="451"/>
      <c r="M28" s="437"/>
      <c r="N28" s="438"/>
      <c r="O28" s="556"/>
      <c r="P28" s="439"/>
    </row>
    <row r="29" spans="1:16">
      <c r="A29" s="433"/>
      <c r="B29" s="451"/>
      <c r="C29" s="533"/>
      <c r="D29" s="451"/>
      <c r="E29" s="451"/>
      <c r="F29" s="451"/>
      <c r="G29" s="451"/>
      <c r="H29" s="543"/>
      <c r="I29" s="540"/>
      <c r="J29" s="543"/>
      <c r="K29" s="451"/>
      <c r="L29" s="451"/>
      <c r="M29" s="437"/>
      <c r="N29" s="438"/>
      <c r="O29" s="556"/>
      <c r="P29" s="439"/>
    </row>
    <row r="30" spans="1:16">
      <c r="A30" s="433"/>
      <c r="B30" s="451"/>
      <c r="C30" s="532"/>
      <c r="D30" s="451"/>
      <c r="E30" s="451"/>
      <c r="F30" s="451"/>
      <c r="G30" s="451"/>
      <c r="H30" s="543"/>
      <c r="I30" s="540"/>
      <c r="J30" s="543"/>
      <c r="K30" s="451"/>
      <c r="L30" s="451"/>
      <c r="M30" s="437"/>
      <c r="N30" s="438"/>
      <c r="O30" s="556"/>
      <c r="P30" s="439"/>
    </row>
    <row r="31" spans="1:16">
      <c r="A31" s="433"/>
      <c r="B31" s="451"/>
      <c r="C31" s="451"/>
      <c r="D31" s="451"/>
      <c r="E31" s="451"/>
      <c r="F31" s="451"/>
      <c r="G31" s="451"/>
      <c r="H31" s="543"/>
      <c r="I31" s="540"/>
      <c r="J31" s="543"/>
      <c r="K31" s="451"/>
      <c r="L31" s="451"/>
      <c r="M31" s="437"/>
      <c r="N31" s="438"/>
      <c r="O31" s="556"/>
      <c r="P31" s="439"/>
    </row>
    <row r="32" spans="1:16">
      <c r="A32" s="433"/>
      <c r="B32" s="451"/>
      <c r="C32" s="533"/>
      <c r="D32" s="451"/>
      <c r="E32" s="451"/>
      <c r="F32" s="451"/>
      <c r="G32" s="451"/>
      <c r="H32" s="543"/>
      <c r="I32" s="540"/>
      <c r="J32" s="543"/>
      <c r="K32" s="451"/>
      <c r="L32" s="451"/>
      <c r="M32" s="437"/>
      <c r="N32" s="438"/>
      <c r="O32" s="556"/>
      <c r="P32" s="439"/>
    </row>
    <row r="33" spans="1:16">
      <c r="A33" s="433"/>
      <c r="B33" s="451"/>
      <c r="C33" s="532"/>
      <c r="D33" s="451"/>
      <c r="E33" s="451"/>
      <c r="F33" s="451"/>
      <c r="G33" s="451"/>
      <c r="H33" s="543"/>
      <c r="I33" s="540"/>
      <c r="J33" s="543"/>
      <c r="K33" s="451"/>
      <c r="L33" s="451"/>
      <c r="M33" s="437"/>
      <c r="N33" s="438"/>
      <c r="O33" s="556"/>
      <c r="P33" s="439"/>
    </row>
    <row r="34" spans="1:16">
      <c r="A34" s="527"/>
      <c r="B34" s="528"/>
      <c r="C34" s="528"/>
      <c r="D34" s="528"/>
      <c r="E34" s="528"/>
      <c r="F34" s="528"/>
      <c r="G34" s="528"/>
      <c r="H34" s="546"/>
      <c r="I34" s="541"/>
      <c r="J34" s="546"/>
      <c r="K34" s="528"/>
      <c r="L34" s="528"/>
      <c r="M34" s="529"/>
      <c r="N34" s="530"/>
      <c r="O34" s="557"/>
      <c r="P34" s="531"/>
    </row>
    <row r="35" spans="1:16" ht="13.5" thickBot="1">
      <c r="A35" s="535"/>
      <c r="B35" s="536"/>
      <c r="C35" s="536"/>
      <c r="D35" s="536"/>
      <c r="E35" s="536"/>
      <c r="F35" s="536"/>
      <c r="G35" s="536"/>
      <c r="H35" s="547"/>
      <c r="I35" s="542"/>
      <c r="J35" s="547"/>
      <c r="K35" s="536"/>
      <c r="L35" s="536"/>
      <c r="M35" s="537"/>
      <c r="N35" s="538"/>
      <c r="O35" s="558"/>
      <c r="P35" s="539"/>
    </row>
    <row r="36" spans="1:16" ht="13.5" thickTop="1"/>
    <row r="49" spans="1:2">
      <c r="A49" s="395"/>
    </row>
    <row r="50" spans="1:2">
      <c r="B50" s="396"/>
    </row>
  </sheetData>
  <mergeCells count="1">
    <mergeCell ref="A1:P1"/>
  </mergeCells>
  <printOptions horizontalCentered="1"/>
  <pageMargins left="0.25" right="0.25" top="1" bottom="0.5" header="0.75" footer="0.25"/>
  <pageSetup scale="74" fitToHeight="0" orientation="landscape" r:id="rId1"/>
  <headerFooter>
    <oddHeader>&amp;L&amp;"Siemens Sans Black,Regular"&amp;26SIEMENS&amp;R&amp;D</oddHeader>
    <oddFooter>&amp;LNote: All sizes are preliminary for submittal purposes, actual size to be confirmed with the Sheet Metal Contractor.&amp;R&amp;P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9">
    <tabColor indexed="42"/>
    <pageSetUpPr fitToPage="1"/>
  </sheetPr>
  <dimension ref="A1:S32"/>
  <sheetViews>
    <sheetView tabSelected="1" zoomScaleNormal="100" workbookViewId="0">
      <selection activeCell="D22" sqref="D22"/>
    </sheetView>
  </sheetViews>
  <sheetFormatPr defaultColWidth="23.140625" defaultRowHeight="12.75"/>
  <cols>
    <col min="1" max="1" width="12.5703125" bestFit="1" customWidth="1"/>
    <col min="2" max="2" width="17.42578125" bestFit="1" customWidth="1"/>
    <col min="3" max="3" width="4.5703125" bestFit="1" customWidth="1"/>
    <col min="4" max="4" width="35.28515625" customWidth="1"/>
    <col min="5" max="5" width="13.5703125" bestFit="1" customWidth="1"/>
    <col min="6" max="6" width="15.5703125" bestFit="1" customWidth="1"/>
    <col min="7" max="7" width="23" bestFit="1" customWidth="1"/>
    <col min="8" max="8" width="17.5703125" bestFit="1" customWidth="1"/>
    <col min="9" max="9" width="21.5703125" bestFit="1" customWidth="1"/>
    <col min="10" max="10" width="33.28515625" bestFit="1" customWidth="1"/>
    <col min="11" max="11" width="26.85546875" bestFit="1" customWidth="1"/>
    <col min="12" max="12" width="20.5703125" bestFit="1" customWidth="1"/>
    <col min="13" max="13" width="15" bestFit="1" customWidth="1"/>
    <col min="15" max="15" width="15.140625" bestFit="1" customWidth="1"/>
    <col min="17" max="17" width="8" bestFit="1" customWidth="1"/>
    <col min="18" max="18" width="7.140625" bestFit="1" customWidth="1"/>
    <col min="19" max="19" width="4.7109375" bestFit="1" customWidth="1"/>
  </cols>
  <sheetData>
    <row r="1" spans="1:19">
      <c r="A1" s="756" t="s">
        <v>1853</v>
      </c>
      <c r="B1" s="756"/>
      <c r="C1" s="757" t="s">
        <v>1854</v>
      </c>
      <c r="D1" s="757"/>
      <c r="E1" s="758"/>
      <c r="F1" s="758"/>
      <c r="G1" s="758"/>
      <c r="H1" s="758"/>
      <c r="I1" s="758"/>
      <c r="J1" s="759" t="s">
        <v>1855</v>
      </c>
      <c r="K1" s="759"/>
      <c r="L1" s="759"/>
      <c r="M1" s="760"/>
      <c r="N1" s="141"/>
      <c r="O1" s="141"/>
      <c r="P1" s="141"/>
      <c r="Q1" s="141"/>
      <c r="R1" s="141"/>
      <c r="S1" s="141"/>
    </row>
    <row r="2" spans="1:19">
      <c r="A2" s="756" t="s">
        <v>1856</v>
      </c>
      <c r="B2" s="756"/>
      <c r="C2" s="761">
        <f ca="1">TODAY()</f>
        <v>43403</v>
      </c>
      <c r="D2" s="761"/>
      <c r="E2" s="758"/>
      <c r="F2" s="758"/>
      <c r="G2" s="758"/>
      <c r="H2" s="758"/>
      <c r="I2" s="758"/>
      <c r="J2" s="759" t="s">
        <v>1857</v>
      </c>
      <c r="K2" s="759"/>
      <c r="L2" s="759"/>
      <c r="M2" s="760"/>
      <c r="N2" s="141"/>
      <c r="O2" s="141"/>
      <c r="P2" s="141"/>
      <c r="Q2" s="141"/>
      <c r="R2" s="141"/>
      <c r="S2" s="141"/>
    </row>
    <row r="3" spans="1:19">
      <c r="A3" s="756" t="s">
        <v>1858</v>
      </c>
      <c r="B3" s="756"/>
      <c r="C3" s="762" t="s">
        <v>1859</v>
      </c>
      <c r="D3" s="762"/>
      <c r="E3" s="758"/>
      <c r="F3" s="758"/>
      <c r="G3" s="758"/>
      <c r="H3" s="758"/>
      <c r="I3" s="758"/>
      <c r="J3" s="759" t="s">
        <v>1860</v>
      </c>
      <c r="K3" s="763"/>
      <c r="L3" s="763"/>
      <c r="M3" s="760"/>
      <c r="N3" s="141"/>
      <c r="O3" s="141"/>
      <c r="P3" s="141"/>
      <c r="Q3" s="141"/>
      <c r="R3" s="141"/>
      <c r="S3" s="141"/>
    </row>
    <row r="4" spans="1:19">
      <c r="A4" s="756" t="s">
        <v>1861</v>
      </c>
      <c r="B4" s="756"/>
      <c r="C4" s="757" t="s">
        <v>1862</v>
      </c>
      <c r="D4" s="757"/>
      <c r="E4" s="758"/>
      <c r="F4" s="758"/>
      <c r="G4" s="758"/>
      <c r="H4" s="758"/>
      <c r="I4" s="758"/>
      <c r="J4" s="141"/>
      <c r="K4" s="759"/>
      <c r="L4" s="759"/>
      <c r="M4" s="760"/>
      <c r="N4" s="141"/>
      <c r="O4" s="141"/>
      <c r="P4" s="141"/>
      <c r="Q4" s="141"/>
      <c r="R4" s="141"/>
      <c r="S4" s="141"/>
    </row>
    <row r="5" spans="1:19" ht="16.5" thickBot="1">
      <c r="A5" s="702" t="s">
        <v>1863</v>
      </c>
      <c r="B5" s="702"/>
      <c r="C5" s="702"/>
      <c r="D5" s="702"/>
      <c r="E5" s="702"/>
      <c r="F5" s="702"/>
      <c r="G5" s="702"/>
      <c r="H5" s="702"/>
      <c r="I5" s="702"/>
      <c r="J5" s="702"/>
      <c r="K5" s="702"/>
      <c r="L5" s="702"/>
      <c r="M5" s="702"/>
      <c r="N5" s="702"/>
      <c r="O5" s="702"/>
      <c r="P5" s="702"/>
      <c r="Q5" s="702"/>
      <c r="R5" s="154"/>
      <c r="S5" s="154"/>
    </row>
    <row r="6" spans="1:19" ht="27" thickTop="1" thickBot="1">
      <c r="A6" s="764" t="s">
        <v>1864</v>
      </c>
      <c r="B6" s="765" t="s">
        <v>1865</v>
      </c>
      <c r="C6" s="766" t="s">
        <v>1100</v>
      </c>
      <c r="D6" s="766" t="s">
        <v>1866</v>
      </c>
      <c r="E6" s="766" t="s">
        <v>1867</v>
      </c>
      <c r="F6" s="766" t="s">
        <v>1868</v>
      </c>
      <c r="G6" s="766" t="s">
        <v>1869</v>
      </c>
      <c r="H6" s="766" t="s">
        <v>1870</v>
      </c>
      <c r="I6" s="766" t="s">
        <v>1871</v>
      </c>
      <c r="J6" s="766" t="s">
        <v>1872</v>
      </c>
      <c r="K6" s="766" t="s">
        <v>588</v>
      </c>
      <c r="L6" s="766" t="s">
        <v>0</v>
      </c>
      <c r="M6" s="766" t="s">
        <v>1873</v>
      </c>
      <c r="N6" s="766"/>
      <c r="O6" s="766" t="s">
        <v>1874</v>
      </c>
      <c r="P6" s="767"/>
      <c r="Q6" s="768" t="s">
        <v>1249</v>
      </c>
      <c r="R6" s="769" t="s">
        <v>1875</v>
      </c>
      <c r="S6" s="769" t="s">
        <v>1876</v>
      </c>
    </row>
    <row r="7" spans="1:19" ht="13.5" thickTop="1">
      <c r="A7" s="770" t="s">
        <v>1877</v>
      </c>
      <c r="B7" s="770" t="s">
        <v>1878</v>
      </c>
      <c r="C7" s="771">
        <v>1</v>
      </c>
      <c r="D7" s="772" t="s">
        <v>1879</v>
      </c>
      <c r="E7" s="773" t="s">
        <v>1265</v>
      </c>
      <c r="F7" s="772" t="s">
        <v>1880</v>
      </c>
      <c r="G7" s="774">
        <v>0.1</v>
      </c>
      <c r="H7" s="775">
        <v>1100</v>
      </c>
      <c r="I7" s="776"/>
      <c r="J7" s="771" t="s">
        <v>1881</v>
      </c>
      <c r="K7" s="771" t="s">
        <v>1882</v>
      </c>
      <c r="L7" s="777" t="s">
        <v>1883</v>
      </c>
      <c r="M7" s="771" t="s">
        <v>1247</v>
      </c>
      <c r="N7" s="778"/>
      <c r="O7" s="771" t="s">
        <v>1884</v>
      </c>
      <c r="P7" s="779"/>
      <c r="Q7" s="780"/>
      <c r="R7" s="781"/>
      <c r="S7" s="781"/>
    </row>
    <row r="8" spans="1:19">
      <c r="A8" s="770" t="s">
        <v>1885</v>
      </c>
      <c r="B8" s="770" t="s">
        <v>1886</v>
      </c>
      <c r="C8" s="771">
        <v>1</v>
      </c>
      <c r="D8" s="772" t="s">
        <v>1887</v>
      </c>
      <c r="E8" s="771" t="s">
        <v>1888</v>
      </c>
      <c r="F8" s="772" t="s">
        <v>1889</v>
      </c>
      <c r="G8" s="774">
        <v>0.1</v>
      </c>
      <c r="H8" s="775">
        <v>560</v>
      </c>
      <c r="I8" s="771"/>
      <c r="J8" s="771" t="s">
        <v>1881</v>
      </c>
      <c r="K8" s="771" t="s">
        <v>1890</v>
      </c>
      <c r="L8" s="777" t="s">
        <v>1883</v>
      </c>
      <c r="M8" s="771" t="s">
        <v>1247</v>
      </c>
      <c r="N8" s="778"/>
      <c r="O8" s="771" t="s">
        <v>1884</v>
      </c>
      <c r="P8" s="782"/>
      <c r="Q8" s="783">
        <f>(H8*P8)+H8</f>
        <v>560</v>
      </c>
      <c r="R8" s="781"/>
      <c r="S8" s="781"/>
    </row>
    <row r="9" spans="1:19">
      <c r="A9" s="770" t="s">
        <v>1891</v>
      </c>
      <c r="B9" s="770" t="s">
        <v>1892</v>
      </c>
      <c r="C9" s="771">
        <v>1</v>
      </c>
      <c r="D9" s="772" t="s">
        <v>1879</v>
      </c>
      <c r="E9" s="771" t="s">
        <v>1888</v>
      </c>
      <c r="F9" s="772" t="s">
        <v>1893</v>
      </c>
      <c r="G9" s="774">
        <v>0.1</v>
      </c>
      <c r="H9" s="775">
        <v>300</v>
      </c>
      <c r="I9" s="776"/>
      <c r="J9" s="771" t="s">
        <v>1881</v>
      </c>
      <c r="K9" s="771" t="s">
        <v>1894</v>
      </c>
      <c r="L9" s="777" t="s">
        <v>1883</v>
      </c>
      <c r="M9" s="771" t="s">
        <v>1247</v>
      </c>
      <c r="N9" s="778"/>
      <c r="O9" s="771" t="s">
        <v>1884</v>
      </c>
      <c r="P9" s="782"/>
      <c r="Q9" s="783"/>
      <c r="R9" s="781"/>
      <c r="S9" s="781"/>
    </row>
    <row r="10" spans="1:19">
      <c r="A10" s="770" t="s">
        <v>1895</v>
      </c>
      <c r="B10" s="770" t="s">
        <v>1896</v>
      </c>
      <c r="C10" s="771">
        <v>1</v>
      </c>
      <c r="D10" s="772" t="s">
        <v>1887</v>
      </c>
      <c r="E10" s="778" t="s">
        <v>1888</v>
      </c>
      <c r="F10" s="772" t="s">
        <v>1897</v>
      </c>
      <c r="G10" s="774">
        <v>0.1</v>
      </c>
      <c r="H10" s="775">
        <v>96</v>
      </c>
      <c r="I10" s="771"/>
      <c r="J10" s="771" t="s">
        <v>1881</v>
      </c>
      <c r="K10" s="771" t="s">
        <v>1898</v>
      </c>
      <c r="L10" s="777" t="s">
        <v>1883</v>
      </c>
      <c r="M10" s="771" t="s">
        <v>1247</v>
      </c>
      <c r="N10" s="778"/>
      <c r="O10" s="771" t="s">
        <v>1884</v>
      </c>
      <c r="P10" s="782"/>
      <c r="Q10" s="783">
        <f>(H10*P10)+H10</f>
        <v>96</v>
      </c>
      <c r="R10" s="781"/>
      <c r="S10" s="781"/>
    </row>
    <row r="11" spans="1:19">
      <c r="A11" s="770" t="s">
        <v>1899</v>
      </c>
      <c r="B11" s="770" t="s">
        <v>1900</v>
      </c>
      <c r="C11" s="771">
        <v>1</v>
      </c>
      <c r="D11" s="772" t="s">
        <v>1879</v>
      </c>
      <c r="E11" s="771" t="s">
        <v>1888</v>
      </c>
      <c r="F11" s="772" t="s">
        <v>1893</v>
      </c>
      <c r="G11" s="774">
        <v>0.1</v>
      </c>
      <c r="H11" s="775">
        <v>300</v>
      </c>
      <c r="I11" s="771"/>
      <c r="J11" s="771" t="s">
        <v>1881</v>
      </c>
      <c r="K11" s="771" t="s">
        <v>1894</v>
      </c>
      <c r="L11" s="777" t="s">
        <v>1883</v>
      </c>
      <c r="M11" s="771" t="s">
        <v>1247</v>
      </c>
      <c r="N11" s="778"/>
      <c r="O11" s="771" t="s">
        <v>1884</v>
      </c>
      <c r="P11" s="782"/>
      <c r="Q11" s="783"/>
      <c r="R11" s="781"/>
      <c r="S11" s="781"/>
    </row>
    <row r="12" spans="1:19">
      <c r="A12" s="770" t="s">
        <v>1901</v>
      </c>
      <c r="B12" s="770" t="s">
        <v>1902</v>
      </c>
      <c r="C12" s="771">
        <v>1</v>
      </c>
      <c r="D12" s="772" t="s">
        <v>526</v>
      </c>
      <c r="E12" s="771" t="s">
        <v>1903</v>
      </c>
      <c r="F12" s="772" t="s">
        <v>1897</v>
      </c>
      <c r="G12" s="774">
        <v>0.1</v>
      </c>
      <c r="H12" s="775">
        <v>96</v>
      </c>
      <c r="I12" s="771"/>
      <c r="J12" s="771" t="s">
        <v>1881</v>
      </c>
      <c r="K12" s="771" t="s">
        <v>1898</v>
      </c>
      <c r="L12" s="777" t="s">
        <v>1883</v>
      </c>
      <c r="M12" s="771" t="s">
        <v>1247</v>
      </c>
      <c r="N12" s="778"/>
      <c r="O12" s="771" t="s">
        <v>1884</v>
      </c>
      <c r="P12" s="782"/>
      <c r="Q12" s="783">
        <f>(H12*P12)+H12</f>
        <v>96</v>
      </c>
      <c r="R12" s="781"/>
      <c r="S12" s="781"/>
    </row>
    <row r="13" spans="1:19">
      <c r="A13" s="770" t="s">
        <v>1904</v>
      </c>
      <c r="B13" s="770" t="s">
        <v>1905</v>
      </c>
      <c r="C13" s="771">
        <v>1</v>
      </c>
      <c r="D13" s="772" t="s">
        <v>1879</v>
      </c>
      <c r="E13" s="771" t="s">
        <v>1888</v>
      </c>
      <c r="F13" s="772" t="s">
        <v>1893</v>
      </c>
      <c r="G13" s="774">
        <v>0.1</v>
      </c>
      <c r="H13" s="775">
        <v>343</v>
      </c>
      <c r="I13" s="771"/>
      <c r="J13" s="771" t="s">
        <v>1881</v>
      </c>
      <c r="K13" s="771" t="s">
        <v>1894</v>
      </c>
      <c r="L13" s="777" t="s">
        <v>1883</v>
      </c>
      <c r="M13" s="771" t="s">
        <v>1247</v>
      </c>
      <c r="N13" s="778"/>
      <c r="O13" s="771" t="s">
        <v>1884</v>
      </c>
      <c r="P13" s="782"/>
      <c r="Q13" s="783"/>
      <c r="R13" s="781"/>
      <c r="S13" s="781"/>
    </row>
    <row r="14" spans="1:19">
      <c r="A14" s="770" t="s">
        <v>1906</v>
      </c>
      <c r="B14" s="770" t="s">
        <v>1907</v>
      </c>
      <c r="C14" s="771">
        <v>1</v>
      </c>
      <c r="D14" s="772" t="s">
        <v>1887</v>
      </c>
      <c r="E14" s="771" t="s">
        <v>1908</v>
      </c>
      <c r="F14" s="772" t="s">
        <v>1909</v>
      </c>
      <c r="G14" s="774">
        <v>0.1</v>
      </c>
      <c r="H14" s="775">
        <v>88</v>
      </c>
      <c r="I14" s="771"/>
      <c r="J14" s="771" t="s">
        <v>1881</v>
      </c>
      <c r="K14" s="771" t="s">
        <v>1910</v>
      </c>
      <c r="L14" s="777" t="s">
        <v>1883</v>
      </c>
      <c r="M14" s="771" t="s">
        <v>1247</v>
      </c>
      <c r="N14" s="778"/>
      <c r="O14" s="771" t="s">
        <v>1884</v>
      </c>
      <c r="P14" s="782"/>
      <c r="Q14" s="783"/>
      <c r="R14" s="781"/>
      <c r="S14" s="781"/>
    </row>
    <row r="15" spans="1:19">
      <c r="A15" s="770" t="s">
        <v>1911</v>
      </c>
      <c r="B15" s="770" t="s">
        <v>1912</v>
      </c>
      <c r="C15" s="771">
        <v>1</v>
      </c>
      <c r="D15" s="772" t="s">
        <v>1879</v>
      </c>
      <c r="E15" s="771" t="s">
        <v>1908</v>
      </c>
      <c r="F15" s="772" t="s">
        <v>1893</v>
      </c>
      <c r="G15" s="774">
        <v>0.1</v>
      </c>
      <c r="H15" s="775">
        <v>187</v>
      </c>
      <c r="I15" s="771"/>
      <c r="J15" s="771" t="s">
        <v>1881</v>
      </c>
      <c r="K15" s="771" t="s">
        <v>1894</v>
      </c>
      <c r="L15" s="777" t="s">
        <v>1883</v>
      </c>
      <c r="M15" s="771" t="s">
        <v>1247</v>
      </c>
      <c r="N15" s="778"/>
      <c r="O15" s="771" t="s">
        <v>1884</v>
      </c>
      <c r="P15" s="782"/>
      <c r="Q15" s="783"/>
      <c r="R15" s="781"/>
      <c r="S15" s="781"/>
    </row>
    <row r="16" spans="1:19">
      <c r="A16" s="770" t="s">
        <v>1913</v>
      </c>
      <c r="B16" s="770" t="s">
        <v>1914</v>
      </c>
      <c r="C16" s="771">
        <v>1</v>
      </c>
      <c r="D16" s="772" t="s">
        <v>1887</v>
      </c>
      <c r="E16" s="784" t="s">
        <v>1915</v>
      </c>
      <c r="F16" s="772" t="s">
        <v>1897</v>
      </c>
      <c r="G16" s="774">
        <v>0.1</v>
      </c>
      <c r="H16" s="775">
        <v>40</v>
      </c>
      <c r="I16" s="771"/>
      <c r="J16" s="771" t="s">
        <v>1881</v>
      </c>
      <c r="K16" s="771" t="s">
        <v>1898</v>
      </c>
      <c r="L16" s="777" t="s">
        <v>1883</v>
      </c>
      <c r="M16" s="771" t="s">
        <v>1247</v>
      </c>
      <c r="N16" s="778"/>
      <c r="O16" s="771" t="s">
        <v>1884</v>
      </c>
      <c r="P16" s="782"/>
      <c r="Q16" s="783"/>
      <c r="R16" s="781"/>
      <c r="S16" s="781"/>
    </row>
    <row r="17" spans="1:19">
      <c r="A17" s="770" t="s">
        <v>1916</v>
      </c>
      <c r="B17" s="770" t="s">
        <v>1917</v>
      </c>
      <c r="C17" s="771">
        <v>1</v>
      </c>
      <c r="D17" s="772" t="s">
        <v>1879</v>
      </c>
      <c r="E17" s="771" t="s">
        <v>1908</v>
      </c>
      <c r="F17" s="772" t="s">
        <v>1893</v>
      </c>
      <c r="G17" s="774">
        <v>0.1</v>
      </c>
      <c r="H17" s="775">
        <v>187</v>
      </c>
      <c r="I17" s="771"/>
      <c r="J17" s="771" t="s">
        <v>1881</v>
      </c>
      <c r="K17" s="771" t="s">
        <v>1894</v>
      </c>
      <c r="L17" s="777" t="s">
        <v>1883</v>
      </c>
      <c r="M17" s="771" t="s">
        <v>1247</v>
      </c>
      <c r="N17" s="778"/>
      <c r="O17" s="771" t="s">
        <v>1884</v>
      </c>
      <c r="P17" s="782"/>
      <c r="Q17" s="783"/>
      <c r="R17" s="781"/>
      <c r="S17" s="781"/>
    </row>
    <row r="18" spans="1:19">
      <c r="A18" s="770" t="s">
        <v>1918</v>
      </c>
      <c r="B18" s="770" t="s">
        <v>1919</v>
      </c>
      <c r="C18" s="771">
        <v>1</v>
      </c>
      <c r="D18" s="772" t="s">
        <v>1887</v>
      </c>
      <c r="E18" s="771" t="s">
        <v>1920</v>
      </c>
      <c r="F18" s="772" t="s">
        <v>1897</v>
      </c>
      <c r="G18" s="774">
        <v>0.1</v>
      </c>
      <c r="H18" s="775">
        <v>40</v>
      </c>
      <c r="I18" s="771"/>
      <c r="J18" s="771" t="s">
        <v>1881</v>
      </c>
      <c r="K18" s="771" t="s">
        <v>1898</v>
      </c>
      <c r="L18" s="777" t="s">
        <v>1883</v>
      </c>
      <c r="M18" s="771" t="s">
        <v>1247</v>
      </c>
      <c r="N18" s="778"/>
      <c r="O18" s="771" t="s">
        <v>1884</v>
      </c>
      <c r="P18" s="782"/>
      <c r="Q18" s="783"/>
      <c r="R18" s="781"/>
      <c r="S18" s="781"/>
    </row>
    <row r="19" spans="1:19">
      <c r="A19" s="770" t="s">
        <v>1921</v>
      </c>
      <c r="B19" s="770" t="s">
        <v>1922</v>
      </c>
      <c r="C19" s="771">
        <v>1</v>
      </c>
      <c r="D19" s="772" t="s">
        <v>1879</v>
      </c>
      <c r="E19" s="771" t="s">
        <v>1888</v>
      </c>
      <c r="F19" s="772" t="s">
        <v>1889</v>
      </c>
      <c r="G19" s="774">
        <v>0.1</v>
      </c>
      <c r="H19" s="775">
        <v>480</v>
      </c>
      <c r="I19" s="771"/>
      <c r="J19" s="771" t="s">
        <v>1881</v>
      </c>
      <c r="K19" s="771" t="s">
        <v>1923</v>
      </c>
      <c r="L19" s="777" t="s">
        <v>1883</v>
      </c>
      <c r="M19" s="771" t="s">
        <v>1247</v>
      </c>
      <c r="N19" s="778"/>
      <c r="O19" s="771" t="s">
        <v>1884</v>
      </c>
      <c r="P19" s="782"/>
      <c r="Q19" s="783"/>
      <c r="R19" s="781"/>
      <c r="S19" s="781"/>
    </row>
    <row r="20" spans="1:19">
      <c r="A20" s="770" t="s">
        <v>1924</v>
      </c>
      <c r="B20" s="770" t="s">
        <v>1925</v>
      </c>
      <c r="C20" s="771">
        <v>1</v>
      </c>
      <c r="D20" s="772" t="s">
        <v>1926</v>
      </c>
      <c r="E20" s="771" t="s">
        <v>1888</v>
      </c>
      <c r="F20" s="772" t="s">
        <v>1888</v>
      </c>
      <c r="G20" s="774">
        <v>0.1</v>
      </c>
      <c r="H20" s="775">
        <v>1680</v>
      </c>
      <c r="I20" s="771"/>
      <c r="J20" s="771" t="s">
        <v>1881</v>
      </c>
      <c r="K20" s="771" t="s">
        <v>1923</v>
      </c>
      <c r="L20" s="777" t="s">
        <v>1883</v>
      </c>
      <c r="M20" s="771" t="s">
        <v>1247</v>
      </c>
      <c r="N20" s="778"/>
      <c r="O20" s="771" t="s">
        <v>1884</v>
      </c>
      <c r="P20" s="782"/>
      <c r="Q20" s="783"/>
      <c r="R20" s="781"/>
      <c r="S20" s="781"/>
    </row>
    <row r="21" spans="1:19" ht="22.5">
      <c r="A21" s="770" t="s">
        <v>1927</v>
      </c>
      <c r="B21" s="770" t="s">
        <v>1928</v>
      </c>
      <c r="C21" s="771">
        <v>1</v>
      </c>
      <c r="D21" s="777" t="s">
        <v>1929</v>
      </c>
      <c r="E21" s="771" t="s">
        <v>1930</v>
      </c>
      <c r="F21" s="772" t="s">
        <v>1930</v>
      </c>
      <c r="G21" s="774">
        <v>1</v>
      </c>
      <c r="H21" s="775">
        <v>70</v>
      </c>
      <c r="I21" s="771"/>
      <c r="J21" s="771" t="s">
        <v>1881</v>
      </c>
      <c r="K21" s="771" t="s">
        <v>1931</v>
      </c>
      <c r="L21" s="772" t="s">
        <v>1932</v>
      </c>
      <c r="M21" s="771" t="s">
        <v>1247</v>
      </c>
      <c r="N21" s="778"/>
      <c r="O21" s="771" t="s">
        <v>1933</v>
      </c>
      <c r="P21" s="782"/>
      <c r="Q21" s="783"/>
      <c r="R21" s="785"/>
      <c r="S21" s="781"/>
    </row>
    <row r="22" spans="1:19">
      <c r="A22" s="786" t="s">
        <v>1934</v>
      </c>
      <c r="B22" s="786" t="s">
        <v>1935</v>
      </c>
      <c r="C22" s="771">
        <v>1</v>
      </c>
      <c r="D22" s="772" t="s">
        <v>1936</v>
      </c>
      <c r="E22" s="771" t="s">
        <v>1937</v>
      </c>
      <c r="F22" s="772" t="s">
        <v>1938</v>
      </c>
      <c r="G22" s="775">
        <v>369</v>
      </c>
      <c r="H22" s="775">
        <v>2300</v>
      </c>
      <c r="I22" s="771"/>
      <c r="J22" s="771" t="s">
        <v>1881</v>
      </c>
      <c r="K22" s="771" t="s">
        <v>1939</v>
      </c>
      <c r="L22" s="772" t="s">
        <v>1940</v>
      </c>
      <c r="M22" s="771" t="s">
        <v>1247</v>
      </c>
      <c r="N22" s="778"/>
      <c r="O22" s="771" t="s">
        <v>1884</v>
      </c>
      <c r="P22" s="782"/>
      <c r="Q22" s="783"/>
      <c r="R22" s="781"/>
      <c r="S22" s="781"/>
    </row>
    <row r="23" spans="1:19">
      <c r="A23" s="786" t="s">
        <v>1941</v>
      </c>
      <c r="B23" s="786" t="s">
        <v>1942</v>
      </c>
      <c r="C23" s="771">
        <v>1</v>
      </c>
      <c r="D23" s="772" t="s">
        <v>1943</v>
      </c>
      <c r="E23" s="771" t="s">
        <v>1944</v>
      </c>
      <c r="F23" s="772" t="s">
        <v>1880</v>
      </c>
      <c r="G23" s="775">
        <v>369</v>
      </c>
      <c r="H23" s="775">
        <v>1600</v>
      </c>
      <c r="I23" s="771"/>
      <c r="J23" s="771" t="s">
        <v>1881</v>
      </c>
      <c r="K23" s="771" t="s">
        <v>1882</v>
      </c>
      <c r="L23" s="772" t="s">
        <v>1940</v>
      </c>
      <c r="M23" s="771" t="s">
        <v>1247</v>
      </c>
      <c r="N23" s="778"/>
      <c r="O23" s="771" t="s">
        <v>1884</v>
      </c>
      <c r="P23" s="782"/>
      <c r="Q23" s="783"/>
      <c r="R23" s="781"/>
      <c r="S23" s="781"/>
    </row>
    <row r="24" spans="1:19">
      <c r="A24" s="786" t="s">
        <v>1945</v>
      </c>
      <c r="B24" s="786" t="s">
        <v>1946</v>
      </c>
      <c r="C24" s="771">
        <v>1</v>
      </c>
      <c r="D24" s="772" t="s">
        <v>1947</v>
      </c>
      <c r="E24" s="771" t="s">
        <v>1944</v>
      </c>
      <c r="F24" s="772" t="s">
        <v>1880</v>
      </c>
      <c r="G24" s="775">
        <v>369</v>
      </c>
      <c r="H24" s="775">
        <v>1600</v>
      </c>
      <c r="I24" s="771"/>
      <c r="J24" s="771" t="s">
        <v>1881</v>
      </c>
      <c r="K24" s="771" t="s">
        <v>1882</v>
      </c>
      <c r="L24" s="772" t="s">
        <v>1940</v>
      </c>
      <c r="M24" s="771" t="s">
        <v>1247</v>
      </c>
      <c r="N24" s="778"/>
      <c r="O24" s="771" t="s">
        <v>1884</v>
      </c>
      <c r="P24" s="782"/>
      <c r="Q24" s="783"/>
      <c r="R24" s="781"/>
      <c r="S24" s="781"/>
    </row>
    <row r="25" spans="1:19">
      <c r="A25" s="786" t="s">
        <v>1948</v>
      </c>
      <c r="B25" s="786" t="s">
        <v>1949</v>
      </c>
      <c r="C25" s="771">
        <v>1</v>
      </c>
      <c r="D25" s="772" t="s">
        <v>1950</v>
      </c>
      <c r="E25" s="771" t="s">
        <v>1920</v>
      </c>
      <c r="F25" s="772" t="s">
        <v>1951</v>
      </c>
      <c r="G25" s="775">
        <v>1</v>
      </c>
      <c r="H25" s="775">
        <v>70</v>
      </c>
      <c r="I25" s="771"/>
      <c r="J25" s="771" t="s">
        <v>1881</v>
      </c>
      <c r="K25" s="771" t="s">
        <v>1952</v>
      </c>
      <c r="L25" s="772" t="s">
        <v>1940</v>
      </c>
      <c r="M25" s="771" t="s">
        <v>1247</v>
      </c>
      <c r="N25" s="778"/>
      <c r="O25" s="771" t="s">
        <v>1884</v>
      </c>
      <c r="P25" s="782"/>
      <c r="Q25" s="783"/>
      <c r="R25" s="781"/>
      <c r="S25" s="781"/>
    </row>
    <row r="26" spans="1:19">
      <c r="A26" s="786" t="s">
        <v>1953</v>
      </c>
      <c r="B26" s="786" t="s">
        <v>1954</v>
      </c>
      <c r="C26" s="771">
        <v>1</v>
      </c>
      <c r="D26" s="772" t="s">
        <v>1955</v>
      </c>
      <c r="E26" s="771" t="s">
        <v>1903</v>
      </c>
      <c r="F26" s="772" t="s">
        <v>1897</v>
      </c>
      <c r="G26" s="775">
        <v>2</v>
      </c>
      <c r="H26" s="775">
        <v>170</v>
      </c>
      <c r="I26" s="771"/>
      <c r="J26" s="771" t="s">
        <v>1881</v>
      </c>
      <c r="K26" s="771" t="s">
        <v>1956</v>
      </c>
      <c r="L26" s="772" t="s">
        <v>1957</v>
      </c>
      <c r="M26" s="771" t="s">
        <v>1247</v>
      </c>
      <c r="N26" s="778"/>
      <c r="O26" s="771" t="s">
        <v>1884</v>
      </c>
      <c r="P26" s="782"/>
      <c r="Q26" s="783"/>
      <c r="R26" s="781"/>
      <c r="S26" s="781"/>
    </row>
    <row r="27" spans="1:19">
      <c r="A27" s="786" t="s">
        <v>1958</v>
      </c>
      <c r="B27" s="786" t="s">
        <v>1959</v>
      </c>
      <c r="C27" s="771">
        <v>1</v>
      </c>
      <c r="D27" s="772" t="s">
        <v>1960</v>
      </c>
      <c r="E27" s="771" t="s">
        <v>1937</v>
      </c>
      <c r="F27" s="772" t="s">
        <v>1938</v>
      </c>
      <c r="G27" s="775">
        <v>1725</v>
      </c>
      <c r="H27" s="775">
        <v>1725</v>
      </c>
      <c r="I27" s="771"/>
      <c r="J27" s="771" t="s">
        <v>1881</v>
      </c>
      <c r="K27" s="771" t="s">
        <v>1939</v>
      </c>
      <c r="L27" s="772" t="s">
        <v>1957</v>
      </c>
      <c r="M27" s="771" t="s">
        <v>1247</v>
      </c>
      <c r="N27" s="778"/>
      <c r="O27" s="771" t="s">
        <v>1884</v>
      </c>
      <c r="P27" s="782"/>
      <c r="Q27" s="783"/>
      <c r="R27" s="781"/>
      <c r="S27" s="781"/>
    </row>
    <row r="28" spans="1:19">
      <c r="A28" s="786" t="s">
        <v>1961</v>
      </c>
      <c r="B28" s="786" t="s">
        <v>1962</v>
      </c>
      <c r="C28" s="771">
        <v>1</v>
      </c>
      <c r="D28" s="772" t="s">
        <v>1963</v>
      </c>
      <c r="E28" s="771" t="s">
        <v>1937</v>
      </c>
      <c r="F28" s="772" t="s">
        <v>1938</v>
      </c>
      <c r="G28" s="775">
        <v>1725</v>
      </c>
      <c r="H28" s="775">
        <v>1725</v>
      </c>
      <c r="I28" s="771"/>
      <c r="J28" s="771" t="s">
        <v>1881</v>
      </c>
      <c r="K28" s="771" t="s">
        <v>1939</v>
      </c>
      <c r="L28" s="772" t="s">
        <v>1957</v>
      </c>
      <c r="M28" s="771" t="s">
        <v>1247</v>
      </c>
      <c r="N28" s="778"/>
      <c r="O28" s="771" t="s">
        <v>1884</v>
      </c>
      <c r="P28" s="782"/>
      <c r="Q28" s="783"/>
      <c r="R28" s="781"/>
      <c r="S28" s="781"/>
    </row>
    <row r="29" spans="1:19" ht="22.5">
      <c r="A29" s="786" t="s">
        <v>1964</v>
      </c>
      <c r="B29" s="786" t="s">
        <v>1965</v>
      </c>
      <c r="C29" s="771">
        <v>1</v>
      </c>
      <c r="D29" s="772" t="s">
        <v>1966</v>
      </c>
      <c r="E29" s="771" t="s">
        <v>1920</v>
      </c>
      <c r="F29" s="772" t="s">
        <v>1930</v>
      </c>
      <c r="G29" s="775">
        <v>2</v>
      </c>
      <c r="H29" s="775">
        <v>120</v>
      </c>
      <c r="I29" s="771"/>
      <c r="J29" s="771" t="s">
        <v>1881</v>
      </c>
      <c r="K29" s="771" t="s">
        <v>1967</v>
      </c>
      <c r="L29" s="772" t="s">
        <v>1932</v>
      </c>
      <c r="M29" s="771" t="s">
        <v>1247</v>
      </c>
      <c r="N29" s="778"/>
      <c r="O29" s="771" t="s">
        <v>1933</v>
      </c>
      <c r="P29" s="782"/>
      <c r="Q29" s="783"/>
      <c r="R29" s="781"/>
      <c r="S29" s="781"/>
    </row>
    <row r="30" spans="1:19">
      <c r="A30" s="786" t="s">
        <v>1968</v>
      </c>
      <c r="B30" s="786" t="s">
        <v>1969</v>
      </c>
      <c r="C30" s="771">
        <v>1</v>
      </c>
      <c r="D30" s="772" t="s">
        <v>1970</v>
      </c>
      <c r="E30" s="771" t="s">
        <v>1903</v>
      </c>
      <c r="F30" s="772" t="s">
        <v>1897</v>
      </c>
      <c r="G30" s="775">
        <v>2</v>
      </c>
      <c r="H30" s="775">
        <v>170</v>
      </c>
      <c r="I30" s="771"/>
      <c r="J30" s="771" t="s">
        <v>1881</v>
      </c>
      <c r="K30" s="771" t="s">
        <v>1956</v>
      </c>
      <c r="L30" s="772" t="s">
        <v>1957</v>
      </c>
      <c r="M30" s="771" t="s">
        <v>1247</v>
      </c>
      <c r="N30" s="778"/>
      <c r="O30" s="771" t="s">
        <v>1884</v>
      </c>
      <c r="P30" s="782"/>
      <c r="Q30" s="783"/>
      <c r="R30" s="781"/>
      <c r="S30" s="781"/>
    </row>
    <row r="31" spans="1:19">
      <c r="A31" s="786" t="s">
        <v>1971</v>
      </c>
      <c r="B31" s="786" t="s">
        <v>1972</v>
      </c>
      <c r="C31" s="771">
        <v>1</v>
      </c>
      <c r="D31" s="772" t="s">
        <v>1887</v>
      </c>
      <c r="E31" s="771" t="s">
        <v>1888</v>
      </c>
      <c r="F31" s="772" t="s">
        <v>1889</v>
      </c>
      <c r="G31" s="775">
        <v>48</v>
      </c>
      <c r="H31" s="775">
        <v>1100</v>
      </c>
      <c r="I31" s="771"/>
      <c r="J31" s="771" t="s">
        <v>1881</v>
      </c>
      <c r="K31" s="771" t="s">
        <v>1890</v>
      </c>
      <c r="L31" s="772" t="s">
        <v>1957</v>
      </c>
      <c r="M31" s="771" t="s">
        <v>1247</v>
      </c>
      <c r="N31" s="778"/>
      <c r="O31" s="771" t="s">
        <v>1884</v>
      </c>
      <c r="P31" s="782"/>
      <c r="Q31" s="783"/>
      <c r="R31" s="781"/>
      <c r="S31" s="781"/>
    </row>
    <row r="32" spans="1:19" ht="22.5">
      <c r="A32" s="786" t="s">
        <v>1973</v>
      </c>
      <c r="B32" s="786" t="s">
        <v>1974</v>
      </c>
      <c r="C32" s="771">
        <v>1</v>
      </c>
      <c r="D32" s="772" t="s">
        <v>1975</v>
      </c>
      <c r="E32" s="771" t="s">
        <v>1920</v>
      </c>
      <c r="F32" s="772" t="s">
        <v>1976</v>
      </c>
      <c r="G32" s="775">
        <v>1</v>
      </c>
      <c r="H32" s="775">
        <v>70</v>
      </c>
      <c r="I32" s="771"/>
      <c r="J32" s="771" t="s">
        <v>1881</v>
      </c>
      <c r="K32" s="771" t="s">
        <v>1967</v>
      </c>
      <c r="L32" s="772" t="s">
        <v>1932</v>
      </c>
      <c r="M32" s="771" t="s">
        <v>1247</v>
      </c>
      <c r="N32" s="778"/>
      <c r="O32" s="771" t="s">
        <v>1933</v>
      </c>
      <c r="P32" s="782"/>
      <c r="Q32" s="783"/>
      <c r="R32" s="781"/>
      <c r="S32" s="781"/>
    </row>
  </sheetData>
  <mergeCells count="5">
    <mergeCell ref="A5:Q5"/>
    <mergeCell ref="C1:D1"/>
    <mergeCell ref="C2:D2"/>
    <mergeCell ref="C3:D3"/>
    <mergeCell ref="C4:D4"/>
  </mergeCells>
  <printOptions horizontalCentered="1"/>
  <pageMargins left="0.25" right="0.25" top="1.25" bottom="0.75" header="0.75" footer="0.25"/>
  <pageSetup scale="75" fitToHeight="0" orientation="landscape" r:id="rId1"/>
  <headerFooter>
    <oddHeader>&amp;L&amp;"Siemens Sans Black,Regular"&amp;26SIEMENS&amp;R&amp;D</oddHeader>
    <oddFooter>&amp;R&amp;P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indexed="42"/>
  </sheetPr>
  <dimension ref="A1:AM47"/>
  <sheetViews>
    <sheetView zoomScaleNormal="100" workbookViewId="0">
      <selection activeCell="O21" sqref="O21"/>
    </sheetView>
  </sheetViews>
  <sheetFormatPr defaultRowHeight="12.75"/>
  <cols>
    <col min="1" max="1" width="27.140625" style="154" bestFit="1" customWidth="1"/>
    <col min="2" max="2" width="1.7109375" style="154" customWidth="1"/>
    <col min="3" max="3" width="29.28515625" style="154" bestFit="1" customWidth="1"/>
    <col min="4" max="4" width="1.7109375" style="154" customWidth="1"/>
    <col min="5" max="5" width="16.5703125" style="154" bestFit="1" customWidth="1"/>
    <col min="6" max="6" width="1.7109375" style="154" customWidth="1"/>
    <col min="7" max="7" width="9.140625" style="154"/>
    <col min="8" max="8" width="1.7109375" style="154" customWidth="1"/>
    <col min="9" max="9" width="9.140625" style="154"/>
    <col min="10" max="10" width="1.7109375" style="154" customWidth="1"/>
    <col min="11" max="11" width="18.7109375" style="154" customWidth="1"/>
    <col min="12" max="12" width="1.7109375" style="154" customWidth="1"/>
    <col min="13" max="13" width="12.7109375" style="154" customWidth="1"/>
    <col min="14" max="14" width="1.7109375" style="154" customWidth="1"/>
    <col min="15" max="15" width="12.7109375" style="154" customWidth="1"/>
    <col min="16" max="16" width="1.7109375" style="154" customWidth="1"/>
    <col min="17" max="17" width="10.7109375" style="154" customWidth="1"/>
    <col min="18" max="18" width="1.7109375" style="154" customWidth="1"/>
    <col min="19" max="19" width="12" style="154" bestFit="1" customWidth="1"/>
    <col min="20" max="20" width="1.7109375" style="154" customWidth="1"/>
    <col min="21" max="21" width="12.7109375" style="154" customWidth="1"/>
    <col min="22" max="22" width="1.7109375" style="154" customWidth="1"/>
    <col min="23" max="23" width="12.7109375" style="154" customWidth="1"/>
    <col min="24" max="24" width="1.7109375" style="154" customWidth="1"/>
    <col min="25" max="25" width="12.7109375" style="154" customWidth="1"/>
    <col min="26" max="26" width="1.7109375" style="154" customWidth="1"/>
    <col min="27" max="27" width="12.7109375" style="154" customWidth="1"/>
    <col min="28" max="28" width="1.7109375" style="154" customWidth="1"/>
    <col min="29" max="29" width="10.28515625" style="154" customWidth="1"/>
    <col min="30" max="30" width="1.7109375" style="154" customWidth="1"/>
    <col min="31" max="31" width="4.85546875" style="154" customWidth="1"/>
    <col min="32" max="32" width="1.7109375" style="154" customWidth="1"/>
    <col min="33" max="33" width="4.7109375" style="154" customWidth="1"/>
    <col min="34" max="34" width="1.7109375" style="154" customWidth="1"/>
    <col min="35" max="35" width="4.5703125" style="154" bestFit="1" customWidth="1"/>
    <col min="36" max="36" width="1.7109375" style="154" customWidth="1"/>
    <col min="37" max="37" width="9.7109375" style="154" customWidth="1"/>
    <col min="38" max="38" width="1.7109375" style="154" customWidth="1"/>
    <col min="39" max="39" width="7.5703125" style="154" bestFit="1" customWidth="1"/>
    <col min="40" max="16384" width="9.140625" style="154"/>
  </cols>
  <sheetData>
    <row r="1" spans="1:39" ht="15.75">
      <c r="A1" s="703" t="s">
        <v>338</v>
      </c>
      <c r="B1" s="704"/>
      <c r="C1" s="704"/>
      <c r="D1" s="704"/>
      <c r="E1" s="704"/>
      <c r="F1" s="704"/>
      <c r="G1" s="705"/>
      <c r="H1" s="142"/>
      <c r="I1" s="270"/>
      <c r="J1" s="142"/>
      <c r="K1" s="270"/>
      <c r="L1" s="142"/>
      <c r="M1" s="270"/>
      <c r="N1" s="142"/>
      <c r="O1" s="270"/>
      <c r="P1" s="142"/>
      <c r="Q1" s="270"/>
      <c r="R1" s="283"/>
      <c r="S1" s="283"/>
      <c r="T1" s="283"/>
      <c r="U1" s="270"/>
      <c r="V1" s="142"/>
      <c r="X1" s="142"/>
      <c r="Z1" s="142"/>
      <c r="AB1" s="142"/>
      <c r="AC1" s="270"/>
      <c r="AD1" s="142"/>
      <c r="AE1" s="706" t="s">
        <v>296</v>
      </c>
      <c r="AF1" s="707"/>
      <c r="AG1" s="707"/>
      <c r="AH1" s="707"/>
      <c r="AI1" s="707"/>
      <c r="AJ1" s="707"/>
      <c r="AK1" s="708"/>
    </row>
    <row r="2" spans="1:39" ht="45">
      <c r="A2" s="400" t="s">
        <v>297</v>
      </c>
      <c r="B2" s="401"/>
      <c r="C2" s="400" t="s">
        <v>298</v>
      </c>
      <c r="D2" s="401"/>
      <c r="E2" s="402" t="s">
        <v>317</v>
      </c>
      <c r="F2" s="401"/>
      <c r="G2" s="402" t="s">
        <v>299</v>
      </c>
      <c r="H2" s="403"/>
      <c r="I2" s="402" t="s">
        <v>300</v>
      </c>
      <c r="J2" s="404"/>
      <c r="K2" s="402" t="s">
        <v>301</v>
      </c>
      <c r="L2" s="404"/>
      <c r="M2" s="402" t="s">
        <v>302</v>
      </c>
      <c r="N2" s="404"/>
      <c r="O2" s="402" t="s">
        <v>303</v>
      </c>
      <c r="P2" s="404"/>
      <c r="Q2" s="402" t="s">
        <v>304</v>
      </c>
      <c r="R2" s="405"/>
      <c r="S2" s="400" t="s">
        <v>3</v>
      </c>
      <c r="T2" s="405"/>
      <c r="U2" s="402" t="s">
        <v>310</v>
      </c>
      <c r="V2" s="404"/>
      <c r="W2" s="402" t="s">
        <v>311</v>
      </c>
      <c r="X2" s="404"/>
      <c r="Y2" s="402" t="s">
        <v>335</v>
      </c>
      <c r="Z2" s="404"/>
      <c r="AA2" s="402" t="s">
        <v>331</v>
      </c>
      <c r="AB2" s="404"/>
      <c r="AC2" s="402" t="s">
        <v>305</v>
      </c>
      <c r="AD2" s="406"/>
      <c r="AE2" s="407" t="s">
        <v>306</v>
      </c>
      <c r="AF2" s="401"/>
      <c r="AG2" s="407" t="s">
        <v>307</v>
      </c>
      <c r="AH2" s="401"/>
      <c r="AI2" s="407" t="s">
        <v>347</v>
      </c>
      <c r="AJ2" s="401"/>
      <c r="AK2" s="408" t="s">
        <v>308</v>
      </c>
      <c r="AL2" s="401"/>
      <c r="AM2" s="402" t="s">
        <v>1253</v>
      </c>
    </row>
    <row r="3" spans="1:39">
      <c r="A3" s="284" t="s">
        <v>336</v>
      </c>
      <c r="C3" s="284" t="s">
        <v>309</v>
      </c>
      <c r="E3" s="284" t="s">
        <v>67</v>
      </c>
      <c r="G3" s="284" t="s">
        <v>295</v>
      </c>
      <c r="I3" s="284" t="s">
        <v>334</v>
      </c>
      <c r="K3" s="284" t="s">
        <v>337</v>
      </c>
      <c r="M3" s="284" t="s">
        <v>316</v>
      </c>
      <c r="O3" s="284" t="s">
        <v>315</v>
      </c>
      <c r="Q3" s="284" t="s">
        <v>314</v>
      </c>
      <c r="R3" s="283"/>
      <c r="S3" s="284"/>
      <c r="T3" s="283"/>
      <c r="U3" s="284" t="s">
        <v>312</v>
      </c>
      <c r="W3" s="284" t="s">
        <v>313</v>
      </c>
      <c r="Y3" s="284" t="s">
        <v>312</v>
      </c>
      <c r="AA3" s="284" t="s">
        <v>332</v>
      </c>
      <c r="AC3" s="286" t="s">
        <v>333</v>
      </c>
      <c r="AE3" s="284">
        <v>14</v>
      </c>
      <c r="AG3" s="284"/>
      <c r="AI3" s="284"/>
      <c r="AK3" s="286" t="s">
        <v>496</v>
      </c>
      <c r="AM3" s="285"/>
    </row>
    <row r="4" spans="1:39">
      <c r="A4" s="284"/>
      <c r="C4" s="284"/>
      <c r="E4" s="284"/>
      <c r="G4" s="284"/>
      <c r="I4" s="284"/>
      <c r="K4" s="284"/>
      <c r="M4" s="284"/>
      <c r="O4" s="284"/>
      <c r="Q4" s="284"/>
      <c r="R4" s="283"/>
      <c r="S4" s="284"/>
      <c r="T4" s="283"/>
      <c r="U4" s="284"/>
      <c r="W4" s="284"/>
      <c r="Y4" s="284"/>
      <c r="AA4" s="284"/>
      <c r="AC4" s="286"/>
      <c r="AE4" s="284"/>
      <c r="AG4" s="284"/>
      <c r="AI4" s="284"/>
      <c r="AK4" s="286"/>
      <c r="AM4" s="285"/>
    </row>
    <row r="5" spans="1:39">
      <c r="A5" s="284"/>
      <c r="C5" s="284"/>
      <c r="E5" s="284"/>
      <c r="G5" s="284"/>
      <c r="I5" s="284"/>
      <c r="K5" s="284"/>
      <c r="M5" s="284"/>
      <c r="O5" s="284"/>
      <c r="Q5" s="284"/>
      <c r="R5" s="283"/>
      <c r="S5" s="284"/>
      <c r="T5" s="283"/>
      <c r="U5" s="284"/>
      <c r="W5" s="284"/>
      <c r="Y5" s="284"/>
      <c r="AA5" s="284"/>
      <c r="AC5" s="286"/>
      <c r="AE5" s="284"/>
      <c r="AG5" s="284"/>
      <c r="AI5" s="284"/>
      <c r="AK5" s="286"/>
      <c r="AM5" s="285"/>
    </row>
    <row r="6" spans="1:39">
      <c r="A6" s="284"/>
      <c r="C6" s="284"/>
      <c r="E6" s="284"/>
      <c r="G6" s="284"/>
      <c r="I6" s="284"/>
      <c r="K6" s="284"/>
      <c r="M6" s="284"/>
      <c r="O6" s="284"/>
      <c r="Q6" s="284"/>
      <c r="R6" s="283"/>
      <c r="S6" s="284"/>
      <c r="T6" s="283"/>
      <c r="U6" s="284"/>
      <c r="W6" s="284"/>
      <c r="Y6" s="284"/>
      <c r="AA6" s="284"/>
      <c r="AC6" s="286"/>
      <c r="AE6" s="284"/>
      <c r="AG6" s="284"/>
      <c r="AI6" s="284"/>
      <c r="AK6" s="286"/>
      <c r="AM6" s="285"/>
    </row>
    <row r="7" spans="1:39">
      <c r="A7" s="284"/>
      <c r="C7" s="284"/>
      <c r="E7" s="284"/>
      <c r="G7" s="284"/>
      <c r="I7" s="284"/>
      <c r="K7" s="284"/>
      <c r="M7" s="284"/>
      <c r="O7" s="284"/>
      <c r="Q7" s="284"/>
      <c r="R7" s="283"/>
      <c r="S7" s="284"/>
      <c r="T7" s="283"/>
      <c r="U7" s="284"/>
      <c r="W7" s="284"/>
      <c r="Y7" s="284"/>
      <c r="AA7" s="284"/>
      <c r="AC7" s="286"/>
      <c r="AE7" s="284"/>
      <c r="AG7" s="284"/>
      <c r="AI7" s="284"/>
      <c r="AK7" s="286"/>
      <c r="AM7" s="285"/>
    </row>
    <row r="8" spans="1:39">
      <c r="A8" s="284"/>
      <c r="C8" s="284"/>
      <c r="E8" s="284"/>
      <c r="G8" s="284"/>
      <c r="I8" s="284"/>
      <c r="K8" s="284"/>
      <c r="M8" s="284"/>
      <c r="O8" s="284"/>
      <c r="Q8" s="284"/>
      <c r="R8" s="283"/>
      <c r="S8" s="284"/>
      <c r="T8" s="283"/>
      <c r="U8" s="284"/>
      <c r="W8" s="284"/>
      <c r="Y8" s="284"/>
      <c r="AA8" s="284"/>
      <c r="AC8" s="286"/>
      <c r="AE8" s="284"/>
      <c r="AG8" s="284"/>
      <c r="AI8" s="284"/>
      <c r="AK8" s="286"/>
      <c r="AM8" s="285"/>
    </row>
    <row r="9" spans="1:39">
      <c r="A9" s="284"/>
      <c r="C9" s="284"/>
      <c r="E9" s="284"/>
      <c r="G9" s="284"/>
      <c r="I9" s="284"/>
      <c r="K9" s="284"/>
      <c r="M9" s="284"/>
      <c r="O9" s="284"/>
      <c r="Q9" s="284"/>
      <c r="R9" s="283"/>
      <c r="S9" s="284"/>
      <c r="T9" s="283"/>
      <c r="U9" s="284"/>
      <c r="W9" s="284"/>
      <c r="Y9" s="284"/>
      <c r="AA9" s="284"/>
      <c r="AC9" s="286"/>
      <c r="AE9" s="284"/>
      <c r="AG9" s="284"/>
      <c r="AI9" s="284"/>
      <c r="AK9" s="286"/>
      <c r="AM9" s="285"/>
    </row>
    <row r="10" spans="1:39">
      <c r="A10" s="284"/>
      <c r="C10" s="284"/>
      <c r="E10" s="284"/>
      <c r="G10" s="284"/>
      <c r="I10" s="284"/>
      <c r="K10" s="284"/>
      <c r="M10" s="284"/>
      <c r="O10" s="284"/>
      <c r="Q10" s="284"/>
      <c r="R10" s="283"/>
      <c r="S10" s="284"/>
      <c r="T10" s="283"/>
      <c r="U10" s="284"/>
      <c r="W10" s="284"/>
      <c r="Y10" s="284"/>
      <c r="AA10" s="284"/>
      <c r="AC10" s="286"/>
      <c r="AE10" s="284"/>
      <c r="AG10" s="284"/>
      <c r="AI10" s="284"/>
      <c r="AK10" s="286"/>
      <c r="AM10" s="285"/>
    </row>
    <row r="11" spans="1:39">
      <c r="A11" s="284"/>
      <c r="C11" s="284"/>
      <c r="E11" s="284"/>
      <c r="G11" s="284"/>
      <c r="I11" s="284"/>
      <c r="K11" s="284"/>
      <c r="M11" s="284"/>
      <c r="O11" s="284"/>
      <c r="Q11" s="284"/>
      <c r="R11" s="283"/>
      <c r="S11" s="284"/>
      <c r="T11" s="283"/>
      <c r="U11" s="284"/>
      <c r="W11" s="284"/>
      <c r="Y11" s="284"/>
      <c r="AA11" s="284"/>
      <c r="AC11" s="286"/>
      <c r="AE11" s="284"/>
      <c r="AG11" s="284"/>
      <c r="AI11" s="284"/>
      <c r="AK11" s="286"/>
      <c r="AM11" s="285"/>
    </row>
    <row r="12" spans="1:39">
      <c r="A12" s="284"/>
      <c r="C12" s="284"/>
      <c r="E12" s="284"/>
      <c r="G12" s="284"/>
      <c r="I12" s="284"/>
      <c r="K12" s="284"/>
      <c r="M12" s="284"/>
      <c r="O12" s="284"/>
      <c r="Q12" s="284"/>
      <c r="R12" s="283"/>
      <c r="S12" s="284"/>
      <c r="T12" s="283"/>
      <c r="U12" s="284"/>
      <c r="W12" s="284"/>
      <c r="Y12" s="284"/>
      <c r="AA12" s="284"/>
      <c r="AC12" s="286"/>
      <c r="AE12" s="284"/>
      <c r="AG12" s="284"/>
      <c r="AI12" s="284"/>
      <c r="AK12" s="286"/>
      <c r="AM12" s="285"/>
    </row>
    <row r="13" spans="1:39">
      <c r="A13" s="284"/>
      <c r="C13" s="284"/>
      <c r="E13" s="284"/>
      <c r="G13" s="284"/>
      <c r="I13" s="284"/>
      <c r="K13" s="284"/>
      <c r="M13" s="284"/>
      <c r="O13" s="284"/>
      <c r="Q13" s="284"/>
      <c r="R13" s="283"/>
      <c r="S13" s="284"/>
      <c r="T13" s="283"/>
      <c r="U13" s="284"/>
      <c r="W13" s="284"/>
      <c r="Y13" s="284"/>
      <c r="AA13" s="284"/>
      <c r="AC13" s="286"/>
      <c r="AE13" s="284"/>
      <c r="AG13" s="284"/>
      <c r="AI13" s="284"/>
      <c r="AK13" s="286"/>
      <c r="AM13" s="285"/>
    </row>
    <row r="14" spans="1:39">
      <c r="A14" s="284"/>
      <c r="C14" s="284"/>
      <c r="E14" s="284"/>
      <c r="G14" s="284"/>
      <c r="I14" s="284"/>
      <c r="K14" s="284"/>
      <c r="M14" s="284"/>
      <c r="O14" s="284"/>
      <c r="Q14" s="284"/>
      <c r="R14" s="283"/>
      <c r="S14" s="284"/>
      <c r="T14" s="283"/>
      <c r="U14" s="284"/>
      <c r="W14" s="284"/>
      <c r="Y14" s="284"/>
      <c r="AA14" s="284"/>
      <c r="AC14" s="286"/>
      <c r="AE14" s="284"/>
      <c r="AG14" s="284"/>
      <c r="AI14" s="284"/>
      <c r="AK14" s="286"/>
      <c r="AM14" s="285"/>
    </row>
    <row r="15" spans="1:39">
      <c r="A15" s="284"/>
      <c r="C15" s="284"/>
      <c r="E15" s="284"/>
      <c r="G15" s="284"/>
      <c r="I15" s="284"/>
      <c r="K15" s="284"/>
      <c r="M15" s="284"/>
      <c r="O15" s="284"/>
      <c r="Q15" s="284"/>
      <c r="R15" s="283"/>
      <c r="S15" s="284"/>
      <c r="T15" s="283"/>
      <c r="U15" s="284"/>
      <c r="W15" s="284"/>
      <c r="Y15" s="284"/>
      <c r="AA15" s="284"/>
      <c r="AC15" s="286"/>
      <c r="AE15" s="284"/>
      <c r="AG15" s="284"/>
      <c r="AI15" s="284"/>
      <c r="AK15" s="286"/>
      <c r="AM15" s="285"/>
    </row>
    <row r="16" spans="1:39">
      <c r="A16" s="284"/>
      <c r="C16" s="284"/>
      <c r="E16" s="285"/>
      <c r="G16" s="284"/>
      <c r="I16" s="284"/>
      <c r="K16" s="284"/>
      <c r="M16" s="284"/>
      <c r="O16" s="284"/>
      <c r="Q16" s="284"/>
      <c r="R16" s="283"/>
      <c r="S16" s="284"/>
      <c r="T16" s="283"/>
      <c r="U16" s="284"/>
      <c r="W16" s="284"/>
      <c r="Y16" s="284"/>
      <c r="AA16" s="284"/>
      <c r="AC16" s="286"/>
      <c r="AE16" s="284"/>
      <c r="AG16" s="284"/>
      <c r="AI16" s="284"/>
      <c r="AK16" s="284"/>
      <c r="AM16" s="285"/>
    </row>
    <row r="17" spans="1:39">
      <c r="A17" s="284"/>
      <c r="C17" s="284"/>
      <c r="E17" s="285"/>
      <c r="G17" s="284"/>
      <c r="I17" s="284"/>
      <c r="K17" s="284"/>
      <c r="M17" s="284"/>
      <c r="O17" s="284"/>
      <c r="Q17" s="284"/>
      <c r="R17" s="283"/>
      <c r="S17" s="284"/>
      <c r="T17" s="283"/>
      <c r="U17" s="284"/>
      <c r="W17" s="284"/>
      <c r="Y17" s="284"/>
      <c r="AA17" s="284"/>
      <c r="AC17" s="286"/>
      <c r="AE17" s="284"/>
      <c r="AG17" s="284"/>
      <c r="AI17" s="284"/>
      <c r="AK17" s="284"/>
      <c r="AM17" s="285"/>
    </row>
    <row r="18" spans="1:39">
      <c r="A18" s="284"/>
      <c r="C18" s="284"/>
      <c r="E18" s="285"/>
      <c r="G18" s="284"/>
      <c r="I18" s="284"/>
      <c r="K18" s="284"/>
      <c r="M18" s="284"/>
      <c r="O18" s="284"/>
      <c r="Q18" s="284"/>
      <c r="R18" s="283"/>
      <c r="S18" s="284"/>
      <c r="T18" s="283"/>
      <c r="U18" s="284"/>
      <c r="W18" s="284"/>
      <c r="Y18" s="284"/>
      <c r="AA18" s="284"/>
      <c r="AC18" s="284"/>
      <c r="AE18" s="284"/>
      <c r="AG18" s="284"/>
      <c r="AI18" s="284"/>
      <c r="AK18" s="284"/>
      <c r="AM18" s="285"/>
    </row>
    <row r="19" spans="1:39">
      <c r="A19" s="284"/>
      <c r="C19" s="284"/>
      <c r="E19" s="285"/>
      <c r="G19" s="284"/>
      <c r="I19" s="284"/>
      <c r="K19" s="284"/>
      <c r="M19" s="284"/>
      <c r="O19" s="284"/>
      <c r="Q19" s="284"/>
      <c r="R19" s="283"/>
      <c r="S19" s="284"/>
      <c r="T19" s="283"/>
      <c r="U19" s="284"/>
      <c r="W19" s="284"/>
      <c r="Y19" s="284"/>
      <c r="AA19" s="284"/>
      <c r="AC19" s="284"/>
      <c r="AE19" s="284"/>
      <c r="AG19" s="284"/>
      <c r="AI19" s="284"/>
      <c r="AK19" s="284"/>
      <c r="AM19" s="285"/>
    </row>
    <row r="20" spans="1:39">
      <c r="A20" s="283"/>
      <c r="C20" s="283"/>
      <c r="E20" s="142"/>
      <c r="G20" s="283"/>
      <c r="I20" s="283"/>
      <c r="K20" s="283"/>
      <c r="M20" s="283"/>
      <c r="O20" s="283"/>
      <c r="Q20" s="283"/>
      <c r="R20" s="283"/>
      <c r="S20" s="283"/>
      <c r="T20" s="283"/>
      <c r="U20" s="283"/>
      <c r="W20" s="283"/>
      <c r="Y20" s="283"/>
      <c r="AA20" s="283"/>
      <c r="AC20" s="283"/>
      <c r="AE20" s="283"/>
      <c r="AG20" s="283"/>
      <c r="AI20" s="283"/>
      <c r="AK20" s="283"/>
    </row>
    <row r="27" spans="1:39" ht="15.75">
      <c r="A27" s="409" t="s">
        <v>1250</v>
      </c>
      <c r="B27" s="397"/>
      <c r="C27" s="397"/>
    </row>
    <row r="28" spans="1:39" ht="15">
      <c r="A28" s="410" t="s">
        <v>1251</v>
      </c>
      <c r="B28" s="411"/>
      <c r="C28" s="412" t="s">
        <v>1252</v>
      </c>
    </row>
    <row r="29" spans="1:39">
      <c r="A29" s="398"/>
      <c r="B29" s="397"/>
      <c r="C29" s="398"/>
    </row>
    <row r="30" spans="1:39">
      <c r="A30" s="398"/>
      <c r="B30" s="397"/>
      <c r="C30" s="398"/>
    </row>
    <row r="31" spans="1:39">
      <c r="A31" s="398"/>
      <c r="B31" s="397"/>
      <c r="C31" s="398"/>
    </row>
    <row r="32" spans="1:39">
      <c r="A32" s="398"/>
      <c r="B32" s="397"/>
      <c r="C32" s="398"/>
    </row>
    <row r="33" spans="1:3">
      <c r="A33" s="398"/>
      <c r="B33" s="397"/>
      <c r="C33" s="398"/>
    </row>
    <row r="34" spans="1:3">
      <c r="A34" s="398"/>
      <c r="B34" s="397"/>
      <c r="C34" s="398"/>
    </row>
    <row r="35" spans="1:3">
      <c r="A35" s="398"/>
      <c r="B35" s="397"/>
      <c r="C35" s="398"/>
    </row>
    <row r="36" spans="1:3">
      <c r="A36" s="398"/>
      <c r="B36" s="397"/>
      <c r="C36" s="398"/>
    </row>
    <row r="37" spans="1:3">
      <c r="A37" s="398"/>
      <c r="B37" s="397"/>
      <c r="C37" s="398"/>
    </row>
    <row r="38" spans="1:3">
      <c r="A38" s="398"/>
      <c r="B38" s="397"/>
      <c r="C38" s="398"/>
    </row>
    <row r="39" spans="1:3">
      <c r="A39" s="398"/>
      <c r="B39" s="397"/>
      <c r="C39" s="398"/>
    </row>
    <row r="40" spans="1:3">
      <c r="A40" s="398"/>
      <c r="B40" s="397"/>
      <c r="C40" s="398"/>
    </row>
    <row r="41" spans="1:3">
      <c r="A41" s="398"/>
      <c r="B41" s="397"/>
      <c r="C41" s="398"/>
    </row>
    <row r="42" spans="1:3">
      <c r="A42" s="398"/>
      <c r="B42" s="397"/>
      <c r="C42" s="398"/>
    </row>
    <row r="43" spans="1:3">
      <c r="A43" s="398"/>
      <c r="B43" s="397"/>
      <c r="C43" s="398"/>
    </row>
    <row r="44" spans="1:3">
      <c r="A44" s="398"/>
      <c r="B44" s="397"/>
      <c r="C44" s="398"/>
    </row>
    <row r="45" spans="1:3">
      <c r="A45" s="398"/>
      <c r="B45" s="397"/>
      <c r="C45" s="398"/>
    </row>
    <row r="46" spans="1:3">
      <c r="A46" s="398"/>
      <c r="B46" s="397"/>
      <c r="C46" s="398"/>
    </row>
    <row r="47" spans="1:3">
      <c r="A47" s="398"/>
      <c r="B47" s="397"/>
      <c r="C47" s="398"/>
    </row>
  </sheetData>
  <mergeCells count="2">
    <mergeCell ref="A1:G1"/>
    <mergeCell ref="AE1:AK1"/>
  </mergeCells>
  <phoneticPr fontId="12" type="noConversion"/>
  <pageMargins left="1" right="0.25" top="1" bottom="0.5" header="0.5" footer="0.5"/>
  <pageSetup paperSize="17" scale="71" orientation="landscape" r:id="rId1"/>
  <headerFooter alignWithMargins="0"/>
  <rowBreaks count="1" manualBreakCount="1">
    <brk id="2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tabColor indexed="42"/>
    <pageSetUpPr fitToPage="1"/>
  </sheetPr>
  <dimension ref="A1:AM20"/>
  <sheetViews>
    <sheetView zoomScaleNormal="100" workbookViewId="0">
      <selection activeCell="A4" sqref="A4:AK15"/>
    </sheetView>
  </sheetViews>
  <sheetFormatPr defaultRowHeight="12.75"/>
  <cols>
    <col min="1" max="1" width="9.7109375" bestFit="1" customWidth="1"/>
    <col min="2" max="2" width="1.7109375" customWidth="1"/>
    <col min="3" max="3" width="19.42578125" bestFit="1" customWidth="1"/>
    <col min="4" max="4" width="1.7109375" customWidth="1"/>
    <col min="5" max="5" width="9.5703125" bestFit="1" customWidth="1"/>
    <col min="6" max="6" width="1.7109375" customWidth="1"/>
    <col min="7" max="7" width="4.5703125" bestFit="1" customWidth="1"/>
    <col min="8" max="8" width="1.7109375" customWidth="1"/>
    <col min="9" max="9" width="8.140625" bestFit="1" customWidth="1"/>
    <col min="10" max="10" width="1.7109375" customWidth="1"/>
    <col min="11" max="11" width="12" customWidth="1"/>
    <col min="12" max="12" width="1.7109375" customWidth="1"/>
    <col min="13" max="13" width="8.5703125" bestFit="1" customWidth="1"/>
    <col min="14" max="14" width="1.7109375" customWidth="1"/>
    <col min="15" max="15" width="13.5703125" bestFit="1" customWidth="1"/>
    <col min="16" max="16" width="1.7109375" customWidth="1"/>
    <col min="17" max="17" width="14.42578125" bestFit="1" customWidth="1"/>
    <col min="18" max="18" width="1.7109375" customWidth="1"/>
    <col min="19" max="19" width="18" customWidth="1"/>
    <col min="20" max="20" width="1.7109375" customWidth="1"/>
    <col min="21" max="21" width="12.7109375" hidden="1" customWidth="1"/>
    <col min="22" max="22" width="1.7109375" hidden="1" customWidth="1"/>
    <col min="23" max="23" width="12.7109375" hidden="1" customWidth="1"/>
    <col min="24" max="24" width="1.7109375" hidden="1" customWidth="1"/>
    <col min="25" max="25" width="12.7109375" hidden="1" customWidth="1"/>
    <col min="26" max="26" width="1.7109375" hidden="1" customWidth="1"/>
    <col min="27" max="27" width="12.7109375" hidden="1" customWidth="1"/>
    <col min="28" max="28" width="1.7109375" hidden="1" customWidth="1"/>
    <col min="29" max="29" width="10.85546875" customWidth="1"/>
    <col min="30" max="30" width="1.7109375" customWidth="1"/>
    <col min="32" max="32" width="1.7109375" customWidth="1"/>
    <col min="34" max="34" width="1.7109375" customWidth="1"/>
    <col min="36" max="36" width="1.7109375" customWidth="1"/>
    <col min="38" max="38" width="1.7109375" customWidth="1"/>
  </cols>
  <sheetData>
    <row r="1" spans="1:39" ht="15.75">
      <c r="A1" s="709" t="s">
        <v>24</v>
      </c>
      <c r="B1" s="710"/>
      <c r="C1" s="710"/>
      <c r="D1" s="710"/>
      <c r="E1" s="710"/>
      <c r="F1" s="710"/>
      <c r="G1" s="711"/>
      <c r="H1" s="142"/>
      <c r="I1" s="270"/>
      <c r="J1" s="142"/>
      <c r="K1" s="270"/>
      <c r="L1" s="142"/>
      <c r="M1" s="270"/>
      <c r="N1" s="142"/>
      <c r="O1" s="270"/>
      <c r="P1" s="142"/>
      <c r="Q1" s="270"/>
      <c r="R1" s="283"/>
      <c r="S1" s="283"/>
      <c r="T1" s="283"/>
      <c r="U1" s="270"/>
      <c r="V1" s="142"/>
      <c r="W1" s="154"/>
      <c r="X1" s="142"/>
      <c r="Y1" s="154"/>
      <c r="Z1" s="142"/>
      <c r="AA1" s="154"/>
      <c r="AB1" s="142"/>
      <c r="AC1" s="270"/>
      <c r="AD1" s="142"/>
      <c r="AE1" s="712" t="s">
        <v>296</v>
      </c>
      <c r="AF1" s="713"/>
      <c r="AG1" s="713"/>
      <c r="AH1" s="713"/>
      <c r="AI1" s="713"/>
      <c r="AJ1" s="713"/>
      <c r="AK1" s="714"/>
      <c r="AL1" s="154"/>
      <c r="AM1" s="154"/>
    </row>
    <row r="2" spans="1:39" ht="45">
      <c r="A2" s="400" t="s">
        <v>297</v>
      </c>
      <c r="B2" s="401"/>
      <c r="C2" s="400" t="s">
        <v>298</v>
      </c>
      <c r="D2" s="401"/>
      <c r="E2" s="402" t="s">
        <v>6</v>
      </c>
      <c r="F2" s="401"/>
      <c r="G2" s="402" t="s">
        <v>347</v>
      </c>
      <c r="H2" s="403"/>
      <c r="I2" s="402" t="s">
        <v>8</v>
      </c>
      <c r="J2" s="404"/>
      <c r="K2" s="402" t="s">
        <v>12</v>
      </c>
      <c r="L2" s="404"/>
      <c r="M2" s="402" t="s">
        <v>9</v>
      </c>
      <c r="N2" s="404"/>
      <c r="O2" s="402" t="s">
        <v>13</v>
      </c>
      <c r="P2" s="404"/>
      <c r="Q2" s="402" t="s">
        <v>14</v>
      </c>
      <c r="R2" s="405"/>
      <c r="S2" s="402" t="s">
        <v>15</v>
      </c>
      <c r="T2" s="405"/>
      <c r="U2" s="402" t="s">
        <v>310</v>
      </c>
      <c r="V2" s="404"/>
      <c r="W2" s="402" t="s">
        <v>311</v>
      </c>
      <c r="X2" s="404"/>
      <c r="Y2" s="402" t="s">
        <v>335</v>
      </c>
      <c r="Z2" s="404"/>
      <c r="AA2" s="402" t="s">
        <v>331</v>
      </c>
      <c r="AB2" s="404"/>
      <c r="AC2" s="402" t="s">
        <v>305</v>
      </c>
      <c r="AD2" s="406"/>
      <c r="AE2" s="407" t="s">
        <v>306</v>
      </c>
      <c r="AF2" s="401"/>
      <c r="AG2" s="407" t="s">
        <v>307</v>
      </c>
      <c r="AH2" s="401"/>
      <c r="AI2" s="407" t="s">
        <v>347</v>
      </c>
      <c r="AJ2" s="401"/>
      <c r="AK2" s="408" t="s">
        <v>308</v>
      </c>
      <c r="AL2" s="401"/>
      <c r="AM2" s="402" t="s">
        <v>1253</v>
      </c>
    </row>
    <row r="3" spans="1:39">
      <c r="A3" s="284" t="s">
        <v>336</v>
      </c>
      <c r="B3" s="154"/>
      <c r="C3" s="284" t="s">
        <v>10</v>
      </c>
      <c r="D3" s="154"/>
      <c r="E3" s="289" t="s">
        <v>7</v>
      </c>
      <c r="F3" s="154"/>
      <c r="G3" s="284">
        <v>1</v>
      </c>
      <c r="H3" s="154"/>
      <c r="I3" s="284">
        <v>1</v>
      </c>
      <c r="J3" s="154"/>
      <c r="K3" s="284">
        <v>1234</v>
      </c>
      <c r="L3" s="154"/>
      <c r="M3" s="284" t="s">
        <v>11</v>
      </c>
      <c r="N3" s="154"/>
      <c r="O3" s="284" t="s">
        <v>25</v>
      </c>
      <c r="P3" s="154"/>
      <c r="Q3" s="284" t="s">
        <v>26</v>
      </c>
      <c r="R3" s="283"/>
      <c r="S3" s="284" t="s">
        <v>27</v>
      </c>
      <c r="T3" s="283"/>
      <c r="U3" s="284" t="s">
        <v>312</v>
      </c>
      <c r="V3" s="154"/>
      <c r="W3" s="284" t="s">
        <v>313</v>
      </c>
      <c r="X3" s="154"/>
      <c r="Y3" s="284" t="s">
        <v>312</v>
      </c>
      <c r="Z3" s="154"/>
      <c r="AA3" s="284" t="s">
        <v>332</v>
      </c>
      <c r="AB3" s="154"/>
      <c r="AC3" s="286" t="s">
        <v>333</v>
      </c>
      <c r="AD3" s="154"/>
      <c r="AE3" s="284">
        <v>14</v>
      </c>
      <c r="AF3" s="154"/>
      <c r="AG3" s="284"/>
      <c r="AH3" s="154"/>
      <c r="AI3" s="284"/>
      <c r="AJ3" s="154"/>
      <c r="AK3" s="286" t="s">
        <v>496</v>
      </c>
      <c r="AL3" s="154"/>
      <c r="AM3" s="285"/>
    </row>
    <row r="4" spans="1:39">
      <c r="A4" s="284"/>
      <c r="B4" s="154"/>
      <c r="C4" s="284"/>
      <c r="D4" s="154"/>
      <c r="E4" s="284"/>
      <c r="F4" s="154"/>
      <c r="G4" s="284"/>
      <c r="H4" s="154"/>
      <c r="I4" s="284"/>
      <c r="J4" s="154"/>
      <c r="K4" s="284"/>
      <c r="L4" s="154"/>
      <c r="M4" s="284"/>
      <c r="N4" s="154"/>
      <c r="O4" s="284"/>
      <c r="P4" s="154"/>
      <c r="Q4" s="284"/>
      <c r="R4" s="283"/>
      <c r="S4" s="284"/>
      <c r="T4" s="283"/>
      <c r="U4" s="284"/>
      <c r="V4" s="154"/>
      <c r="W4" s="284"/>
      <c r="X4" s="154"/>
      <c r="Y4" s="284"/>
      <c r="Z4" s="154"/>
      <c r="AA4" s="284"/>
      <c r="AB4" s="154"/>
      <c r="AC4" s="286"/>
      <c r="AD4" s="154"/>
      <c r="AE4" s="284"/>
      <c r="AF4" s="154"/>
      <c r="AG4" s="284"/>
      <c r="AH4" s="154"/>
      <c r="AI4" s="284"/>
      <c r="AJ4" s="154"/>
      <c r="AK4" s="286"/>
      <c r="AL4" s="154"/>
      <c r="AM4" s="285"/>
    </row>
    <row r="5" spans="1:39">
      <c r="A5" s="284"/>
      <c r="B5" s="154"/>
      <c r="C5" s="284"/>
      <c r="D5" s="154"/>
      <c r="E5" s="289"/>
      <c r="F5" s="154"/>
      <c r="G5" s="284"/>
      <c r="H5" s="154"/>
      <c r="I5" s="284"/>
      <c r="J5" s="154"/>
      <c r="K5" s="284"/>
      <c r="L5" s="154"/>
      <c r="M5" s="284"/>
      <c r="N5" s="154"/>
      <c r="O5" s="284"/>
      <c r="P5" s="154"/>
      <c r="Q5" s="284"/>
      <c r="R5" s="283"/>
      <c r="S5" s="284"/>
      <c r="T5" s="283"/>
      <c r="U5" s="284"/>
      <c r="V5" s="154"/>
      <c r="W5" s="284"/>
      <c r="X5" s="154"/>
      <c r="Y5" s="284"/>
      <c r="Z5" s="154"/>
      <c r="AA5" s="284"/>
      <c r="AB5" s="154"/>
      <c r="AC5" s="286"/>
      <c r="AD5" s="154"/>
      <c r="AE5" s="284"/>
      <c r="AF5" s="154"/>
      <c r="AG5" s="284"/>
      <c r="AH5" s="154"/>
      <c r="AI5" s="284"/>
      <c r="AJ5" s="154"/>
      <c r="AK5" s="286"/>
      <c r="AL5" s="154"/>
      <c r="AM5" s="285"/>
    </row>
    <row r="6" spans="1:39">
      <c r="A6" s="284"/>
      <c r="B6" s="154"/>
      <c r="C6" s="284"/>
      <c r="D6" s="154"/>
      <c r="E6" s="284"/>
      <c r="F6" s="154"/>
      <c r="G6" s="284"/>
      <c r="H6" s="154"/>
      <c r="I6" s="284"/>
      <c r="J6" s="154"/>
      <c r="K6" s="284"/>
      <c r="L6" s="154"/>
      <c r="M6" s="284"/>
      <c r="N6" s="154"/>
      <c r="O6" s="284"/>
      <c r="P6" s="154"/>
      <c r="Q6" s="284"/>
      <c r="R6" s="283"/>
      <c r="S6" s="284"/>
      <c r="T6" s="283"/>
      <c r="U6" s="284"/>
      <c r="V6" s="154"/>
      <c r="W6" s="284"/>
      <c r="X6" s="154"/>
      <c r="Y6" s="284"/>
      <c r="Z6" s="154"/>
      <c r="AA6" s="284"/>
      <c r="AB6" s="154"/>
      <c r="AC6" s="286"/>
      <c r="AD6" s="154"/>
      <c r="AE6" s="284"/>
      <c r="AF6" s="154"/>
      <c r="AG6" s="284"/>
      <c r="AH6" s="154"/>
      <c r="AI6" s="284"/>
      <c r="AJ6" s="154"/>
      <c r="AK6" s="286"/>
      <c r="AL6" s="154"/>
      <c r="AM6" s="285"/>
    </row>
    <row r="7" spans="1:39">
      <c r="A7" s="284"/>
      <c r="B7" s="154"/>
      <c r="C7" s="284"/>
      <c r="D7" s="154"/>
      <c r="E7" s="289"/>
      <c r="F7" s="154"/>
      <c r="G7" s="284"/>
      <c r="H7" s="154"/>
      <c r="I7" s="284"/>
      <c r="J7" s="154"/>
      <c r="K7" s="284"/>
      <c r="L7" s="154"/>
      <c r="M7" s="284"/>
      <c r="N7" s="154"/>
      <c r="O7" s="284"/>
      <c r="P7" s="154"/>
      <c r="Q7" s="284"/>
      <c r="R7" s="283"/>
      <c r="S7" s="284"/>
      <c r="T7" s="283"/>
      <c r="U7" s="284"/>
      <c r="V7" s="154"/>
      <c r="W7" s="284"/>
      <c r="X7" s="154"/>
      <c r="Y7" s="284"/>
      <c r="Z7" s="154"/>
      <c r="AA7" s="284"/>
      <c r="AB7" s="154"/>
      <c r="AC7" s="286"/>
      <c r="AD7" s="154"/>
      <c r="AE7" s="284"/>
      <c r="AF7" s="154"/>
      <c r="AG7" s="284"/>
      <c r="AH7" s="154"/>
      <c r="AI7" s="284"/>
      <c r="AJ7" s="154"/>
      <c r="AK7" s="286"/>
      <c r="AL7" s="154"/>
      <c r="AM7" s="285"/>
    </row>
    <row r="8" spans="1:39">
      <c r="A8" s="284"/>
      <c r="B8" s="154"/>
      <c r="C8" s="284"/>
      <c r="D8" s="154"/>
      <c r="E8" s="284"/>
      <c r="F8" s="154"/>
      <c r="G8" s="284"/>
      <c r="H8" s="154"/>
      <c r="I8" s="284"/>
      <c r="J8" s="154"/>
      <c r="K8" s="284"/>
      <c r="L8" s="154"/>
      <c r="M8" s="284"/>
      <c r="N8" s="154"/>
      <c r="O8" s="284"/>
      <c r="P8" s="154"/>
      <c r="Q8" s="284"/>
      <c r="R8" s="283"/>
      <c r="S8" s="284"/>
      <c r="T8" s="283"/>
      <c r="U8" s="284"/>
      <c r="V8" s="154"/>
      <c r="W8" s="284"/>
      <c r="X8" s="154"/>
      <c r="Y8" s="284"/>
      <c r="Z8" s="154"/>
      <c r="AA8" s="284"/>
      <c r="AB8" s="154"/>
      <c r="AC8" s="286"/>
      <c r="AD8" s="154"/>
      <c r="AE8" s="284"/>
      <c r="AF8" s="154"/>
      <c r="AG8" s="284"/>
      <c r="AH8" s="154"/>
      <c r="AI8" s="284"/>
      <c r="AJ8" s="154"/>
      <c r="AK8" s="286"/>
      <c r="AL8" s="154"/>
      <c r="AM8" s="285"/>
    </row>
    <row r="9" spans="1:39">
      <c r="A9" s="284"/>
      <c r="B9" s="154"/>
      <c r="C9" s="284"/>
      <c r="D9" s="154"/>
      <c r="E9" s="289"/>
      <c r="F9" s="154"/>
      <c r="G9" s="284"/>
      <c r="H9" s="154"/>
      <c r="I9" s="284"/>
      <c r="J9" s="154"/>
      <c r="K9" s="284"/>
      <c r="L9" s="154"/>
      <c r="M9" s="284"/>
      <c r="N9" s="154"/>
      <c r="O9" s="284"/>
      <c r="P9" s="154"/>
      <c r="Q9" s="284"/>
      <c r="R9" s="283"/>
      <c r="S9" s="284"/>
      <c r="T9" s="283"/>
      <c r="U9" s="284"/>
      <c r="V9" s="154"/>
      <c r="W9" s="284"/>
      <c r="X9" s="154"/>
      <c r="Y9" s="284"/>
      <c r="Z9" s="154"/>
      <c r="AA9" s="284"/>
      <c r="AB9" s="154"/>
      <c r="AC9" s="286"/>
      <c r="AD9" s="154"/>
      <c r="AE9" s="284"/>
      <c r="AF9" s="154"/>
      <c r="AG9" s="284"/>
      <c r="AH9" s="154"/>
      <c r="AI9" s="284"/>
      <c r="AJ9" s="154"/>
      <c r="AK9" s="286"/>
      <c r="AL9" s="154"/>
      <c r="AM9" s="285"/>
    </row>
    <row r="10" spans="1:39">
      <c r="A10" s="284"/>
      <c r="B10" s="154"/>
      <c r="C10" s="284"/>
      <c r="D10" s="154"/>
      <c r="E10" s="284"/>
      <c r="F10" s="154"/>
      <c r="G10" s="284"/>
      <c r="H10" s="154"/>
      <c r="I10" s="284"/>
      <c r="J10" s="154"/>
      <c r="K10" s="284"/>
      <c r="L10" s="154"/>
      <c r="M10" s="284"/>
      <c r="N10" s="154"/>
      <c r="O10" s="284"/>
      <c r="P10" s="154"/>
      <c r="Q10" s="284"/>
      <c r="R10" s="283"/>
      <c r="S10" s="284"/>
      <c r="T10" s="283"/>
      <c r="U10" s="284"/>
      <c r="V10" s="154"/>
      <c r="W10" s="284"/>
      <c r="X10" s="154"/>
      <c r="Y10" s="284"/>
      <c r="Z10" s="154"/>
      <c r="AA10" s="284"/>
      <c r="AB10" s="154"/>
      <c r="AC10" s="286"/>
      <c r="AD10" s="154"/>
      <c r="AE10" s="284"/>
      <c r="AF10" s="154"/>
      <c r="AG10" s="284"/>
      <c r="AH10" s="154"/>
      <c r="AI10" s="284"/>
      <c r="AJ10" s="154"/>
      <c r="AK10" s="286"/>
      <c r="AL10" s="154"/>
      <c r="AM10" s="285"/>
    </row>
    <row r="11" spans="1:39">
      <c r="A11" s="284"/>
      <c r="B11" s="154"/>
      <c r="C11" s="284"/>
      <c r="D11" s="154"/>
      <c r="E11" s="289"/>
      <c r="F11" s="154"/>
      <c r="G11" s="284"/>
      <c r="H11" s="154"/>
      <c r="I11" s="284"/>
      <c r="J11" s="154"/>
      <c r="K11" s="284"/>
      <c r="L11" s="154"/>
      <c r="M11" s="284"/>
      <c r="N11" s="154"/>
      <c r="O11" s="284"/>
      <c r="P11" s="154"/>
      <c r="Q11" s="284"/>
      <c r="R11" s="283"/>
      <c r="S11" s="284"/>
      <c r="T11" s="283"/>
      <c r="U11" s="284"/>
      <c r="V11" s="154"/>
      <c r="W11" s="284"/>
      <c r="X11" s="154"/>
      <c r="Y11" s="284"/>
      <c r="Z11" s="154"/>
      <c r="AA11" s="284"/>
      <c r="AB11" s="154"/>
      <c r="AC11" s="286"/>
      <c r="AD11" s="154"/>
      <c r="AE11" s="284"/>
      <c r="AF11" s="154"/>
      <c r="AG11" s="284"/>
      <c r="AH11" s="154"/>
      <c r="AI11" s="284"/>
      <c r="AJ11" s="154"/>
      <c r="AK11" s="286"/>
      <c r="AL11" s="154"/>
      <c r="AM11" s="285"/>
    </row>
    <row r="12" spans="1:39">
      <c r="A12" s="284"/>
      <c r="B12" s="154"/>
      <c r="C12" s="284"/>
      <c r="D12" s="154"/>
      <c r="E12" s="284"/>
      <c r="F12" s="154"/>
      <c r="G12" s="284"/>
      <c r="H12" s="154"/>
      <c r="I12" s="284"/>
      <c r="J12" s="154"/>
      <c r="K12" s="284"/>
      <c r="L12" s="154"/>
      <c r="M12" s="284"/>
      <c r="N12" s="154"/>
      <c r="O12" s="284"/>
      <c r="P12" s="154"/>
      <c r="Q12" s="284"/>
      <c r="R12" s="283"/>
      <c r="S12" s="284"/>
      <c r="T12" s="283"/>
      <c r="U12" s="284"/>
      <c r="V12" s="154"/>
      <c r="W12" s="284"/>
      <c r="X12" s="154"/>
      <c r="Y12" s="284"/>
      <c r="Z12" s="154"/>
      <c r="AA12" s="284"/>
      <c r="AB12" s="154"/>
      <c r="AC12" s="286"/>
      <c r="AD12" s="154"/>
      <c r="AE12" s="284"/>
      <c r="AF12" s="154"/>
      <c r="AG12" s="284"/>
      <c r="AH12" s="154"/>
      <c r="AI12" s="284"/>
      <c r="AJ12" s="154"/>
      <c r="AK12" s="286"/>
      <c r="AL12" s="154"/>
      <c r="AM12" s="285"/>
    </row>
    <row r="13" spans="1:39">
      <c r="A13" s="284"/>
      <c r="B13" s="154"/>
      <c r="C13" s="284"/>
      <c r="D13" s="154"/>
      <c r="E13" s="289"/>
      <c r="F13" s="154"/>
      <c r="G13" s="284"/>
      <c r="H13" s="154"/>
      <c r="I13" s="284"/>
      <c r="J13" s="154"/>
      <c r="K13" s="284"/>
      <c r="L13" s="154"/>
      <c r="M13" s="284"/>
      <c r="N13" s="154"/>
      <c r="O13" s="284"/>
      <c r="P13" s="154"/>
      <c r="Q13" s="284"/>
      <c r="R13" s="283"/>
      <c r="S13" s="284"/>
      <c r="T13" s="283"/>
      <c r="U13" s="284"/>
      <c r="V13" s="154"/>
      <c r="W13" s="284"/>
      <c r="X13" s="154"/>
      <c r="Y13" s="284"/>
      <c r="Z13" s="154"/>
      <c r="AA13" s="284"/>
      <c r="AB13" s="154"/>
      <c r="AC13" s="286"/>
      <c r="AD13" s="154"/>
      <c r="AE13" s="284"/>
      <c r="AF13" s="154"/>
      <c r="AG13" s="284"/>
      <c r="AH13" s="154"/>
      <c r="AI13" s="284"/>
      <c r="AJ13" s="154"/>
      <c r="AK13" s="286"/>
      <c r="AL13" s="154"/>
      <c r="AM13" s="285"/>
    </row>
    <row r="14" spans="1:39">
      <c r="A14" s="284"/>
      <c r="B14" s="154"/>
      <c r="C14" s="284"/>
      <c r="D14" s="154"/>
      <c r="E14" s="284"/>
      <c r="F14" s="154"/>
      <c r="G14" s="284"/>
      <c r="H14" s="154"/>
      <c r="I14" s="284"/>
      <c r="J14" s="154"/>
      <c r="K14" s="284"/>
      <c r="L14" s="154"/>
      <c r="M14" s="284"/>
      <c r="N14" s="154"/>
      <c r="O14" s="284"/>
      <c r="P14" s="154"/>
      <c r="Q14" s="284"/>
      <c r="R14" s="283"/>
      <c r="S14" s="284"/>
      <c r="T14" s="283"/>
      <c r="U14" s="284"/>
      <c r="V14" s="154"/>
      <c r="W14" s="284"/>
      <c r="X14" s="154"/>
      <c r="Y14" s="284"/>
      <c r="Z14" s="154"/>
      <c r="AA14" s="284"/>
      <c r="AB14" s="154"/>
      <c r="AC14" s="286"/>
      <c r="AD14" s="154"/>
      <c r="AE14" s="284"/>
      <c r="AF14" s="154"/>
      <c r="AG14" s="284"/>
      <c r="AH14" s="154"/>
      <c r="AI14" s="284"/>
      <c r="AJ14" s="154"/>
      <c r="AK14" s="286"/>
      <c r="AL14" s="154"/>
      <c r="AM14" s="285"/>
    </row>
    <row r="15" spans="1:39">
      <c r="A15" s="284"/>
      <c r="B15" s="154"/>
      <c r="C15" s="284"/>
      <c r="D15" s="154"/>
      <c r="E15" s="289"/>
      <c r="F15" s="154"/>
      <c r="G15" s="284"/>
      <c r="H15" s="154"/>
      <c r="I15" s="284"/>
      <c r="J15" s="154"/>
      <c r="K15" s="284"/>
      <c r="L15" s="154"/>
      <c r="M15" s="284"/>
      <c r="N15" s="154"/>
      <c r="O15" s="284"/>
      <c r="P15" s="154"/>
      <c r="Q15" s="284"/>
      <c r="R15" s="283"/>
      <c r="S15" s="284"/>
      <c r="T15" s="283"/>
      <c r="U15" s="284"/>
      <c r="V15" s="154"/>
      <c r="W15" s="284"/>
      <c r="X15" s="154"/>
      <c r="Y15" s="284"/>
      <c r="Z15" s="154"/>
      <c r="AA15" s="284"/>
      <c r="AB15" s="154"/>
      <c r="AC15" s="286"/>
      <c r="AD15" s="154"/>
      <c r="AE15" s="284"/>
      <c r="AF15" s="154"/>
      <c r="AG15" s="284"/>
      <c r="AH15" s="154"/>
      <c r="AI15" s="284"/>
      <c r="AJ15" s="154"/>
      <c r="AK15" s="286"/>
      <c r="AL15" s="154"/>
      <c r="AM15" s="285"/>
    </row>
    <row r="16" spans="1:39">
      <c r="A16" s="284"/>
      <c r="B16" s="154"/>
      <c r="C16" s="284"/>
      <c r="D16" s="154"/>
      <c r="E16" s="285"/>
      <c r="F16" s="154"/>
      <c r="G16" s="284"/>
      <c r="H16" s="154"/>
      <c r="I16" s="284"/>
      <c r="J16" s="154"/>
      <c r="K16" s="284"/>
      <c r="L16" s="154"/>
      <c r="M16" s="284"/>
      <c r="N16" s="154"/>
      <c r="O16" s="284"/>
      <c r="P16" s="154"/>
      <c r="Q16" s="284"/>
      <c r="R16" s="283"/>
      <c r="S16" s="284"/>
      <c r="T16" s="283"/>
      <c r="U16" s="284"/>
      <c r="V16" s="154"/>
      <c r="W16" s="284"/>
      <c r="X16" s="154"/>
      <c r="Y16" s="284"/>
      <c r="Z16" s="154"/>
      <c r="AA16" s="284"/>
      <c r="AB16" s="154"/>
      <c r="AC16" s="286"/>
      <c r="AD16" s="154"/>
      <c r="AE16" s="284"/>
      <c r="AF16" s="154"/>
      <c r="AG16" s="284"/>
      <c r="AH16" s="154"/>
      <c r="AI16" s="284"/>
      <c r="AJ16" s="154"/>
      <c r="AK16" s="284"/>
      <c r="AL16" s="154"/>
      <c r="AM16" s="285"/>
    </row>
    <row r="17" spans="1:39">
      <c r="A17" s="284"/>
      <c r="B17" s="154"/>
      <c r="C17" s="284"/>
      <c r="D17" s="154"/>
      <c r="E17" s="285"/>
      <c r="F17" s="154"/>
      <c r="G17" s="284"/>
      <c r="H17" s="154"/>
      <c r="I17" s="284"/>
      <c r="J17" s="154"/>
      <c r="K17" s="284"/>
      <c r="L17" s="154"/>
      <c r="M17" s="284"/>
      <c r="N17" s="154"/>
      <c r="O17" s="284"/>
      <c r="P17" s="154"/>
      <c r="Q17" s="284"/>
      <c r="R17" s="283"/>
      <c r="S17" s="284"/>
      <c r="T17" s="283"/>
      <c r="U17" s="284"/>
      <c r="V17" s="154"/>
      <c r="W17" s="284"/>
      <c r="X17" s="154"/>
      <c r="Y17" s="284"/>
      <c r="Z17" s="154"/>
      <c r="AA17" s="284"/>
      <c r="AB17" s="154"/>
      <c r="AC17" s="286"/>
      <c r="AD17" s="154"/>
      <c r="AE17" s="284"/>
      <c r="AF17" s="154"/>
      <c r="AG17" s="284"/>
      <c r="AH17" s="154"/>
      <c r="AI17" s="284"/>
      <c r="AJ17" s="154"/>
      <c r="AK17" s="284"/>
      <c r="AL17" s="154"/>
      <c r="AM17" s="285"/>
    </row>
    <row r="18" spans="1:39">
      <c r="A18" s="284"/>
      <c r="B18" s="154"/>
      <c r="C18" s="284"/>
      <c r="D18" s="154"/>
      <c r="E18" s="285"/>
      <c r="F18" s="154"/>
      <c r="G18" s="284"/>
      <c r="H18" s="154"/>
      <c r="I18" s="284"/>
      <c r="J18" s="154"/>
      <c r="K18" s="284"/>
      <c r="L18" s="154"/>
      <c r="M18" s="284"/>
      <c r="N18" s="154"/>
      <c r="O18" s="284"/>
      <c r="P18" s="154"/>
      <c r="Q18" s="284"/>
      <c r="R18" s="283"/>
      <c r="S18" s="284"/>
      <c r="T18" s="283"/>
      <c r="U18" s="284"/>
      <c r="V18" s="154"/>
      <c r="W18" s="284"/>
      <c r="X18" s="154"/>
      <c r="Y18" s="284"/>
      <c r="Z18" s="154"/>
      <c r="AA18" s="284"/>
      <c r="AB18" s="154"/>
      <c r="AC18" s="284"/>
      <c r="AD18" s="154"/>
      <c r="AE18" s="284"/>
      <c r="AF18" s="154"/>
      <c r="AG18" s="284"/>
      <c r="AH18" s="154"/>
      <c r="AI18" s="284"/>
      <c r="AJ18" s="154"/>
      <c r="AK18" s="284"/>
      <c r="AL18" s="154"/>
      <c r="AM18" s="285"/>
    </row>
    <row r="19" spans="1:39">
      <c r="A19" s="284"/>
      <c r="B19" s="154"/>
      <c r="C19" s="284"/>
      <c r="D19" s="154"/>
      <c r="E19" s="285"/>
      <c r="F19" s="154"/>
      <c r="G19" s="284"/>
      <c r="H19" s="154"/>
      <c r="I19" s="284"/>
      <c r="J19" s="154"/>
      <c r="K19" s="284"/>
      <c r="L19" s="154"/>
      <c r="M19" s="284"/>
      <c r="N19" s="154"/>
      <c r="O19" s="284"/>
      <c r="P19" s="154"/>
      <c r="Q19" s="284"/>
      <c r="R19" s="283"/>
      <c r="S19" s="284"/>
      <c r="T19" s="283"/>
      <c r="U19" s="284"/>
      <c r="V19" s="154"/>
      <c r="W19" s="284"/>
      <c r="X19" s="154"/>
      <c r="Y19" s="284"/>
      <c r="Z19" s="154"/>
      <c r="AA19" s="284"/>
      <c r="AB19" s="154"/>
      <c r="AC19" s="284"/>
      <c r="AD19" s="154"/>
      <c r="AE19" s="284"/>
      <c r="AF19" s="154"/>
      <c r="AG19" s="284"/>
      <c r="AH19" s="154"/>
      <c r="AI19" s="284"/>
      <c r="AJ19" s="154"/>
      <c r="AK19" s="284"/>
      <c r="AL19" s="154"/>
      <c r="AM19" s="285"/>
    </row>
    <row r="20" spans="1:39">
      <c r="A20" s="283"/>
      <c r="B20" s="154"/>
      <c r="C20" s="283"/>
      <c r="D20" s="154"/>
      <c r="E20" s="142"/>
      <c r="F20" s="154"/>
      <c r="G20" s="283"/>
      <c r="H20" s="154"/>
      <c r="I20" s="283"/>
      <c r="J20" s="154"/>
      <c r="K20" s="283"/>
      <c r="L20" s="154"/>
      <c r="M20" s="283"/>
      <c r="N20" s="154"/>
      <c r="O20" s="283"/>
      <c r="P20" s="154"/>
      <c r="Q20" s="283"/>
      <c r="R20" s="283"/>
      <c r="S20" s="283"/>
      <c r="T20" s="283"/>
      <c r="U20" s="283"/>
      <c r="V20" s="154"/>
      <c r="W20" s="283"/>
      <c r="X20" s="154"/>
      <c r="Y20" s="283"/>
      <c r="Z20" s="154"/>
      <c r="AA20" s="283"/>
      <c r="AB20" s="154"/>
      <c r="AC20" s="283"/>
      <c r="AD20" s="154"/>
      <c r="AE20" s="283"/>
      <c r="AF20" s="154"/>
      <c r="AG20" s="283"/>
      <c r="AH20" s="154"/>
      <c r="AI20" s="283"/>
      <c r="AJ20" s="154"/>
      <c r="AK20" s="283"/>
      <c r="AL20" s="154"/>
      <c r="AM20" s="154"/>
    </row>
  </sheetData>
  <mergeCells count="2">
    <mergeCell ref="A1:G1"/>
    <mergeCell ref="AE1:AK1"/>
  </mergeCells>
  <phoneticPr fontId="12" type="noConversion"/>
  <pageMargins left="0.75" right="0.75" top="1" bottom="1" header="0.5" footer="0.5"/>
  <pageSetup paperSize="17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indexed="42"/>
    <pageSetUpPr fitToPage="1"/>
  </sheetPr>
  <dimension ref="A1:Q36"/>
  <sheetViews>
    <sheetView zoomScaleNormal="100" workbookViewId="0">
      <selection activeCell="K7" sqref="K7"/>
    </sheetView>
  </sheetViews>
  <sheetFormatPr defaultRowHeight="12.75"/>
  <cols>
    <col min="1" max="1" width="30.28515625" customWidth="1"/>
    <col min="2" max="2" width="1.7109375" customWidth="1"/>
    <col min="3" max="3" width="21.5703125" bestFit="1" customWidth="1"/>
    <col min="4" max="4" width="1.7109375" customWidth="1"/>
    <col min="5" max="5" width="13.7109375" bestFit="1" customWidth="1"/>
    <col min="6" max="6" width="1.7109375" customWidth="1"/>
    <col min="7" max="7" width="12.140625" bestFit="1" customWidth="1"/>
    <col min="8" max="8" width="1.7109375" customWidth="1"/>
    <col min="9" max="9" width="11" bestFit="1" customWidth="1"/>
    <col min="10" max="10" width="1.7109375" customWidth="1"/>
    <col min="11" max="11" width="22.7109375" bestFit="1" customWidth="1"/>
    <col min="12" max="12" width="1.7109375" customWidth="1"/>
    <col min="13" max="13" width="23.7109375" customWidth="1"/>
    <col min="14" max="14" width="1.7109375" customWidth="1"/>
    <col min="15" max="15" width="22.5703125" bestFit="1" customWidth="1"/>
    <col min="16" max="16" width="1.7109375" customWidth="1"/>
    <col min="17" max="17" width="11.85546875" customWidth="1"/>
  </cols>
  <sheetData>
    <row r="1" spans="1:17" ht="15.75">
      <c r="A1" s="703" t="s">
        <v>29</v>
      </c>
      <c r="B1" s="704"/>
      <c r="C1" s="704"/>
      <c r="D1" s="704"/>
      <c r="E1" s="704"/>
      <c r="F1" s="704"/>
      <c r="G1" s="705"/>
    </row>
    <row r="2" spans="1:17" ht="45">
      <c r="A2" s="407" t="s">
        <v>16</v>
      </c>
      <c r="B2" s="413"/>
      <c r="C2" s="407" t="s">
        <v>17</v>
      </c>
      <c r="D2" s="413"/>
      <c r="E2" s="407" t="s">
        <v>18</v>
      </c>
      <c r="F2" s="413"/>
      <c r="G2" s="407" t="s">
        <v>19</v>
      </c>
      <c r="H2" s="413"/>
      <c r="I2" s="400" t="s">
        <v>20</v>
      </c>
      <c r="J2" s="413"/>
      <c r="K2" s="400" t="s">
        <v>21</v>
      </c>
      <c r="L2" s="413"/>
      <c r="M2" s="400" t="s">
        <v>22</v>
      </c>
      <c r="N2" s="413"/>
      <c r="O2" s="400" t="s">
        <v>23</v>
      </c>
      <c r="P2" s="413"/>
      <c r="Q2" s="402" t="s">
        <v>28</v>
      </c>
    </row>
    <row r="3" spans="1:17">
      <c r="A3" s="285"/>
      <c r="C3" s="285"/>
      <c r="E3" s="285"/>
      <c r="G3" s="285"/>
      <c r="I3" s="285"/>
      <c r="K3" s="285"/>
      <c r="M3" s="285"/>
      <c r="O3" s="285"/>
      <c r="Q3" s="285"/>
    </row>
    <row r="4" spans="1:17">
      <c r="A4" s="285"/>
      <c r="C4" s="285"/>
      <c r="E4" s="285"/>
      <c r="G4" s="285"/>
      <c r="I4" s="285"/>
      <c r="K4" s="285"/>
      <c r="M4" s="285"/>
      <c r="O4" s="285"/>
      <c r="Q4" s="285"/>
    </row>
    <row r="5" spans="1:17">
      <c r="A5" s="285"/>
      <c r="C5" s="285"/>
      <c r="E5" s="285"/>
      <c r="G5" s="285"/>
      <c r="I5" s="285"/>
      <c r="K5" s="285"/>
      <c r="M5" s="285"/>
      <c r="O5" s="285"/>
      <c r="Q5" s="285"/>
    </row>
    <row r="6" spans="1:17">
      <c r="A6" s="285"/>
      <c r="C6" s="285"/>
      <c r="E6" s="285"/>
      <c r="G6" s="285"/>
      <c r="I6" s="285"/>
      <c r="K6" s="285"/>
      <c r="M6" s="285"/>
      <c r="O6" s="285"/>
      <c r="Q6" s="285"/>
    </row>
    <row r="7" spans="1:17">
      <c r="A7" s="285"/>
      <c r="C7" s="285"/>
      <c r="E7" s="285"/>
      <c r="G7" s="285"/>
      <c r="I7" s="285"/>
      <c r="K7" s="285"/>
      <c r="M7" s="285"/>
      <c r="O7" s="285"/>
      <c r="Q7" s="285"/>
    </row>
    <row r="8" spans="1:17">
      <c r="A8" s="285"/>
      <c r="C8" s="285"/>
      <c r="E8" s="285"/>
      <c r="G8" s="285"/>
      <c r="I8" s="285"/>
      <c r="K8" s="285"/>
      <c r="M8" s="285"/>
      <c r="O8" s="285"/>
      <c r="Q8" s="285"/>
    </row>
    <row r="9" spans="1:17">
      <c r="A9" s="285"/>
      <c r="C9" s="285"/>
      <c r="E9" s="285"/>
      <c r="G9" s="285"/>
      <c r="I9" s="285"/>
      <c r="K9" s="285"/>
      <c r="M9" s="285"/>
      <c r="O9" s="285"/>
      <c r="Q9" s="285"/>
    </row>
    <row r="10" spans="1:17">
      <c r="A10" s="285"/>
      <c r="C10" s="285"/>
      <c r="E10" s="285"/>
      <c r="G10" s="285"/>
      <c r="I10" s="285"/>
      <c r="K10" s="285"/>
      <c r="M10" s="285"/>
      <c r="O10" s="285"/>
      <c r="Q10" s="285"/>
    </row>
    <row r="11" spans="1:17">
      <c r="A11" s="285"/>
      <c r="C11" s="285"/>
      <c r="E11" s="285"/>
      <c r="G11" s="285"/>
      <c r="I11" s="285"/>
      <c r="K11" s="285"/>
      <c r="M11" s="285"/>
      <c r="O11" s="285"/>
      <c r="Q11" s="285"/>
    </row>
    <row r="12" spans="1:17">
      <c r="A12" s="285"/>
      <c r="C12" s="285"/>
      <c r="E12" s="285"/>
      <c r="G12" s="285"/>
      <c r="I12" s="285"/>
      <c r="K12" s="285"/>
      <c r="M12" s="285"/>
      <c r="O12" s="285"/>
      <c r="Q12" s="285"/>
    </row>
    <row r="13" spans="1:17">
      <c r="A13" s="285"/>
      <c r="C13" s="285"/>
      <c r="E13" s="285"/>
      <c r="G13" s="285"/>
      <c r="I13" s="285"/>
      <c r="K13" s="285"/>
      <c r="M13" s="285"/>
      <c r="O13" s="285"/>
      <c r="Q13" s="285"/>
    </row>
    <row r="14" spans="1:17">
      <c r="A14" s="285"/>
      <c r="C14" s="285"/>
      <c r="E14" s="285"/>
      <c r="G14" s="285"/>
      <c r="I14" s="285"/>
      <c r="K14" s="285"/>
      <c r="M14" s="285"/>
      <c r="O14" s="285"/>
      <c r="Q14" s="285"/>
    </row>
    <row r="15" spans="1:17">
      <c r="A15" s="285"/>
      <c r="C15" s="285"/>
      <c r="E15" s="285"/>
      <c r="G15" s="285"/>
      <c r="I15" s="285"/>
      <c r="K15" s="285"/>
      <c r="M15" s="285"/>
      <c r="O15" s="285"/>
      <c r="Q15" s="285"/>
    </row>
    <row r="16" spans="1:17">
      <c r="A16" s="285"/>
      <c r="C16" s="285"/>
      <c r="E16" s="285"/>
      <c r="G16" s="285"/>
      <c r="I16" s="285"/>
      <c r="K16" s="285"/>
      <c r="M16" s="285"/>
      <c r="O16" s="285"/>
      <c r="Q16" s="285"/>
    </row>
    <row r="17" spans="1:17">
      <c r="A17" s="285"/>
      <c r="C17" s="285"/>
      <c r="E17" s="285"/>
      <c r="G17" s="285"/>
      <c r="I17" s="285"/>
      <c r="K17" s="285"/>
      <c r="M17" s="285"/>
      <c r="O17" s="285"/>
      <c r="Q17" s="285"/>
    </row>
    <row r="18" spans="1:17">
      <c r="A18" s="285"/>
      <c r="C18" s="285"/>
      <c r="E18" s="285"/>
      <c r="G18" s="285"/>
      <c r="I18" s="285"/>
      <c r="K18" s="285"/>
      <c r="M18" s="285"/>
      <c r="O18" s="285"/>
      <c r="Q18" s="285"/>
    </row>
    <row r="19" spans="1:17">
      <c r="A19" s="285"/>
      <c r="C19" s="285"/>
      <c r="E19" s="285"/>
      <c r="G19" s="285"/>
      <c r="I19" s="285"/>
      <c r="K19" s="285"/>
      <c r="M19" s="285"/>
      <c r="O19" s="285"/>
      <c r="Q19" s="285"/>
    </row>
    <row r="20" spans="1:17">
      <c r="A20" s="285"/>
      <c r="C20" s="285"/>
      <c r="E20" s="285"/>
      <c r="G20" s="285"/>
      <c r="I20" s="285"/>
      <c r="K20" s="285"/>
      <c r="M20" s="285"/>
      <c r="O20" s="285"/>
      <c r="Q20" s="285"/>
    </row>
    <row r="21" spans="1:17">
      <c r="A21" s="285"/>
      <c r="C21" s="285"/>
      <c r="E21" s="285"/>
      <c r="G21" s="285"/>
      <c r="I21" s="285"/>
      <c r="K21" s="285"/>
      <c r="M21" s="285"/>
      <c r="O21" s="285"/>
      <c r="Q21" s="285"/>
    </row>
    <row r="22" spans="1:17">
      <c r="A22" s="285"/>
      <c r="C22" s="285"/>
      <c r="E22" s="285"/>
      <c r="G22" s="285"/>
      <c r="I22" s="285"/>
      <c r="K22" s="285"/>
      <c r="M22" s="285"/>
      <c r="O22" s="285"/>
      <c r="Q22" s="285"/>
    </row>
    <row r="23" spans="1:17">
      <c r="A23" s="285"/>
      <c r="C23" s="285"/>
      <c r="E23" s="285"/>
      <c r="G23" s="285"/>
      <c r="I23" s="285"/>
      <c r="K23" s="285"/>
      <c r="M23" s="285"/>
      <c r="O23" s="285"/>
      <c r="Q23" s="285"/>
    </row>
    <row r="24" spans="1:17">
      <c r="A24" s="285"/>
      <c r="C24" s="285"/>
      <c r="E24" s="285"/>
      <c r="G24" s="285"/>
      <c r="I24" s="285"/>
      <c r="K24" s="285"/>
      <c r="M24" s="285"/>
      <c r="O24" s="285"/>
      <c r="Q24" s="285"/>
    </row>
    <row r="25" spans="1:17">
      <c r="A25" s="285"/>
      <c r="C25" s="285"/>
      <c r="E25" s="285"/>
      <c r="G25" s="285"/>
      <c r="I25" s="285"/>
      <c r="K25" s="285"/>
      <c r="M25" s="285"/>
      <c r="O25" s="285"/>
      <c r="Q25" s="285"/>
    </row>
    <row r="26" spans="1:17">
      <c r="A26" s="285"/>
      <c r="C26" s="285"/>
      <c r="E26" s="285"/>
      <c r="G26" s="285"/>
      <c r="I26" s="285"/>
      <c r="K26" s="285"/>
      <c r="M26" s="285"/>
      <c r="O26" s="285"/>
      <c r="Q26" s="285"/>
    </row>
    <row r="27" spans="1:17">
      <c r="A27" s="285"/>
      <c r="C27" s="285"/>
      <c r="E27" s="285"/>
      <c r="G27" s="285"/>
      <c r="I27" s="285"/>
      <c r="K27" s="285"/>
      <c r="M27" s="285"/>
      <c r="O27" s="285"/>
      <c r="Q27" s="285"/>
    </row>
    <row r="28" spans="1:17">
      <c r="A28" s="285"/>
      <c r="C28" s="285"/>
      <c r="E28" s="285"/>
      <c r="G28" s="285"/>
      <c r="I28" s="285"/>
      <c r="K28" s="285"/>
      <c r="M28" s="285"/>
      <c r="O28" s="285"/>
      <c r="Q28" s="285"/>
    </row>
    <row r="29" spans="1:17">
      <c r="A29" s="285"/>
      <c r="C29" s="285"/>
      <c r="E29" s="285"/>
      <c r="G29" s="285"/>
      <c r="I29" s="285"/>
      <c r="K29" s="285"/>
      <c r="M29" s="285"/>
      <c r="O29" s="285"/>
      <c r="Q29" s="285"/>
    </row>
    <row r="30" spans="1:17">
      <c r="A30" s="285"/>
      <c r="C30" s="285"/>
      <c r="E30" s="285"/>
      <c r="G30" s="285"/>
      <c r="I30" s="285"/>
      <c r="K30" s="285"/>
      <c r="M30" s="285"/>
      <c r="O30" s="285"/>
      <c r="Q30" s="285"/>
    </row>
    <row r="33" spans="1:1">
      <c r="A33" t="s">
        <v>1238</v>
      </c>
    </row>
    <row r="34" spans="1:1">
      <c r="A34" t="s">
        <v>1239</v>
      </c>
    </row>
    <row r="35" spans="1:1">
      <c r="A35" t="s">
        <v>1240</v>
      </c>
    </row>
    <row r="36" spans="1:1">
      <c r="A36" t="s">
        <v>1241</v>
      </c>
    </row>
  </sheetData>
  <mergeCells count="1">
    <mergeCell ref="A1:G1"/>
  </mergeCells>
  <phoneticPr fontId="12" type="noConversion"/>
  <pageMargins left="0.75" right="0.75" top="1" bottom="1" header="0.5" footer="0.5"/>
  <pageSetup paperSize="17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indexed="8"/>
  </sheetPr>
  <dimension ref="A1:ET102"/>
  <sheetViews>
    <sheetView zoomScale="75" workbookViewId="0">
      <selection activeCell="A102" sqref="A102:IV108"/>
    </sheetView>
  </sheetViews>
  <sheetFormatPr defaultColWidth="12.140625" defaultRowHeight="12.75"/>
  <cols>
    <col min="1" max="1" width="12.7109375" style="129" bestFit="1" customWidth="1"/>
    <col min="2" max="2" width="11.7109375" style="129" customWidth="1"/>
    <col min="3" max="3" width="12.5703125" style="129" bestFit="1" customWidth="1"/>
    <col min="4" max="4" width="16.28515625" bestFit="1" customWidth="1"/>
    <col min="5" max="5" width="3.85546875" style="32" customWidth="1"/>
    <col min="6" max="6" width="3.7109375" style="32" customWidth="1"/>
    <col min="7" max="9" width="3.7109375" customWidth="1"/>
    <col min="10" max="10" width="5.140625" bestFit="1" customWidth="1"/>
    <col min="11" max="13" width="3.7109375" customWidth="1"/>
    <col min="14" max="14" width="15.140625" bestFit="1" customWidth="1"/>
    <col min="15" max="15" width="6.5703125" bestFit="1" customWidth="1"/>
    <col min="16" max="16" width="13.42578125" bestFit="1" customWidth="1"/>
    <col min="17" max="18" width="12.7109375" bestFit="1" customWidth="1"/>
    <col min="19" max="19" width="13.28515625" bestFit="1" customWidth="1"/>
    <col min="20" max="20" width="15.140625" bestFit="1" customWidth="1"/>
    <col min="21" max="21" width="12" bestFit="1" customWidth="1"/>
    <col min="22" max="22" width="4.7109375" bestFit="1" customWidth="1"/>
    <col min="23" max="23" width="4.28515625" bestFit="1" customWidth="1"/>
    <col min="24" max="24" width="6.28515625" bestFit="1" customWidth="1"/>
    <col min="25" max="28" width="4.28515625" bestFit="1" customWidth="1"/>
    <col min="29" max="29" width="7.7109375" bestFit="1" customWidth="1"/>
    <col min="30" max="35" width="5.140625" bestFit="1" customWidth="1"/>
    <col min="36" max="36" width="7.140625" bestFit="1" customWidth="1"/>
    <col min="37" max="38" width="5.140625" bestFit="1" customWidth="1"/>
    <col min="39" max="39" width="5.42578125" bestFit="1" customWidth="1"/>
    <col min="40" max="40" width="7.7109375" bestFit="1" customWidth="1"/>
    <col min="41" max="41" width="5.42578125" bestFit="1" customWidth="1"/>
    <col min="42" max="42" width="7.7109375" bestFit="1" customWidth="1"/>
    <col min="43" max="44" width="5.42578125" bestFit="1" customWidth="1"/>
    <col min="45" max="45" width="9.28515625" bestFit="1" customWidth="1"/>
    <col min="46" max="48" width="7.7109375" bestFit="1" customWidth="1"/>
    <col min="49" max="49" width="5.42578125" bestFit="1" customWidth="1"/>
    <col min="50" max="50" width="5.140625" bestFit="1" customWidth="1"/>
    <col min="51" max="51" width="8.5703125" bestFit="1" customWidth="1"/>
    <col min="52" max="52" width="5.42578125" bestFit="1" customWidth="1"/>
    <col min="53" max="53" width="7.7109375" bestFit="1" customWidth="1"/>
    <col min="54" max="54" width="6.42578125" bestFit="1" customWidth="1"/>
    <col min="55" max="58" width="5.42578125" bestFit="1" customWidth="1"/>
    <col min="59" max="59" width="6.42578125" bestFit="1" customWidth="1"/>
    <col min="60" max="60" width="5.140625" bestFit="1" customWidth="1"/>
    <col min="61" max="61" width="7.5703125" bestFit="1" customWidth="1"/>
    <col min="62" max="63" width="5.42578125" bestFit="1" customWidth="1"/>
    <col min="64" max="64" width="7.28515625" bestFit="1" customWidth="1"/>
    <col min="65" max="67" width="5.42578125" bestFit="1" customWidth="1"/>
    <col min="68" max="68" width="6.5703125" bestFit="1" customWidth="1"/>
    <col min="69" max="69" width="7.5703125" bestFit="1" customWidth="1"/>
    <col min="70" max="70" width="5.140625" bestFit="1" customWidth="1"/>
    <col min="71" max="72" width="5.42578125" bestFit="1" customWidth="1"/>
    <col min="73" max="73" width="6" bestFit="1" customWidth="1"/>
    <col min="74" max="78" width="5.42578125" bestFit="1" customWidth="1"/>
    <col min="79" max="79" width="12" bestFit="1" customWidth="1"/>
    <col min="80" max="80" width="5.140625" bestFit="1" customWidth="1"/>
    <col min="81" max="86" width="5.42578125" bestFit="1" customWidth="1"/>
    <col min="87" max="87" width="6" bestFit="1" customWidth="1"/>
    <col min="88" max="89" width="5.42578125" bestFit="1" customWidth="1"/>
    <col min="90" max="90" width="8" bestFit="1" customWidth="1"/>
    <col min="91" max="91" width="6" bestFit="1" customWidth="1"/>
    <col min="92" max="99" width="5.42578125" bestFit="1" customWidth="1"/>
    <col min="100" max="100" width="5.140625" bestFit="1" customWidth="1"/>
    <col min="101" max="101" width="6.42578125" bestFit="1" customWidth="1"/>
    <col min="102" max="103" width="9.28515625" bestFit="1" customWidth="1"/>
    <col min="104" max="105" width="5.42578125" bestFit="1" customWidth="1"/>
    <col min="106" max="106" width="8.5703125" bestFit="1" customWidth="1"/>
    <col min="107" max="107" width="7" bestFit="1" customWidth="1"/>
    <col min="108" max="108" width="9.28515625" bestFit="1" customWidth="1"/>
    <col min="109" max="109" width="5.42578125" bestFit="1" customWidth="1"/>
    <col min="110" max="110" width="5.140625" bestFit="1" customWidth="1"/>
    <col min="111" max="115" width="5.42578125" bestFit="1" customWidth="1"/>
    <col min="116" max="116" width="12" bestFit="1" customWidth="1"/>
    <col min="117" max="118" width="5.42578125" bestFit="1" customWidth="1"/>
    <col min="119" max="119" width="6.28515625" bestFit="1" customWidth="1"/>
    <col min="120" max="120" width="5.85546875" bestFit="1" customWidth="1"/>
    <col min="121" max="128" width="6.28515625" bestFit="1" customWidth="1"/>
    <col min="129" max="129" width="5.85546875" bestFit="1" customWidth="1"/>
    <col min="130" max="130" width="5.42578125" bestFit="1" customWidth="1"/>
    <col min="131" max="138" width="5.85546875" bestFit="1" customWidth="1"/>
    <col min="139" max="139" width="6.28515625" bestFit="1" customWidth="1"/>
    <col min="140" max="140" width="5.85546875" bestFit="1" customWidth="1"/>
    <col min="141" max="146" width="6.28515625" bestFit="1" customWidth="1"/>
  </cols>
  <sheetData>
    <row r="1" spans="1:150">
      <c r="A1" s="124" t="s">
        <v>385</v>
      </c>
      <c r="B1" s="125" t="s">
        <v>546</v>
      </c>
      <c r="C1" s="125" t="s">
        <v>547</v>
      </c>
      <c r="D1" s="30" t="s">
        <v>548</v>
      </c>
      <c r="E1" s="219"/>
      <c r="F1" s="219"/>
      <c r="G1" s="30"/>
      <c r="H1" s="30"/>
      <c r="I1" s="30"/>
      <c r="J1" s="30"/>
      <c r="K1" s="30"/>
      <c r="L1" s="30"/>
      <c r="M1" s="30"/>
      <c r="N1" s="30"/>
      <c r="O1" s="11" t="s">
        <v>359</v>
      </c>
      <c r="P1" s="11" t="s">
        <v>358</v>
      </c>
      <c r="Q1" s="11" t="s">
        <v>388</v>
      </c>
      <c r="R1" s="11" t="s">
        <v>356</v>
      </c>
      <c r="S1" s="11" t="s">
        <v>355</v>
      </c>
      <c r="T1" s="11" t="s">
        <v>354</v>
      </c>
      <c r="U1" s="11" t="s">
        <v>389</v>
      </c>
      <c r="V1" s="11" t="s">
        <v>390</v>
      </c>
      <c r="W1" s="11" t="s">
        <v>391</v>
      </c>
      <c r="X1" s="11" t="s">
        <v>392</v>
      </c>
      <c r="Y1" s="11" t="s">
        <v>393</v>
      </c>
      <c r="Z1" s="11" t="s">
        <v>394</v>
      </c>
      <c r="AA1" s="11" t="s">
        <v>395</v>
      </c>
      <c r="AB1" s="11" t="s">
        <v>396</v>
      </c>
      <c r="AC1" s="11" t="s">
        <v>397</v>
      </c>
      <c r="AD1" s="11" t="s">
        <v>398</v>
      </c>
      <c r="AE1" s="11" t="s">
        <v>399</v>
      </c>
      <c r="AF1" s="11" t="s">
        <v>400</v>
      </c>
      <c r="AG1" s="11" t="s">
        <v>401</v>
      </c>
      <c r="AH1" s="11" t="s">
        <v>402</v>
      </c>
      <c r="AI1" s="11" t="s">
        <v>403</v>
      </c>
      <c r="AJ1" s="11" t="s">
        <v>404</v>
      </c>
      <c r="AK1" s="11" t="s">
        <v>405</v>
      </c>
      <c r="AL1" s="11" t="s">
        <v>406</v>
      </c>
      <c r="AM1" s="11" t="s">
        <v>407</v>
      </c>
      <c r="AN1" s="11" t="s">
        <v>408</v>
      </c>
      <c r="AO1" s="11" t="s">
        <v>409</v>
      </c>
      <c r="AP1" s="11" t="s">
        <v>410</v>
      </c>
      <c r="AQ1" s="11" t="s">
        <v>411</v>
      </c>
      <c r="AR1" s="11" t="s">
        <v>412</v>
      </c>
      <c r="AS1" s="11" t="s">
        <v>413</v>
      </c>
      <c r="AT1" s="11" t="s">
        <v>414</v>
      </c>
      <c r="AU1" s="11" t="s">
        <v>415</v>
      </c>
      <c r="AV1" s="11" t="s">
        <v>416</v>
      </c>
      <c r="AW1" s="11" t="s">
        <v>417</v>
      </c>
      <c r="AX1" s="11" t="s">
        <v>418</v>
      </c>
      <c r="AY1" s="11" t="s">
        <v>419</v>
      </c>
      <c r="AZ1" s="11" t="s">
        <v>420</v>
      </c>
      <c r="BA1" s="11" t="s">
        <v>421</v>
      </c>
      <c r="BB1" s="11" t="s">
        <v>422</v>
      </c>
      <c r="BC1" s="11" t="s">
        <v>423</v>
      </c>
      <c r="BD1" s="11" t="s">
        <v>424</v>
      </c>
      <c r="BE1" s="11" t="s">
        <v>425</v>
      </c>
      <c r="BF1" s="11" t="s">
        <v>426</v>
      </c>
      <c r="BG1" s="11" t="s">
        <v>427</v>
      </c>
      <c r="BH1" s="11" t="s">
        <v>428</v>
      </c>
      <c r="BI1" s="11" t="s">
        <v>429</v>
      </c>
      <c r="BJ1" s="11" t="s">
        <v>430</v>
      </c>
      <c r="BK1" s="11" t="s">
        <v>431</v>
      </c>
      <c r="BL1" s="11" t="s">
        <v>432</v>
      </c>
      <c r="BM1" s="11" t="s">
        <v>433</v>
      </c>
      <c r="BN1" s="11" t="s">
        <v>434</v>
      </c>
      <c r="BO1" s="11" t="s">
        <v>435</v>
      </c>
      <c r="BP1" s="11" t="s">
        <v>436</v>
      </c>
      <c r="BQ1" s="11" t="s">
        <v>437</v>
      </c>
      <c r="BR1" s="11" t="s">
        <v>438</v>
      </c>
      <c r="BS1" s="11" t="s">
        <v>439</v>
      </c>
      <c r="BT1" s="11" t="s">
        <v>440</v>
      </c>
      <c r="BU1" s="11" t="s">
        <v>441</v>
      </c>
      <c r="BV1" s="11" t="s">
        <v>442</v>
      </c>
      <c r="BW1" s="11" t="s">
        <v>443</v>
      </c>
      <c r="BX1" s="11" t="s">
        <v>444</v>
      </c>
      <c r="BY1" s="11" t="s">
        <v>445</v>
      </c>
      <c r="BZ1" s="11" t="s">
        <v>446</v>
      </c>
      <c r="CA1" s="11" t="s">
        <v>447</v>
      </c>
      <c r="CB1" s="11" t="s">
        <v>448</v>
      </c>
      <c r="CC1" s="11" t="s">
        <v>449</v>
      </c>
      <c r="CD1" s="11" t="s">
        <v>450</v>
      </c>
      <c r="CE1" s="11" t="s">
        <v>451</v>
      </c>
      <c r="CF1" s="11" t="s">
        <v>452</v>
      </c>
      <c r="CG1" s="11" t="s">
        <v>453</v>
      </c>
      <c r="CH1" s="11" t="s">
        <v>454</v>
      </c>
      <c r="CI1" s="11" t="s">
        <v>455</v>
      </c>
      <c r="CJ1" s="11" t="s">
        <v>456</v>
      </c>
      <c r="CK1" s="11" t="s">
        <v>457</v>
      </c>
      <c r="CL1" s="11" t="s">
        <v>458</v>
      </c>
      <c r="CM1" s="11" t="s">
        <v>459</v>
      </c>
      <c r="CN1" s="11" t="s">
        <v>460</v>
      </c>
      <c r="CO1" s="11" t="s">
        <v>461</v>
      </c>
      <c r="CP1" s="11" t="s">
        <v>462</v>
      </c>
      <c r="CQ1" s="11" t="s">
        <v>463</v>
      </c>
      <c r="CR1" s="11" t="s">
        <v>464</v>
      </c>
      <c r="CS1" s="11" t="s">
        <v>465</v>
      </c>
      <c r="CT1" s="11" t="s">
        <v>466</v>
      </c>
      <c r="CU1" s="11" t="s">
        <v>467</v>
      </c>
      <c r="CV1" s="11" t="s">
        <v>468</v>
      </c>
      <c r="CW1" s="11" t="s">
        <v>469</v>
      </c>
      <c r="CX1" s="11" t="s">
        <v>470</v>
      </c>
      <c r="CY1" s="11" t="s">
        <v>471</v>
      </c>
      <c r="CZ1" s="11" t="s">
        <v>472</v>
      </c>
      <c r="DA1" s="11" t="s">
        <v>473</v>
      </c>
      <c r="DB1" s="11" t="s">
        <v>474</v>
      </c>
      <c r="DC1" s="11" t="s">
        <v>475</v>
      </c>
      <c r="DD1" s="11" t="s">
        <v>476</v>
      </c>
      <c r="DE1" s="11" t="s">
        <v>477</v>
      </c>
      <c r="DF1" s="11" t="s">
        <v>478</v>
      </c>
      <c r="DG1" s="11" t="s">
        <v>479</v>
      </c>
      <c r="DH1" s="11" t="s">
        <v>480</v>
      </c>
      <c r="DI1" s="11" t="s">
        <v>481</v>
      </c>
      <c r="DJ1" s="11" t="s">
        <v>482</v>
      </c>
      <c r="DK1" s="11" t="s">
        <v>483</v>
      </c>
      <c r="DL1" s="11" t="s">
        <v>484</v>
      </c>
      <c r="DM1" s="11" t="s">
        <v>485</v>
      </c>
      <c r="DN1" s="11" t="s">
        <v>486</v>
      </c>
      <c r="DO1" s="11" t="s">
        <v>1152</v>
      </c>
      <c r="DP1" s="11" t="s">
        <v>1153</v>
      </c>
      <c r="DQ1" s="11" t="s">
        <v>1154</v>
      </c>
      <c r="DR1" s="11" t="s">
        <v>1155</v>
      </c>
      <c r="DS1" s="11" t="s">
        <v>1156</v>
      </c>
      <c r="DT1" s="11" t="s">
        <v>1157</v>
      </c>
      <c r="DU1" s="11" t="s">
        <v>1158</v>
      </c>
      <c r="DV1" s="11" t="s">
        <v>1159</v>
      </c>
      <c r="DW1" s="11" t="s">
        <v>1160</v>
      </c>
      <c r="DX1" s="11" t="s">
        <v>1161</v>
      </c>
      <c r="DY1" s="11" t="s">
        <v>1162</v>
      </c>
      <c r="DZ1" s="11" t="s">
        <v>1163</v>
      </c>
      <c r="EA1" s="11" t="s">
        <v>1164</v>
      </c>
      <c r="EB1" s="11" t="s">
        <v>1165</v>
      </c>
      <c r="EC1" s="11" t="s">
        <v>1166</v>
      </c>
      <c r="ED1" s="11" t="s">
        <v>1167</v>
      </c>
      <c r="EE1" s="11" t="s">
        <v>1168</v>
      </c>
      <c r="EF1" s="11" t="s">
        <v>1169</v>
      </c>
      <c r="EG1" s="11" t="s">
        <v>1170</v>
      </c>
      <c r="EH1" s="11" t="s">
        <v>1171</v>
      </c>
      <c r="EI1" s="11" t="s">
        <v>1172</v>
      </c>
      <c r="EJ1" s="11" t="s">
        <v>1173</v>
      </c>
      <c r="EK1" s="11" t="s">
        <v>1174</v>
      </c>
      <c r="EL1" s="11" t="s">
        <v>1175</v>
      </c>
      <c r="EM1" s="11" t="s">
        <v>1176</v>
      </c>
      <c r="EN1" s="11" t="s">
        <v>1177</v>
      </c>
      <c r="EO1" s="11" t="s">
        <v>1178</v>
      </c>
      <c r="EP1" s="11" t="s">
        <v>1179</v>
      </c>
      <c r="EQ1" s="32"/>
    </row>
    <row r="2" spans="1:150" ht="19.5" customHeight="1">
      <c r="A2" s="124">
        <v>1</v>
      </c>
      <c r="B2" s="124">
        <v>2</v>
      </c>
      <c r="C2" s="124">
        <v>3</v>
      </c>
      <c r="D2" s="11">
        <v>4</v>
      </c>
      <c r="E2" s="11"/>
      <c r="F2" s="11">
        <v>6</v>
      </c>
      <c r="G2" s="11">
        <v>7</v>
      </c>
      <c r="H2" s="11">
        <v>8</v>
      </c>
      <c r="I2" s="11">
        <v>9</v>
      </c>
      <c r="J2" s="11">
        <v>10</v>
      </c>
      <c r="K2" s="11">
        <v>11</v>
      </c>
      <c r="L2" s="11">
        <v>12</v>
      </c>
      <c r="M2" s="11">
        <v>13</v>
      </c>
      <c r="N2" s="11">
        <v>14</v>
      </c>
      <c r="O2" s="11">
        <v>15</v>
      </c>
      <c r="P2" s="11">
        <v>16</v>
      </c>
      <c r="Q2" s="11">
        <v>17</v>
      </c>
      <c r="R2" s="11">
        <v>18</v>
      </c>
      <c r="S2" s="11">
        <v>19</v>
      </c>
      <c r="T2" s="11">
        <v>20</v>
      </c>
      <c r="U2" s="11">
        <v>21</v>
      </c>
      <c r="V2" s="11">
        <v>22</v>
      </c>
      <c r="W2" s="11">
        <v>23</v>
      </c>
      <c r="X2" s="11">
        <v>24</v>
      </c>
      <c r="Y2" s="11">
        <v>25</v>
      </c>
      <c r="Z2" s="11">
        <v>26</v>
      </c>
      <c r="AA2" s="11">
        <v>27</v>
      </c>
      <c r="AB2" s="11">
        <v>28</v>
      </c>
      <c r="AC2" s="11">
        <v>29</v>
      </c>
      <c r="AD2" s="11">
        <v>30</v>
      </c>
      <c r="AE2" s="11">
        <v>31</v>
      </c>
      <c r="AF2" s="11">
        <v>32</v>
      </c>
      <c r="AG2" s="11">
        <v>33</v>
      </c>
      <c r="AH2" s="11">
        <v>34</v>
      </c>
      <c r="AI2" s="11">
        <v>35</v>
      </c>
      <c r="AJ2" s="11">
        <v>36</v>
      </c>
      <c r="AK2" s="11">
        <v>37</v>
      </c>
      <c r="AL2" s="11">
        <v>38</v>
      </c>
      <c r="AM2" s="11">
        <v>39</v>
      </c>
      <c r="AN2" s="11">
        <v>40</v>
      </c>
      <c r="AO2" s="11">
        <v>41</v>
      </c>
      <c r="AP2" s="11">
        <v>42</v>
      </c>
      <c r="AQ2" s="11">
        <v>43</v>
      </c>
      <c r="AR2" s="11">
        <v>44</v>
      </c>
      <c r="AS2" s="11">
        <v>45</v>
      </c>
      <c r="AT2" s="11">
        <v>46</v>
      </c>
      <c r="AU2" s="11">
        <v>47</v>
      </c>
      <c r="AV2" s="11">
        <v>48</v>
      </c>
      <c r="AW2" s="11">
        <v>49</v>
      </c>
      <c r="AX2" s="11">
        <v>50</v>
      </c>
      <c r="AY2" s="11">
        <v>51</v>
      </c>
      <c r="AZ2" s="11">
        <v>52</v>
      </c>
      <c r="BA2" s="11">
        <v>53</v>
      </c>
      <c r="BB2" s="11">
        <v>54</v>
      </c>
      <c r="BC2" s="11">
        <v>55</v>
      </c>
      <c r="BD2" s="11">
        <v>56</v>
      </c>
      <c r="BE2" s="11">
        <v>57</v>
      </c>
      <c r="BF2" s="11">
        <v>58</v>
      </c>
      <c r="BG2" s="11">
        <v>59</v>
      </c>
      <c r="BH2" s="11">
        <v>60</v>
      </c>
      <c r="BI2" s="11">
        <v>61</v>
      </c>
      <c r="BJ2" s="11">
        <v>62</v>
      </c>
      <c r="BK2" s="11">
        <v>63</v>
      </c>
      <c r="BL2" s="11">
        <v>64</v>
      </c>
      <c r="BM2" s="11">
        <v>65</v>
      </c>
      <c r="BN2" s="11">
        <v>66</v>
      </c>
      <c r="BO2" s="11">
        <v>67</v>
      </c>
      <c r="BP2" s="11">
        <v>68</v>
      </c>
      <c r="BQ2" s="11">
        <v>69</v>
      </c>
      <c r="BR2" s="11">
        <v>70</v>
      </c>
      <c r="BS2" s="11">
        <v>71</v>
      </c>
      <c r="BT2" s="11">
        <v>72</v>
      </c>
      <c r="BU2" s="11">
        <v>73</v>
      </c>
      <c r="BV2" s="11">
        <v>74</v>
      </c>
      <c r="BW2" s="11">
        <v>75</v>
      </c>
      <c r="BX2" s="11">
        <v>76</v>
      </c>
      <c r="BY2" s="11">
        <v>77</v>
      </c>
      <c r="BZ2" s="11">
        <v>78</v>
      </c>
      <c r="CA2" s="11">
        <v>79</v>
      </c>
      <c r="CB2" s="11">
        <v>80</v>
      </c>
      <c r="CC2" s="11">
        <v>81</v>
      </c>
      <c r="CD2" s="11">
        <v>82</v>
      </c>
      <c r="CE2" s="11">
        <v>83</v>
      </c>
      <c r="CF2" s="11">
        <v>84</v>
      </c>
      <c r="CG2" s="11">
        <v>85</v>
      </c>
      <c r="CH2" s="11">
        <v>86</v>
      </c>
      <c r="CI2" s="11">
        <v>87</v>
      </c>
      <c r="CJ2" s="11">
        <v>88</v>
      </c>
      <c r="CK2" s="11">
        <v>89</v>
      </c>
      <c r="CL2" s="11">
        <v>90</v>
      </c>
      <c r="CM2" s="11">
        <v>91</v>
      </c>
      <c r="CN2" s="11">
        <v>92</v>
      </c>
      <c r="CO2" s="11">
        <v>93</v>
      </c>
      <c r="CP2" s="11">
        <v>94</v>
      </c>
      <c r="CQ2" s="11">
        <v>95</v>
      </c>
      <c r="CR2" s="11">
        <v>96</v>
      </c>
      <c r="CS2" s="11">
        <v>97</v>
      </c>
      <c r="CT2" s="11">
        <v>98</v>
      </c>
      <c r="CU2" s="11">
        <v>99</v>
      </c>
      <c r="CV2" s="11">
        <v>100</v>
      </c>
      <c r="CW2" s="11">
        <v>101</v>
      </c>
      <c r="CX2" s="11">
        <v>102</v>
      </c>
      <c r="CY2" s="11">
        <v>103</v>
      </c>
      <c r="CZ2" s="11">
        <v>104</v>
      </c>
      <c r="DA2" s="11">
        <v>105</v>
      </c>
      <c r="DB2" s="11">
        <v>106</v>
      </c>
      <c r="DC2" s="11">
        <v>107</v>
      </c>
      <c r="DD2" s="11">
        <v>108</v>
      </c>
      <c r="DE2" s="11">
        <v>109</v>
      </c>
      <c r="DF2" s="11">
        <v>110</v>
      </c>
      <c r="DG2" s="11">
        <v>111</v>
      </c>
      <c r="DH2" s="11">
        <v>112</v>
      </c>
      <c r="DI2" s="11">
        <v>113</v>
      </c>
      <c r="DJ2" s="11">
        <v>114</v>
      </c>
      <c r="DK2" s="11">
        <v>115</v>
      </c>
      <c r="DL2" s="11">
        <v>116</v>
      </c>
      <c r="DM2" s="11">
        <v>117</v>
      </c>
      <c r="DN2" s="11">
        <v>118</v>
      </c>
      <c r="DO2" s="11">
        <v>119</v>
      </c>
      <c r="DP2" s="11">
        <v>120</v>
      </c>
      <c r="DQ2" s="11">
        <v>121</v>
      </c>
      <c r="DR2" s="11">
        <v>122</v>
      </c>
      <c r="DS2" s="11">
        <v>123</v>
      </c>
      <c r="DT2" s="11">
        <v>124</v>
      </c>
      <c r="DU2" s="11">
        <v>125</v>
      </c>
      <c r="DV2" s="11">
        <v>126</v>
      </c>
      <c r="DW2" s="11">
        <v>127</v>
      </c>
      <c r="DX2" s="11">
        <v>128</v>
      </c>
      <c r="DY2" s="11">
        <v>129</v>
      </c>
      <c r="DZ2" s="11">
        <v>130</v>
      </c>
      <c r="EA2" s="11">
        <v>131</v>
      </c>
      <c r="EB2" s="11">
        <v>132</v>
      </c>
      <c r="EC2" s="11">
        <v>133</v>
      </c>
      <c r="ED2" s="11">
        <v>134</v>
      </c>
      <c r="EE2" s="11">
        <v>135</v>
      </c>
      <c r="EF2" s="11">
        <v>136</v>
      </c>
      <c r="EG2" s="11">
        <v>137</v>
      </c>
      <c r="EH2" s="11">
        <v>138</v>
      </c>
      <c r="EI2" s="11">
        <v>139</v>
      </c>
      <c r="EJ2" s="11">
        <v>140</v>
      </c>
      <c r="EK2" s="11">
        <v>141</v>
      </c>
      <c r="EL2" s="11">
        <v>142</v>
      </c>
      <c r="EM2" s="11">
        <v>143</v>
      </c>
      <c r="EN2" s="32"/>
      <c r="EO2" s="32"/>
      <c r="EP2" s="32"/>
      <c r="EQ2" s="32"/>
    </row>
    <row r="3" spans="1:150">
      <c r="A3" s="126">
        <v>2020</v>
      </c>
      <c r="B3" s="127" t="s">
        <v>367</v>
      </c>
      <c r="C3" s="127" t="s">
        <v>368</v>
      </c>
      <c r="D3" s="137" t="s">
        <v>368</v>
      </c>
      <c r="E3" s="137"/>
      <c r="F3" s="212"/>
      <c r="G3" s="212"/>
      <c r="H3" s="32"/>
      <c r="I3" s="32"/>
      <c r="J3" s="32"/>
      <c r="K3" s="32"/>
      <c r="L3" s="32"/>
      <c r="M3" s="32"/>
      <c r="N3" s="182" t="s">
        <v>48</v>
      </c>
      <c r="O3" s="177" t="s">
        <v>362</v>
      </c>
      <c r="P3" s="177" t="s">
        <v>366</v>
      </c>
      <c r="Q3" s="131"/>
      <c r="R3" s="131"/>
      <c r="S3" s="131"/>
      <c r="T3" s="177" t="s">
        <v>366</v>
      </c>
      <c r="U3" s="131"/>
      <c r="V3" s="131"/>
      <c r="W3" s="177" t="s">
        <v>488</v>
      </c>
      <c r="X3" s="131"/>
      <c r="Y3" s="177" t="s">
        <v>488</v>
      </c>
      <c r="Z3" s="131"/>
      <c r="AA3" s="177" t="s">
        <v>503</v>
      </c>
      <c r="AB3" s="131"/>
      <c r="AC3" s="131"/>
      <c r="AD3" s="178" t="s">
        <v>489</v>
      </c>
      <c r="AE3" s="178" t="s">
        <v>507</v>
      </c>
      <c r="AF3" s="177" t="s">
        <v>488</v>
      </c>
      <c r="AG3" s="135" t="s">
        <v>491</v>
      </c>
      <c r="AH3" s="177" t="s">
        <v>488</v>
      </c>
      <c r="AI3" s="131"/>
      <c r="AJ3" s="178">
        <f>IF(AZ3=BA3,0,100)</f>
        <v>100</v>
      </c>
      <c r="AK3" s="177" t="s">
        <v>491</v>
      </c>
      <c r="AL3" s="177" t="s">
        <v>492</v>
      </c>
      <c r="AM3" s="177" t="s">
        <v>493</v>
      </c>
      <c r="AN3" s="177" t="s">
        <v>504</v>
      </c>
      <c r="AO3" s="131"/>
      <c r="AP3" s="131"/>
      <c r="AQ3" s="177" t="s">
        <v>492</v>
      </c>
      <c r="AR3" s="177" t="s">
        <v>492</v>
      </c>
      <c r="AS3" s="131"/>
      <c r="AT3" s="131"/>
      <c r="AU3" s="131"/>
      <c r="AV3" s="177" t="s">
        <v>504</v>
      </c>
      <c r="AW3" s="131"/>
      <c r="AX3" s="193" t="s">
        <v>494</v>
      </c>
      <c r="AY3" s="193" t="s">
        <v>495</v>
      </c>
      <c r="AZ3" s="193" t="s">
        <v>494</v>
      </c>
      <c r="BA3" s="193" t="s">
        <v>495</v>
      </c>
      <c r="BB3" s="177" t="s">
        <v>493</v>
      </c>
      <c r="BC3" s="177" t="s">
        <v>496</v>
      </c>
      <c r="BD3" s="177" t="s">
        <v>493</v>
      </c>
      <c r="BE3" s="177" t="s">
        <v>493</v>
      </c>
      <c r="BF3" s="177" t="s">
        <v>497</v>
      </c>
      <c r="BG3" s="131"/>
      <c r="BH3" s="177" t="s">
        <v>492</v>
      </c>
      <c r="BI3" s="177" t="s">
        <v>492</v>
      </c>
      <c r="BJ3" s="177" t="s">
        <v>492</v>
      </c>
      <c r="BK3" s="177" t="s">
        <v>492</v>
      </c>
      <c r="BL3" s="177" t="s">
        <v>492</v>
      </c>
      <c r="BM3" s="177" t="s">
        <v>492</v>
      </c>
      <c r="BN3" s="131"/>
      <c r="BO3" s="177" t="s">
        <v>493</v>
      </c>
      <c r="BP3" s="177" t="s">
        <v>493</v>
      </c>
      <c r="BQ3" s="131"/>
      <c r="BR3" s="177">
        <v>90</v>
      </c>
      <c r="BS3" s="177" t="s">
        <v>493</v>
      </c>
      <c r="BT3" s="177" t="s">
        <v>493</v>
      </c>
      <c r="BU3" s="131"/>
      <c r="BV3" s="177" t="s">
        <v>497</v>
      </c>
      <c r="BW3" s="177" t="s">
        <v>490</v>
      </c>
      <c r="BX3" s="131"/>
      <c r="BY3" s="178">
        <v>1</v>
      </c>
      <c r="BZ3" s="177" t="s">
        <v>493</v>
      </c>
      <c r="CA3" s="131"/>
      <c r="CB3" s="131"/>
      <c r="CC3" s="131"/>
      <c r="CD3" s="177" t="s">
        <v>505</v>
      </c>
      <c r="CE3" s="177" t="s">
        <v>506</v>
      </c>
      <c r="CF3" s="177" t="s">
        <v>493</v>
      </c>
      <c r="CG3" s="177" t="s">
        <v>493</v>
      </c>
      <c r="CH3" s="131"/>
      <c r="CI3" s="131"/>
      <c r="CJ3" s="131"/>
      <c r="CK3" s="131"/>
      <c r="CL3" s="177" t="s">
        <v>493</v>
      </c>
      <c r="CM3" s="177" t="s">
        <v>506</v>
      </c>
      <c r="CN3" s="177" t="s">
        <v>493</v>
      </c>
      <c r="CO3" s="177" t="s">
        <v>498</v>
      </c>
      <c r="CP3" s="177" t="s">
        <v>493</v>
      </c>
      <c r="CQ3" s="177" t="s">
        <v>494</v>
      </c>
      <c r="CR3" s="177" t="s">
        <v>495</v>
      </c>
      <c r="CS3" s="177" t="s">
        <v>488</v>
      </c>
      <c r="CT3" s="177" t="s">
        <v>493</v>
      </c>
      <c r="CU3" s="131"/>
      <c r="CV3" s="131"/>
      <c r="CW3" s="131"/>
      <c r="CX3" s="131"/>
      <c r="CY3" s="177" t="s">
        <v>499</v>
      </c>
      <c r="CZ3" s="131"/>
      <c r="DA3" s="131"/>
      <c r="DB3" s="131" t="s">
        <v>1092</v>
      </c>
      <c r="DC3" s="214"/>
      <c r="DD3" s="131"/>
      <c r="DE3" s="131"/>
      <c r="DF3" s="177" t="s">
        <v>493</v>
      </c>
      <c r="DG3" s="177" t="s">
        <v>488</v>
      </c>
      <c r="DH3" s="177" t="s">
        <v>493</v>
      </c>
      <c r="DI3" s="177" t="s">
        <v>491</v>
      </c>
      <c r="DJ3" s="177" t="s">
        <v>500</v>
      </c>
      <c r="DK3" s="177" t="s">
        <v>501</v>
      </c>
      <c r="DL3" s="214" t="s">
        <v>496</v>
      </c>
      <c r="DM3" s="177" t="s">
        <v>502</v>
      </c>
      <c r="DN3" s="177" t="s">
        <v>493</v>
      </c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2"/>
      <c r="ES3" s="132"/>
      <c r="ET3" s="132"/>
    </row>
    <row r="4" spans="1:150">
      <c r="A4" s="126">
        <v>2020</v>
      </c>
      <c r="B4" s="127" t="s">
        <v>368</v>
      </c>
      <c r="C4" s="127" t="s">
        <v>368</v>
      </c>
      <c r="D4" s="137" t="s">
        <v>368</v>
      </c>
      <c r="E4" s="137"/>
      <c r="F4" s="212"/>
      <c r="G4" s="212"/>
      <c r="H4" s="32"/>
      <c r="I4" s="32"/>
      <c r="J4" s="32"/>
      <c r="K4" s="32"/>
      <c r="L4" s="32"/>
      <c r="M4" s="32"/>
      <c r="N4" s="32"/>
      <c r="O4" s="177" t="s">
        <v>362</v>
      </c>
      <c r="P4" s="177" t="s">
        <v>366</v>
      </c>
      <c r="Q4" s="131"/>
      <c r="R4" s="131"/>
      <c r="S4" s="131"/>
      <c r="T4" s="177" t="s">
        <v>366</v>
      </c>
      <c r="U4" s="131"/>
      <c r="V4" s="131"/>
      <c r="W4" s="177" t="s">
        <v>488</v>
      </c>
      <c r="X4" s="131"/>
      <c r="Y4" s="177" t="s">
        <v>488</v>
      </c>
      <c r="Z4" s="131"/>
      <c r="AA4" s="177" t="s">
        <v>503</v>
      </c>
      <c r="AB4" s="131"/>
      <c r="AC4" s="131"/>
      <c r="AD4" s="178" t="s">
        <v>489</v>
      </c>
      <c r="AE4" s="178" t="s">
        <v>507</v>
      </c>
      <c r="AF4" s="177" t="s">
        <v>488</v>
      </c>
      <c r="AG4" s="135" t="s">
        <v>491</v>
      </c>
      <c r="AH4" s="177" t="s">
        <v>488</v>
      </c>
      <c r="AI4" s="131"/>
      <c r="AJ4" s="178">
        <f>IF(AZ4=BA4,0,100)</f>
        <v>100</v>
      </c>
      <c r="AK4" s="177" t="s">
        <v>491</v>
      </c>
      <c r="AL4" s="177" t="s">
        <v>492</v>
      </c>
      <c r="AM4" s="177" t="s">
        <v>493</v>
      </c>
      <c r="AN4" s="177" t="s">
        <v>504</v>
      </c>
      <c r="AO4" s="131"/>
      <c r="AP4" s="131"/>
      <c r="AQ4" s="177" t="s">
        <v>492</v>
      </c>
      <c r="AR4" s="177" t="s">
        <v>492</v>
      </c>
      <c r="AS4" s="131"/>
      <c r="AT4" s="131"/>
      <c r="AU4" s="131"/>
      <c r="AV4" s="177" t="s">
        <v>504</v>
      </c>
      <c r="AW4" s="131"/>
      <c r="AX4" s="193" t="s">
        <v>494</v>
      </c>
      <c r="AY4" s="193" t="s">
        <v>495</v>
      </c>
      <c r="AZ4" s="193" t="s">
        <v>494</v>
      </c>
      <c r="BA4" s="193" t="s">
        <v>495</v>
      </c>
      <c r="BB4" s="177" t="s">
        <v>493</v>
      </c>
      <c r="BC4" s="177" t="s">
        <v>496</v>
      </c>
      <c r="BD4" s="177" t="s">
        <v>493</v>
      </c>
      <c r="BE4" s="177" t="s">
        <v>493</v>
      </c>
      <c r="BF4" s="177" t="s">
        <v>497</v>
      </c>
      <c r="BG4" s="131"/>
      <c r="BH4" s="177" t="s">
        <v>492</v>
      </c>
      <c r="BI4" s="177" t="s">
        <v>492</v>
      </c>
      <c r="BJ4" s="177" t="s">
        <v>492</v>
      </c>
      <c r="BK4" s="177" t="s">
        <v>492</v>
      </c>
      <c r="BL4" s="177" t="s">
        <v>492</v>
      </c>
      <c r="BM4" s="177" t="s">
        <v>492</v>
      </c>
      <c r="BN4" s="131"/>
      <c r="BO4" s="177" t="s">
        <v>493</v>
      </c>
      <c r="BP4" s="177" t="s">
        <v>493</v>
      </c>
      <c r="BQ4" s="131"/>
      <c r="BR4" s="177">
        <v>90</v>
      </c>
      <c r="BS4" s="177" t="s">
        <v>493</v>
      </c>
      <c r="BT4" s="177" t="s">
        <v>493</v>
      </c>
      <c r="BU4" s="131"/>
      <c r="BV4" s="177" t="s">
        <v>497</v>
      </c>
      <c r="BW4" s="177" t="s">
        <v>490</v>
      </c>
      <c r="BX4" s="131"/>
      <c r="BY4" s="178">
        <v>1</v>
      </c>
      <c r="BZ4" s="177" t="s">
        <v>493</v>
      </c>
      <c r="CA4" s="131"/>
      <c r="CB4" s="131"/>
      <c r="CC4" s="131"/>
      <c r="CD4" s="177" t="s">
        <v>505</v>
      </c>
      <c r="CE4" s="177" t="s">
        <v>506</v>
      </c>
      <c r="CF4" s="177" t="s">
        <v>493</v>
      </c>
      <c r="CG4" s="177" t="s">
        <v>493</v>
      </c>
      <c r="CH4" s="131"/>
      <c r="CI4" s="131"/>
      <c r="CJ4" s="131"/>
      <c r="CK4" s="131"/>
      <c r="CL4" s="177" t="s">
        <v>493</v>
      </c>
      <c r="CM4" s="177" t="s">
        <v>506</v>
      </c>
      <c r="CN4" s="177" t="s">
        <v>493</v>
      </c>
      <c r="CO4" s="177" t="s">
        <v>498</v>
      </c>
      <c r="CP4" s="177" t="s">
        <v>493</v>
      </c>
      <c r="CQ4" s="177" t="s">
        <v>494</v>
      </c>
      <c r="CR4" s="177" t="s">
        <v>495</v>
      </c>
      <c r="CS4" s="177" t="s">
        <v>488</v>
      </c>
      <c r="CT4" s="177" t="s">
        <v>493</v>
      </c>
      <c r="CU4" s="131"/>
      <c r="CV4" s="131"/>
      <c r="CW4" s="131"/>
      <c r="CX4" s="131"/>
      <c r="CY4" s="177" t="s">
        <v>499</v>
      </c>
      <c r="CZ4" s="131"/>
      <c r="DA4" s="131"/>
      <c r="DB4" s="177" t="s">
        <v>491</v>
      </c>
      <c r="DC4" s="214"/>
      <c r="DD4" s="131"/>
      <c r="DE4" s="131"/>
      <c r="DF4" s="177" t="s">
        <v>493</v>
      </c>
      <c r="DG4" s="177" t="s">
        <v>488</v>
      </c>
      <c r="DH4" s="177" t="s">
        <v>493</v>
      </c>
      <c r="DI4" s="177" t="s">
        <v>491</v>
      </c>
      <c r="DJ4" s="177" t="s">
        <v>500</v>
      </c>
      <c r="DK4" s="177" t="s">
        <v>501</v>
      </c>
      <c r="DL4" s="177">
        <v>1</v>
      </c>
      <c r="DM4" s="177" t="s">
        <v>502</v>
      </c>
      <c r="DN4" s="177" t="s">
        <v>493</v>
      </c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2"/>
      <c r="ES4" s="132"/>
      <c r="ET4" s="132"/>
    </row>
    <row r="5" spans="1:150" s="154" customFormat="1">
      <c r="A5" s="359" t="s">
        <v>172</v>
      </c>
      <c r="B5" s="347" t="s">
        <v>368</v>
      </c>
      <c r="C5" s="347" t="s">
        <v>368</v>
      </c>
      <c r="D5" s="347" t="s">
        <v>368</v>
      </c>
      <c r="E5" s="133"/>
      <c r="F5" s="213"/>
      <c r="G5" s="195" t="s">
        <v>496</v>
      </c>
      <c r="N5" s="183" t="s">
        <v>173</v>
      </c>
      <c r="O5" s="193" t="s">
        <v>362</v>
      </c>
      <c r="P5" s="193" t="s">
        <v>366</v>
      </c>
      <c r="Q5" s="134"/>
      <c r="R5" s="134"/>
      <c r="S5" s="134"/>
      <c r="T5" s="193" t="s">
        <v>366</v>
      </c>
      <c r="U5" s="134"/>
      <c r="V5" s="134"/>
      <c r="W5" s="193" t="s">
        <v>488</v>
      </c>
      <c r="X5" s="193" t="s">
        <v>1085</v>
      </c>
      <c r="Y5" s="193" t="s">
        <v>488</v>
      </c>
      <c r="Z5" s="193" t="s">
        <v>1086</v>
      </c>
      <c r="AA5" s="193" t="s">
        <v>503</v>
      </c>
      <c r="AB5" s="193" t="s">
        <v>489</v>
      </c>
      <c r="AC5" s="134"/>
      <c r="AD5" s="193">
        <v>65</v>
      </c>
      <c r="AE5" s="193">
        <v>75</v>
      </c>
      <c r="AF5" s="193" t="s">
        <v>488</v>
      </c>
      <c r="AG5" s="193" t="s">
        <v>491</v>
      </c>
      <c r="AH5" s="193" t="s">
        <v>488</v>
      </c>
      <c r="AI5" s="193" t="s">
        <v>493</v>
      </c>
      <c r="AJ5" s="193" t="s">
        <v>493</v>
      </c>
      <c r="AK5" s="193" t="s">
        <v>491</v>
      </c>
      <c r="AL5" s="193" t="s">
        <v>492</v>
      </c>
      <c r="AM5" s="193" t="s">
        <v>493</v>
      </c>
      <c r="AN5" s="193" t="s">
        <v>504</v>
      </c>
      <c r="AO5" s="193" t="s">
        <v>493</v>
      </c>
      <c r="AP5" s="193" t="s">
        <v>990</v>
      </c>
      <c r="AQ5" s="193" t="s">
        <v>492</v>
      </c>
      <c r="AR5" s="193" t="s">
        <v>492</v>
      </c>
      <c r="AS5" s="134"/>
      <c r="AT5" s="134"/>
      <c r="AU5" s="134"/>
      <c r="AV5" s="193" t="s">
        <v>504</v>
      </c>
      <c r="AW5" s="134"/>
      <c r="AX5" s="193" t="s">
        <v>494</v>
      </c>
      <c r="AY5" s="193" t="s">
        <v>495</v>
      </c>
      <c r="AZ5" s="193" t="s">
        <v>494</v>
      </c>
      <c r="BA5" s="193" t="s">
        <v>495</v>
      </c>
      <c r="BB5" s="193" t="s">
        <v>493</v>
      </c>
      <c r="BC5" s="193" t="s">
        <v>496</v>
      </c>
      <c r="BD5" s="193" t="s">
        <v>493</v>
      </c>
      <c r="BE5" s="193" t="s">
        <v>493</v>
      </c>
      <c r="BF5" s="193" t="s">
        <v>497</v>
      </c>
      <c r="BG5" s="134"/>
      <c r="BH5" s="193" t="s">
        <v>492</v>
      </c>
      <c r="BI5" s="193" t="s">
        <v>492</v>
      </c>
      <c r="BJ5" s="193" t="s">
        <v>492</v>
      </c>
      <c r="BK5" s="193" t="s">
        <v>492</v>
      </c>
      <c r="BL5" s="193" t="s">
        <v>492</v>
      </c>
      <c r="BM5" s="193" t="s">
        <v>492</v>
      </c>
      <c r="BN5" s="134"/>
      <c r="BO5" s="193" t="s">
        <v>493</v>
      </c>
      <c r="BP5" s="193" t="s">
        <v>493</v>
      </c>
      <c r="BQ5" s="134"/>
      <c r="BR5" s="193">
        <v>90</v>
      </c>
      <c r="BS5" s="134"/>
      <c r="BT5" s="134"/>
      <c r="BU5" s="134"/>
      <c r="BV5" s="134"/>
      <c r="BW5" s="193" t="s">
        <v>490</v>
      </c>
      <c r="BX5" s="134"/>
      <c r="BY5" s="179">
        <v>1</v>
      </c>
      <c r="BZ5" s="193" t="s">
        <v>493</v>
      </c>
      <c r="CA5" s="193" t="s">
        <v>505</v>
      </c>
      <c r="CB5" s="134"/>
      <c r="CC5" s="134"/>
      <c r="CD5" s="193" t="s">
        <v>505</v>
      </c>
      <c r="CE5" s="193" t="s">
        <v>506</v>
      </c>
      <c r="CF5" s="193" t="s">
        <v>493</v>
      </c>
      <c r="CG5" s="193" t="s">
        <v>493</v>
      </c>
      <c r="CH5" s="193" t="s">
        <v>690</v>
      </c>
      <c r="CI5" s="193" t="s">
        <v>506</v>
      </c>
      <c r="CJ5" s="193" t="s">
        <v>493</v>
      </c>
      <c r="CK5" s="193" t="s">
        <v>493</v>
      </c>
      <c r="CL5" s="193" t="s">
        <v>493</v>
      </c>
      <c r="CM5" s="193" t="s">
        <v>506</v>
      </c>
      <c r="CN5" s="193" t="s">
        <v>493</v>
      </c>
      <c r="CO5" s="193" t="s">
        <v>498</v>
      </c>
      <c r="CP5" s="193" t="s">
        <v>493</v>
      </c>
      <c r="CQ5" s="193" t="s">
        <v>494</v>
      </c>
      <c r="CR5" s="193" t="s">
        <v>495</v>
      </c>
      <c r="CS5" s="193" t="s">
        <v>488</v>
      </c>
      <c r="CT5" s="193" t="s">
        <v>493</v>
      </c>
      <c r="CU5" s="193" t="s">
        <v>493</v>
      </c>
      <c r="CV5" s="193" t="s">
        <v>493</v>
      </c>
      <c r="CW5" s="193" t="s">
        <v>490</v>
      </c>
      <c r="CX5" s="193" t="s">
        <v>690</v>
      </c>
      <c r="CY5" s="193" t="s">
        <v>499</v>
      </c>
      <c r="CZ5" s="193" t="s">
        <v>1093</v>
      </c>
      <c r="DA5" s="193" t="s">
        <v>690</v>
      </c>
      <c r="DB5" s="193" t="s">
        <v>491</v>
      </c>
      <c r="DC5" s="347" t="s">
        <v>496</v>
      </c>
      <c r="DD5" s="193" t="s">
        <v>690</v>
      </c>
      <c r="DE5" s="193" t="s">
        <v>496</v>
      </c>
      <c r="DF5" s="193" t="s">
        <v>493</v>
      </c>
      <c r="DG5" s="193" t="s">
        <v>488</v>
      </c>
      <c r="DH5" s="193" t="s">
        <v>493</v>
      </c>
      <c r="DI5" s="193" t="s">
        <v>491</v>
      </c>
      <c r="DJ5" s="193" t="s">
        <v>500</v>
      </c>
      <c r="DK5" s="193" t="s">
        <v>501</v>
      </c>
      <c r="DL5" s="193" t="s">
        <v>496</v>
      </c>
      <c r="DM5" s="193" t="s">
        <v>502</v>
      </c>
      <c r="DN5" s="193" t="s">
        <v>493</v>
      </c>
      <c r="DO5" s="134"/>
      <c r="DP5" s="134"/>
      <c r="DQ5" s="134"/>
      <c r="DR5" s="134"/>
      <c r="DS5" s="134"/>
      <c r="DT5" s="134"/>
      <c r="DU5" s="134"/>
      <c r="DV5" s="134"/>
      <c r="DW5" s="134"/>
      <c r="DX5" s="134"/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4"/>
      <c r="EO5" s="134"/>
      <c r="EP5" s="134"/>
      <c r="EQ5" s="134"/>
      <c r="ER5" s="134"/>
      <c r="ES5" s="134"/>
      <c r="ET5" s="134"/>
    </row>
    <row r="6" spans="1:150" s="154" customFormat="1">
      <c r="A6" s="364" t="s">
        <v>172</v>
      </c>
      <c r="B6" s="347" t="s">
        <v>368</v>
      </c>
      <c r="C6" s="347" t="s">
        <v>368</v>
      </c>
      <c r="D6" s="347" t="s">
        <v>368</v>
      </c>
      <c r="E6" s="133"/>
      <c r="F6" s="213"/>
      <c r="G6" s="195" t="s">
        <v>795</v>
      </c>
      <c r="O6" s="193" t="s">
        <v>362</v>
      </c>
      <c r="P6" s="193" t="s">
        <v>366</v>
      </c>
      <c r="Q6" s="134"/>
      <c r="R6" s="134"/>
      <c r="S6" s="134"/>
      <c r="T6" s="193" t="s">
        <v>366</v>
      </c>
      <c r="U6" s="134"/>
      <c r="V6" s="134"/>
      <c r="W6" s="193" t="s">
        <v>488</v>
      </c>
      <c r="X6" s="193" t="s">
        <v>1085</v>
      </c>
      <c r="Y6" s="193" t="s">
        <v>488</v>
      </c>
      <c r="Z6" s="193" t="s">
        <v>1086</v>
      </c>
      <c r="AA6" s="193" t="s">
        <v>503</v>
      </c>
      <c r="AB6" s="193" t="s">
        <v>489</v>
      </c>
      <c r="AC6" s="134"/>
      <c r="AD6" s="193">
        <v>65</v>
      </c>
      <c r="AE6" s="193">
        <v>75</v>
      </c>
      <c r="AF6" s="193" t="s">
        <v>488</v>
      </c>
      <c r="AG6" s="193" t="s">
        <v>491</v>
      </c>
      <c r="AH6" s="193" t="s">
        <v>488</v>
      </c>
      <c r="AI6" s="193" t="s">
        <v>493</v>
      </c>
      <c r="AJ6" s="193" t="s">
        <v>493</v>
      </c>
      <c r="AK6" s="193" t="s">
        <v>491</v>
      </c>
      <c r="AL6" s="193" t="s">
        <v>492</v>
      </c>
      <c r="AM6" s="193" t="s">
        <v>493</v>
      </c>
      <c r="AN6" s="193" t="s">
        <v>504</v>
      </c>
      <c r="AO6" s="193" t="s">
        <v>493</v>
      </c>
      <c r="AP6" s="193" t="s">
        <v>990</v>
      </c>
      <c r="AQ6" s="193" t="s">
        <v>492</v>
      </c>
      <c r="AR6" s="193" t="s">
        <v>492</v>
      </c>
      <c r="AS6" s="134"/>
      <c r="AT6" s="134"/>
      <c r="AU6" s="134"/>
      <c r="AV6" s="193" t="s">
        <v>504</v>
      </c>
      <c r="AW6" s="134"/>
      <c r="AX6" s="193" t="s">
        <v>494</v>
      </c>
      <c r="AY6" s="193" t="s">
        <v>495</v>
      </c>
      <c r="AZ6" s="193" t="s">
        <v>494</v>
      </c>
      <c r="BA6" s="193" t="s">
        <v>495</v>
      </c>
      <c r="BB6" s="193" t="s">
        <v>493</v>
      </c>
      <c r="BC6" s="193" t="s">
        <v>496</v>
      </c>
      <c r="BD6" s="193" t="s">
        <v>493</v>
      </c>
      <c r="BE6" s="193" t="s">
        <v>493</v>
      </c>
      <c r="BF6" s="193" t="s">
        <v>497</v>
      </c>
      <c r="BG6" s="134"/>
      <c r="BH6" s="193" t="s">
        <v>492</v>
      </c>
      <c r="BI6" s="193" t="s">
        <v>492</v>
      </c>
      <c r="BJ6" s="193" t="s">
        <v>492</v>
      </c>
      <c r="BK6" s="193" t="s">
        <v>492</v>
      </c>
      <c r="BL6" s="193" t="s">
        <v>492</v>
      </c>
      <c r="BM6" s="193" t="s">
        <v>492</v>
      </c>
      <c r="BN6" s="134"/>
      <c r="BO6" s="193" t="s">
        <v>493</v>
      </c>
      <c r="BP6" s="193" t="s">
        <v>493</v>
      </c>
      <c r="BQ6" s="134"/>
      <c r="BR6" s="193">
        <v>90</v>
      </c>
      <c r="BS6" s="134"/>
      <c r="BT6" s="134"/>
      <c r="BU6" s="134"/>
      <c r="BV6" s="134"/>
      <c r="BW6" s="193" t="s">
        <v>490</v>
      </c>
      <c r="BX6" s="134"/>
      <c r="BY6" s="179">
        <v>1</v>
      </c>
      <c r="BZ6" s="193" t="s">
        <v>493</v>
      </c>
      <c r="CA6" s="193" t="s">
        <v>505</v>
      </c>
      <c r="CB6" s="134"/>
      <c r="CC6" s="134"/>
      <c r="CD6" s="193" t="s">
        <v>505</v>
      </c>
      <c r="CE6" s="193" t="s">
        <v>506</v>
      </c>
      <c r="CF6" s="193" t="s">
        <v>493</v>
      </c>
      <c r="CG6" s="193" t="s">
        <v>493</v>
      </c>
      <c r="CH6" s="193" t="s">
        <v>690</v>
      </c>
      <c r="CI6" s="193" t="s">
        <v>506</v>
      </c>
      <c r="CJ6" s="193" t="s">
        <v>493</v>
      </c>
      <c r="CK6" s="193" t="s">
        <v>493</v>
      </c>
      <c r="CL6" s="193" t="s">
        <v>493</v>
      </c>
      <c r="CM6" s="193" t="s">
        <v>506</v>
      </c>
      <c r="CN6" s="193" t="s">
        <v>493</v>
      </c>
      <c r="CO6" s="193" t="s">
        <v>498</v>
      </c>
      <c r="CP6" s="193" t="s">
        <v>493</v>
      </c>
      <c r="CQ6" s="193" t="s">
        <v>494</v>
      </c>
      <c r="CR6" s="193" t="s">
        <v>495</v>
      </c>
      <c r="CS6" s="193" t="s">
        <v>488</v>
      </c>
      <c r="CT6" s="193" t="s">
        <v>493</v>
      </c>
      <c r="CU6" s="193" t="s">
        <v>493</v>
      </c>
      <c r="CV6" s="193" t="s">
        <v>493</v>
      </c>
      <c r="CW6" s="193" t="s">
        <v>490</v>
      </c>
      <c r="CX6" s="193" t="s">
        <v>690</v>
      </c>
      <c r="CY6" s="193" t="s">
        <v>499</v>
      </c>
      <c r="CZ6" s="193" t="s">
        <v>1093</v>
      </c>
      <c r="DA6" s="193" t="s">
        <v>690</v>
      </c>
      <c r="DB6" s="193" t="s">
        <v>491</v>
      </c>
      <c r="DC6" s="347" t="s">
        <v>795</v>
      </c>
      <c r="DD6" s="193" t="s">
        <v>690</v>
      </c>
      <c r="DE6" s="193" t="s">
        <v>496</v>
      </c>
      <c r="DF6" s="193" t="s">
        <v>493</v>
      </c>
      <c r="DG6" s="193" t="s">
        <v>488</v>
      </c>
      <c r="DH6" s="193" t="s">
        <v>493</v>
      </c>
      <c r="DI6" s="193" t="s">
        <v>491</v>
      </c>
      <c r="DJ6" s="193" t="s">
        <v>500</v>
      </c>
      <c r="DK6" s="193" t="s">
        <v>501</v>
      </c>
      <c r="DL6" s="193" t="s">
        <v>496</v>
      </c>
      <c r="DM6" s="193" t="s">
        <v>502</v>
      </c>
      <c r="DN6" s="193" t="s">
        <v>493</v>
      </c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</row>
    <row r="7" spans="1:150" s="154" customFormat="1">
      <c r="A7" s="364" t="s">
        <v>172</v>
      </c>
      <c r="B7" s="347" t="s">
        <v>368</v>
      </c>
      <c r="C7" s="347" t="s">
        <v>368</v>
      </c>
      <c r="D7" s="347" t="s">
        <v>368</v>
      </c>
      <c r="E7" s="133"/>
      <c r="F7" s="213"/>
      <c r="G7" s="195" t="s">
        <v>884</v>
      </c>
      <c r="O7" s="193" t="s">
        <v>362</v>
      </c>
      <c r="P7" s="193" t="s">
        <v>366</v>
      </c>
      <c r="Q7" s="134"/>
      <c r="R7" s="134"/>
      <c r="S7" s="134"/>
      <c r="T7" s="193" t="s">
        <v>366</v>
      </c>
      <c r="U7" s="134"/>
      <c r="V7" s="134"/>
      <c r="W7" s="193" t="s">
        <v>488</v>
      </c>
      <c r="X7" s="193" t="s">
        <v>1085</v>
      </c>
      <c r="Y7" s="193" t="s">
        <v>488</v>
      </c>
      <c r="Z7" s="193" t="s">
        <v>1086</v>
      </c>
      <c r="AA7" s="193" t="s">
        <v>503</v>
      </c>
      <c r="AB7" s="193" t="s">
        <v>489</v>
      </c>
      <c r="AC7" s="134"/>
      <c r="AD7" s="193">
        <v>65</v>
      </c>
      <c r="AE7" s="193">
        <v>75</v>
      </c>
      <c r="AF7" s="193" t="s">
        <v>488</v>
      </c>
      <c r="AG7" s="193" t="s">
        <v>491</v>
      </c>
      <c r="AH7" s="193" t="s">
        <v>488</v>
      </c>
      <c r="AI7" s="193" t="s">
        <v>493</v>
      </c>
      <c r="AJ7" s="193" t="s">
        <v>493</v>
      </c>
      <c r="AK7" s="193" t="s">
        <v>491</v>
      </c>
      <c r="AL7" s="193" t="s">
        <v>492</v>
      </c>
      <c r="AM7" s="193" t="s">
        <v>493</v>
      </c>
      <c r="AN7" s="193" t="s">
        <v>504</v>
      </c>
      <c r="AO7" s="193" t="s">
        <v>493</v>
      </c>
      <c r="AP7" s="193" t="s">
        <v>990</v>
      </c>
      <c r="AQ7" s="193" t="s">
        <v>492</v>
      </c>
      <c r="AR7" s="193" t="s">
        <v>492</v>
      </c>
      <c r="AS7" s="134"/>
      <c r="AT7" s="134"/>
      <c r="AU7" s="134"/>
      <c r="AV7" s="193" t="s">
        <v>504</v>
      </c>
      <c r="AW7" s="134"/>
      <c r="AX7" s="193" t="s">
        <v>494</v>
      </c>
      <c r="AY7" s="193" t="s">
        <v>495</v>
      </c>
      <c r="AZ7" s="193" t="s">
        <v>494</v>
      </c>
      <c r="BA7" s="193" t="s">
        <v>495</v>
      </c>
      <c r="BB7" s="193" t="s">
        <v>493</v>
      </c>
      <c r="BC7" s="193" t="s">
        <v>496</v>
      </c>
      <c r="BD7" s="193" t="s">
        <v>493</v>
      </c>
      <c r="BE7" s="193" t="s">
        <v>493</v>
      </c>
      <c r="BF7" s="193" t="s">
        <v>497</v>
      </c>
      <c r="BG7" s="134"/>
      <c r="BH7" s="193" t="s">
        <v>492</v>
      </c>
      <c r="BI7" s="193" t="s">
        <v>492</v>
      </c>
      <c r="BJ7" s="193" t="s">
        <v>492</v>
      </c>
      <c r="BK7" s="193" t="s">
        <v>492</v>
      </c>
      <c r="BL7" s="193" t="s">
        <v>492</v>
      </c>
      <c r="BM7" s="193" t="s">
        <v>492</v>
      </c>
      <c r="BN7" s="134"/>
      <c r="BO7" s="193" t="s">
        <v>493</v>
      </c>
      <c r="BP7" s="193" t="s">
        <v>493</v>
      </c>
      <c r="BQ7" s="134"/>
      <c r="BR7" s="193">
        <v>90</v>
      </c>
      <c r="BS7" s="134"/>
      <c r="BT7" s="134"/>
      <c r="BU7" s="134"/>
      <c r="BV7" s="134"/>
      <c r="BW7" s="193" t="s">
        <v>490</v>
      </c>
      <c r="BX7" s="134"/>
      <c r="BY7" s="179">
        <v>1</v>
      </c>
      <c r="BZ7" s="193" t="s">
        <v>493</v>
      </c>
      <c r="CA7" s="193" t="s">
        <v>505</v>
      </c>
      <c r="CB7" s="134"/>
      <c r="CC7" s="134"/>
      <c r="CD7" s="193" t="s">
        <v>505</v>
      </c>
      <c r="CE7" s="193" t="s">
        <v>506</v>
      </c>
      <c r="CF7" s="193" t="s">
        <v>493</v>
      </c>
      <c r="CG7" s="193" t="s">
        <v>493</v>
      </c>
      <c r="CH7" s="193" t="s">
        <v>690</v>
      </c>
      <c r="CI7" s="193" t="s">
        <v>506</v>
      </c>
      <c r="CJ7" s="193" t="s">
        <v>493</v>
      </c>
      <c r="CK7" s="193" t="s">
        <v>493</v>
      </c>
      <c r="CL7" s="193" t="s">
        <v>493</v>
      </c>
      <c r="CM7" s="193" t="s">
        <v>506</v>
      </c>
      <c r="CN7" s="193" t="s">
        <v>493</v>
      </c>
      <c r="CO7" s="193" t="s">
        <v>498</v>
      </c>
      <c r="CP7" s="193" t="s">
        <v>493</v>
      </c>
      <c r="CQ7" s="193" t="s">
        <v>494</v>
      </c>
      <c r="CR7" s="193" t="s">
        <v>495</v>
      </c>
      <c r="CS7" s="193" t="s">
        <v>488</v>
      </c>
      <c r="CT7" s="193" t="s">
        <v>493</v>
      </c>
      <c r="CU7" s="193" t="s">
        <v>493</v>
      </c>
      <c r="CV7" s="193" t="s">
        <v>493</v>
      </c>
      <c r="CW7" s="193" t="s">
        <v>490</v>
      </c>
      <c r="CX7" s="193" t="s">
        <v>690</v>
      </c>
      <c r="CY7" s="193" t="s">
        <v>499</v>
      </c>
      <c r="CZ7" s="193" t="s">
        <v>1093</v>
      </c>
      <c r="DA7" s="193" t="s">
        <v>690</v>
      </c>
      <c r="DB7" s="193" t="s">
        <v>491</v>
      </c>
      <c r="DC7" s="348">
        <v>3</v>
      </c>
      <c r="DD7" s="193" t="s">
        <v>690</v>
      </c>
      <c r="DE7" s="193" t="s">
        <v>496</v>
      </c>
      <c r="DF7" s="193" t="s">
        <v>493</v>
      </c>
      <c r="DG7" s="193" t="s">
        <v>488</v>
      </c>
      <c r="DH7" s="193" t="s">
        <v>493</v>
      </c>
      <c r="DI7" s="193" t="s">
        <v>491</v>
      </c>
      <c r="DJ7" s="193" t="s">
        <v>500</v>
      </c>
      <c r="DK7" s="193" t="s">
        <v>501</v>
      </c>
      <c r="DL7" s="193" t="s">
        <v>496</v>
      </c>
      <c r="DM7" s="193" t="s">
        <v>502</v>
      </c>
      <c r="DN7" s="193" t="s">
        <v>493</v>
      </c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</row>
    <row r="8" spans="1:150" s="154" customFormat="1">
      <c r="A8" s="364" t="s">
        <v>172</v>
      </c>
      <c r="B8" s="347" t="s">
        <v>367</v>
      </c>
      <c r="C8" s="347" t="s">
        <v>368</v>
      </c>
      <c r="D8" s="347" t="s">
        <v>368</v>
      </c>
      <c r="E8" s="133"/>
      <c r="F8" s="213"/>
      <c r="G8" s="195" t="s">
        <v>496</v>
      </c>
      <c r="O8" s="193" t="s">
        <v>362</v>
      </c>
      <c r="P8" s="193" t="s">
        <v>366</v>
      </c>
      <c r="Q8" s="134"/>
      <c r="R8" s="134"/>
      <c r="S8" s="134"/>
      <c r="T8" s="193" t="s">
        <v>366</v>
      </c>
      <c r="U8" s="134"/>
      <c r="V8" s="134"/>
      <c r="W8" s="193" t="s">
        <v>488</v>
      </c>
      <c r="X8" s="193" t="s">
        <v>1085</v>
      </c>
      <c r="Y8" s="193" t="s">
        <v>488</v>
      </c>
      <c r="Z8" s="193" t="s">
        <v>1086</v>
      </c>
      <c r="AA8" s="193" t="s">
        <v>503</v>
      </c>
      <c r="AB8" s="193" t="s">
        <v>489</v>
      </c>
      <c r="AC8" s="134"/>
      <c r="AD8" s="193">
        <v>65</v>
      </c>
      <c r="AE8" s="193">
        <v>75</v>
      </c>
      <c r="AF8" s="193" t="s">
        <v>488</v>
      </c>
      <c r="AG8" s="193" t="s">
        <v>491</v>
      </c>
      <c r="AH8" s="193" t="s">
        <v>488</v>
      </c>
      <c r="AI8" s="193" t="s">
        <v>493</v>
      </c>
      <c r="AJ8" s="193" t="s">
        <v>493</v>
      </c>
      <c r="AK8" s="193" t="s">
        <v>491</v>
      </c>
      <c r="AL8" s="193" t="s">
        <v>492</v>
      </c>
      <c r="AM8" s="193" t="s">
        <v>493</v>
      </c>
      <c r="AN8" s="193" t="s">
        <v>504</v>
      </c>
      <c r="AO8" s="193" t="s">
        <v>493</v>
      </c>
      <c r="AP8" s="193" t="s">
        <v>990</v>
      </c>
      <c r="AQ8" s="193" t="s">
        <v>492</v>
      </c>
      <c r="AR8" s="193" t="s">
        <v>492</v>
      </c>
      <c r="AS8" s="134"/>
      <c r="AT8" s="134"/>
      <c r="AU8" s="134"/>
      <c r="AV8" s="193" t="s">
        <v>504</v>
      </c>
      <c r="AW8" s="134"/>
      <c r="AX8" s="193" t="s">
        <v>494</v>
      </c>
      <c r="AY8" s="193" t="s">
        <v>495</v>
      </c>
      <c r="AZ8" s="193" t="s">
        <v>494</v>
      </c>
      <c r="BA8" s="193" t="s">
        <v>495</v>
      </c>
      <c r="BB8" s="193" t="s">
        <v>493</v>
      </c>
      <c r="BC8" s="193" t="s">
        <v>496</v>
      </c>
      <c r="BD8" s="193" t="s">
        <v>493</v>
      </c>
      <c r="BE8" s="193" t="s">
        <v>493</v>
      </c>
      <c r="BF8" s="193" t="s">
        <v>497</v>
      </c>
      <c r="BG8" s="134"/>
      <c r="BH8" s="193" t="s">
        <v>492</v>
      </c>
      <c r="BI8" s="193" t="s">
        <v>492</v>
      </c>
      <c r="BJ8" s="193" t="s">
        <v>492</v>
      </c>
      <c r="BK8" s="193" t="s">
        <v>492</v>
      </c>
      <c r="BL8" s="193" t="s">
        <v>492</v>
      </c>
      <c r="BM8" s="193" t="s">
        <v>492</v>
      </c>
      <c r="BN8" s="134"/>
      <c r="BO8" s="193" t="s">
        <v>493</v>
      </c>
      <c r="BP8" s="193" t="s">
        <v>493</v>
      </c>
      <c r="BQ8" s="134"/>
      <c r="BR8" s="193">
        <v>90</v>
      </c>
      <c r="BS8" s="134"/>
      <c r="BT8" s="134"/>
      <c r="BU8" s="134"/>
      <c r="BV8" s="134"/>
      <c r="BW8" s="193" t="s">
        <v>490</v>
      </c>
      <c r="BX8" s="134"/>
      <c r="BY8" s="179">
        <v>1</v>
      </c>
      <c r="BZ8" s="193" t="s">
        <v>493</v>
      </c>
      <c r="CA8" s="193" t="s">
        <v>505</v>
      </c>
      <c r="CB8" s="134"/>
      <c r="CC8" s="134"/>
      <c r="CD8" s="193" t="s">
        <v>505</v>
      </c>
      <c r="CE8" s="193" t="s">
        <v>506</v>
      </c>
      <c r="CF8" s="193" t="s">
        <v>493</v>
      </c>
      <c r="CG8" s="193" t="s">
        <v>493</v>
      </c>
      <c r="CH8" s="193" t="s">
        <v>690</v>
      </c>
      <c r="CI8" s="193" t="s">
        <v>506</v>
      </c>
      <c r="CJ8" s="193" t="s">
        <v>493</v>
      </c>
      <c r="CK8" s="193" t="s">
        <v>493</v>
      </c>
      <c r="CL8" s="193" t="s">
        <v>493</v>
      </c>
      <c r="CM8" s="193" t="s">
        <v>506</v>
      </c>
      <c r="CN8" s="193" t="s">
        <v>493</v>
      </c>
      <c r="CO8" s="193" t="s">
        <v>498</v>
      </c>
      <c r="CP8" s="193" t="s">
        <v>493</v>
      </c>
      <c r="CQ8" s="193" t="s">
        <v>494</v>
      </c>
      <c r="CR8" s="193" t="s">
        <v>495</v>
      </c>
      <c r="CS8" s="193" t="s">
        <v>488</v>
      </c>
      <c r="CT8" s="193" t="s">
        <v>493</v>
      </c>
      <c r="CU8" s="193" t="s">
        <v>493</v>
      </c>
      <c r="CV8" s="193" t="s">
        <v>493</v>
      </c>
      <c r="CW8" s="193" t="s">
        <v>490</v>
      </c>
      <c r="CX8" s="193" t="s">
        <v>690</v>
      </c>
      <c r="CY8" s="193" t="s">
        <v>499</v>
      </c>
      <c r="CZ8" s="193" t="s">
        <v>1093</v>
      </c>
      <c r="DA8" s="193" t="s">
        <v>690</v>
      </c>
      <c r="DB8" s="193" t="s">
        <v>491</v>
      </c>
      <c r="DC8" s="348">
        <v>3</v>
      </c>
      <c r="DD8" s="193" t="s">
        <v>690</v>
      </c>
      <c r="DE8" s="193" t="s">
        <v>496</v>
      </c>
      <c r="DF8" s="193" t="s">
        <v>493</v>
      </c>
      <c r="DG8" s="193" t="s">
        <v>488</v>
      </c>
      <c r="DH8" s="193" t="s">
        <v>493</v>
      </c>
      <c r="DI8" s="193" t="s">
        <v>491</v>
      </c>
      <c r="DJ8" s="193" t="s">
        <v>500</v>
      </c>
      <c r="DK8" s="193" t="s">
        <v>501</v>
      </c>
      <c r="DL8" s="193" t="s">
        <v>496</v>
      </c>
      <c r="DM8" s="193" t="s">
        <v>502</v>
      </c>
      <c r="DN8" s="193" t="s">
        <v>493</v>
      </c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</row>
    <row r="9" spans="1:150" s="154" customFormat="1">
      <c r="A9" s="364" t="s">
        <v>172</v>
      </c>
      <c r="B9" s="347" t="s">
        <v>367</v>
      </c>
      <c r="C9" s="347" t="s">
        <v>368</v>
      </c>
      <c r="D9" s="347" t="s">
        <v>368</v>
      </c>
      <c r="E9" s="133"/>
      <c r="F9" s="213"/>
      <c r="G9" s="195" t="s">
        <v>884</v>
      </c>
      <c r="O9" s="193" t="s">
        <v>362</v>
      </c>
      <c r="P9" s="193" t="s">
        <v>366</v>
      </c>
      <c r="Q9" s="134"/>
      <c r="R9" s="134"/>
      <c r="S9" s="134"/>
      <c r="T9" s="193" t="s">
        <v>366</v>
      </c>
      <c r="U9" s="134"/>
      <c r="V9" s="134"/>
      <c r="W9" s="193" t="s">
        <v>488</v>
      </c>
      <c r="X9" s="193" t="s">
        <v>1085</v>
      </c>
      <c r="Y9" s="193" t="s">
        <v>488</v>
      </c>
      <c r="Z9" s="193" t="s">
        <v>1086</v>
      </c>
      <c r="AA9" s="193" t="s">
        <v>503</v>
      </c>
      <c r="AB9" s="193" t="s">
        <v>489</v>
      </c>
      <c r="AC9" s="134"/>
      <c r="AD9" s="193">
        <v>65</v>
      </c>
      <c r="AE9" s="193">
        <v>75</v>
      </c>
      <c r="AF9" s="193" t="s">
        <v>488</v>
      </c>
      <c r="AG9" s="193" t="s">
        <v>491</v>
      </c>
      <c r="AH9" s="193" t="s">
        <v>488</v>
      </c>
      <c r="AI9" s="193" t="s">
        <v>493</v>
      </c>
      <c r="AJ9" s="193" t="s">
        <v>493</v>
      </c>
      <c r="AK9" s="193" t="s">
        <v>491</v>
      </c>
      <c r="AL9" s="193" t="s">
        <v>492</v>
      </c>
      <c r="AM9" s="193" t="s">
        <v>493</v>
      </c>
      <c r="AN9" s="193" t="s">
        <v>504</v>
      </c>
      <c r="AO9" s="193" t="s">
        <v>493</v>
      </c>
      <c r="AP9" s="193" t="s">
        <v>990</v>
      </c>
      <c r="AQ9" s="193" t="s">
        <v>492</v>
      </c>
      <c r="AR9" s="193" t="s">
        <v>492</v>
      </c>
      <c r="AS9" s="134"/>
      <c r="AT9" s="134"/>
      <c r="AU9" s="134"/>
      <c r="AV9" s="193" t="s">
        <v>504</v>
      </c>
      <c r="AW9" s="134"/>
      <c r="AX9" s="193" t="s">
        <v>494</v>
      </c>
      <c r="AY9" s="193" t="s">
        <v>495</v>
      </c>
      <c r="AZ9" s="193" t="s">
        <v>494</v>
      </c>
      <c r="BA9" s="193" t="s">
        <v>495</v>
      </c>
      <c r="BB9" s="193" t="s">
        <v>493</v>
      </c>
      <c r="BC9" s="193" t="s">
        <v>496</v>
      </c>
      <c r="BD9" s="193" t="s">
        <v>493</v>
      </c>
      <c r="BE9" s="193" t="s">
        <v>493</v>
      </c>
      <c r="BF9" s="193" t="s">
        <v>497</v>
      </c>
      <c r="BG9" s="134"/>
      <c r="BH9" s="193" t="s">
        <v>492</v>
      </c>
      <c r="BI9" s="193" t="s">
        <v>492</v>
      </c>
      <c r="BJ9" s="193" t="s">
        <v>492</v>
      </c>
      <c r="BK9" s="193" t="s">
        <v>492</v>
      </c>
      <c r="BL9" s="193" t="s">
        <v>492</v>
      </c>
      <c r="BM9" s="193" t="s">
        <v>492</v>
      </c>
      <c r="BN9" s="134"/>
      <c r="BO9" s="193" t="s">
        <v>493</v>
      </c>
      <c r="BP9" s="193" t="s">
        <v>493</v>
      </c>
      <c r="BQ9" s="134"/>
      <c r="BR9" s="193">
        <v>90</v>
      </c>
      <c r="BS9" s="134"/>
      <c r="BT9" s="134"/>
      <c r="BU9" s="134"/>
      <c r="BV9" s="134"/>
      <c r="BW9" s="193" t="s">
        <v>490</v>
      </c>
      <c r="BX9" s="134"/>
      <c r="BY9" s="179">
        <v>1</v>
      </c>
      <c r="BZ9" s="193" t="s">
        <v>493</v>
      </c>
      <c r="CA9" s="193" t="s">
        <v>505</v>
      </c>
      <c r="CB9" s="134"/>
      <c r="CC9" s="134"/>
      <c r="CD9" s="193" t="s">
        <v>505</v>
      </c>
      <c r="CE9" s="193" t="s">
        <v>506</v>
      </c>
      <c r="CF9" s="193" t="s">
        <v>493</v>
      </c>
      <c r="CG9" s="193" t="s">
        <v>493</v>
      </c>
      <c r="CH9" s="193" t="s">
        <v>690</v>
      </c>
      <c r="CI9" s="193" t="s">
        <v>506</v>
      </c>
      <c r="CJ9" s="193" t="s">
        <v>493</v>
      </c>
      <c r="CK9" s="193" t="s">
        <v>493</v>
      </c>
      <c r="CL9" s="193" t="s">
        <v>493</v>
      </c>
      <c r="CM9" s="193" t="s">
        <v>506</v>
      </c>
      <c r="CN9" s="193" t="s">
        <v>493</v>
      </c>
      <c r="CO9" s="193" t="s">
        <v>498</v>
      </c>
      <c r="CP9" s="193" t="s">
        <v>493</v>
      </c>
      <c r="CQ9" s="193" t="s">
        <v>494</v>
      </c>
      <c r="CR9" s="193" t="s">
        <v>495</v>
      </c>
      <c r="CS9" s="193" t="s">
        <v>488</v>
      </c>
      <c r="CT9" s="193" t="s">
        <v>493</v>
      </c>
      <c r="CU9" s="193" t="s">
        <v>493</v>
      </c>
      <c r="CV9" s="193" t="s">
        <v>493</v>
      </c>
      <c r="CW9" s="193" t="s">
        <v>490</v>
      </c>
      <c r="CX9" s="193" t="s">
        <v>690</v>
      </c>
      <c r="CY9" s="193" t="s">
        <v>499</v>
      </c>
      <c r="CZ9" s="193" t="s">
        <v>1093</v>
      </c>
      <c r="DA9" s="193" t="s">
        <v>690</v>
      </c>
      <c r="DB9" s="193" t="s">
        <v>491</v>
      </c>
      <c r="DC9" s="347" t="s">
        <v>795</v>
      </c>
      <c r="DD9" s="193" t="s">
        <v>690</v>
      </c>
      <c r="DE9" s="193" t="s">
        <v>496</v>
      </c>
      <c r="DF9" s="193" t="s">
        <v>493</v>
      </c>
      <c r="DG9" s="193" t="s">
        <v>488</v>
      </c>
      <c r="DH9" s="193" t="s">
        <v>493</v>
      </c>
      <c r="DI9" s="193" t="s">
        <v>491</v>
      </c>
      <c r="DJ9" s="193" t="s">
        <v>500</v>
      </c>
      <c r="DK9" s="193" t="s">
        <v>501</v>
      </c>
      <c r="DL9" s="193" t="s">
        <v>496</v>
      </c>
      <c r="DM9" s="193" t="s">
        <v>502</v>
      </c>
      <c r="DN9" s="193" t="s">
        <v>493</v>
      </c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4"/>
      <c r="DZ9" s="134"/>
      <c r="EA9" s="134"/>
      <c r="EB9" s="134"/>
      <c r="EC9" s="134"/>
      <c r="ED9" s="134"/>
      <c r="EE9" s="134"/>
      <c r="EF9" s="134"/>
      <c r="EG9" s="134"/>
      <c r="EH9" s="134"/>
      <c r="EI9" s="134"/>
      <c r="EJ9" s="134"/>
      <c r="EK9" s="134"/>
      <c r="EL9" s="134"/>
      <c r="EM9" s="134"/>
      <c r="EN9" s="134"/>
      <c r="EO9" s="134"/>
      <c r="EP9" s="134"/>
      <c r="EQ9" s="134"/>
      <c r="ER9" s="134"/>
      <c r="ES9" s="134"/>
      <c r="ET9" s="134"/>
    </row>
    <row r="10" spans="1:150" s="154" customFormat="1">
      <c r="A10" s="364" t="s">
        <v>172</v>
      </c>
      <c r="B10" s="347" t="s">
        <v>368</v>
      </c>
      <c r="C10" s="347" t="s">
        <v>367</v>
      </c>
      <c r="D10" s="347" t="s">
        <v>368</v>
      </c>
      <c r="E10" s="133"/>
      <c r="F10" s="213"/>
      <c r="G10" s="195" t="s">
        <v>496</v>
      </c>
      <c r="O10" s="193" t="s">
        <v>362</v>
      </c>
      <c r="P10" s="193" t="s">
        <v>366</v>
      </c>
      <c r="Q10" s="134"/>
      <c r="R10" s="134"/>
      <c r="S10" s="134"/>
      <c r="T10" s="193" t="s">
        <v>366</v>
      </c>
      <c r="U10" s="134"/>
      <c r="V10" s="134"/>
      <c r="W10" s="193" t="s">
        <v>488</v>
      </c>
      <c r="X10" s="193" t="s">
        <v>1085</v>
      </c>
      <c r="Y10" s="193" t="s">
        <v>488</v>
      </c>
      <c r="Z10" s="193" t="s">
        <v>1086</v>
      </c>
      <c r="AA10" s="193" t="s">
        <v>503</v>
      </c>
      <c r="AB10" s="193" t="s">
        <v>489</v>
      </c>
      <c r="AC10" s="134"/>
      <c r="AD10" s="193">
        <v>65</v>
      </c>
      <c r="AE10" s="193">
        <v>75</v>
      </c>
      <c r="AF10" s="193" t="s">
        <v>488</v>
      </c>
      <c r="AG10" s="193" t="s">
        <v>491</v>
      </c>
      <c r="AH10" s="193" t="s">
        <v>488</v>
      </c>
      <c r="AI10" s="193" t="s">
        <v>493</v>
      </c>
      <c r="AJ10" s="193" t="s">
        <v>493</v>
      </c>
      <c r="AK10" s="193" t="s">
        <v>491</v>
      </c>
      <c r="AL10" s="193" t="s">
        <v>492</v>
      </c>
      <c r="AM10" s="193" t="s">
        <v>493</v>
      </c>
      <c r="AN10" s="193" t="s">
        <v>504</v>
      </c>
      <c r="AO10" s="193" t="s">
        <v>493</v>
      </c>
      <c r="AP10" s="193" t="s">
        <v>990</v>
      </c>
      <c r="AQ10" s="193" t="s">
        <v>492</v>
      </c>
      <c r="AR10" s="193" t="s">
        <v>492</v>
      </c>
      <c r="AS10" s="134"/>
      <c r="AT10" s="134"/>
      <c r="AU10" s="134"/>
      <c r="AV10" s="193" t="s">
        <v>504</v>
      </c>
      <c r="AW10" s="134"/>
      <c r="AX10" s="193" t="s">
        <v>494</v>
      </c>
      <c r="AY10" s="193" t="s">
        <v>495</v>
      </c>
      <c r="AZ10" s="193" t="s">
        <v>494</v>
      </c>
      <c r="BA10" s="193" t="s">
        <v>495</v>
      </c>
      <c r="BB10" s="193" t="s">
        <v>493</v>
      </c>
      <c r="BC10" s="193" t="s">
        <v>496</v>
      </c>
      <c r="BD10" s="193" t="s">
        <v>493</v>
      </c>
      <c r="BE10" s="193" t="s">
        <v>493</v>
      </c>
      <c r="BF10" s="193" t="s">
        <v>497</v>
      </c>
      <c r="BG10" s="134"/>
      <c r="BH10" s="193" t="s">
        <v>492</v>
      </c>
      <c r="BI10" s="193" t="s">
        <v>492</v>
      </c>
      <c r="BJ10" s="193" t="s">
        <v>492</v>
      </c>
      <c r="BK10" s="193" t="s">
        <v>492</v>
      </c>
      <c r="BL10" s="193" t="s">
        <v>492</v>
      </c>
      <c r="BM10" s="193" t="s">
        <v>492</v>
      </c>
      <c r="BN10" s="134"/>
      <c r="BO10" s="193" t="s">
        <v>493</v>
      </c>
      <c r="BP10" s="193" t="s">
        <v>493</v>
      </c>
      <c r="BQ10" s="134"/>
      <c r="BR10" s="193">
        <v>90</v>
      </c>
      <c r="BS10" s="134"/>
      <c r="BT10" s="134"/>
      <c r="BU10" s="134"/>
      <c r="BV10" s="134"/>
      <c r="BW10" s="193" t="s">
        <v>490</v>
      </c>
      <c r="BX10" s="134"/>
      <c r="BY10" s="179">
        <v>1</v>
      </c>
      <c r="BZ10" s="193" t="s">
        <v>493</v>
      </c>
      <c r="CA10" s="193" t="s">
        <v>505</v>
      </c>
      <c r="CB10" s="134"/>
      <c r="CC10" s="134"/>
      <c r="CD10" s="193" t="s">
        <v>505</v>
      </c>
      <c r="CE10" s="193" t="s">
        <v>506</v>
      </c>
      <c r="CF10" s="193" t="s">
        <v>493</v>
      </c>
      <c r="CG10" s="193" t="s">
        <v>493</v>
      </c>
      <c r="CH10" s="193" t="s">
        <v>690</v>
      </c>
      <c r="CI10" s="193" t="s">
        <v>506</v>
      </c>
      <c r="CJ10" s="193" t="s">
        <v>493</v>
      </c>
      <c r="CK10" s="193" t="s">
        <v>493</v>
      </c>
      <c r="CL10" s="193" t="s">
        <v>493</v>
      </c>
      <c r="CM10" s="193" t="s">
        <v>506</v>
      </c>
      <c r="CN10" s="193" t="s">
        <v>493</v>
      </c>
      <c r="CO10" s="193" t="s">
        <v>498</v>
      </c>
      <c r="CP10" s="193" t="s">
        <v>493</v>
      </c>
      <c r="CQ10" s="193" t="s">
        <v>494</v>
      </c>
      <c r="CR10" s="193" t="s">
        <v>495</v>
      </c>
      <c r="CS10" s="193" t="s">
        <v>488</v>
      </c>
      <c r="CT10" s="193" t="s">
        <v>493</v>
      </c>
      <c r="CU10" s="193" t="s">
        <v>493</v>
      </c>
      <c r="CV10" s="193" t="s">
        <v>493</v>
      </c>
      <c r="CW10" s="193" t="s">
        <v>490</v>
      </c>
      <c r="CX10" s="193" t="s">
        <v>690</v>
      </c>
      <c r="CY10" s="193" t="s">
        <v>499</v>
      </c>
      <c r="CZ10" s="193" t="s">
        <v>1093</v>
      </c>
      <c r="DA10" s="193" t="s">
        <v>690</v>
      </c>
      <c r="DB10" s="193" t="s">
        <v>491</v>
      </c>
      <c r="DC10" s="347" t="s">
        <v>496</v>
      </c>
      <c r="DD10" s="193" t="s">
        <v>690</v>
      </c>
      <c r="DE10" s="193" t="s">
        <v>496</v>
      </c>
      <c r="DF10" s="193" t="s">
        <v>493</v>
      </c>
      <c r="DG10" s="193" t="s">
        <v>488</v>
      </c>
      <c r="DH10" s="193" t="s">
        <v>493</v>
      </c>
      <c r="DI10" s="193" t="s">
        <v>491</v>
      </c>
      <c r="DJ10" s="193" t="s">
        <v>500</v>
      </c>
      <c r="DK10" s="193" t="s">
        <v>501</v>
      </c>
      <c r="DL10" s="193" t="s">
        <v>496</v>
      </c>
      <c r="DM10" s="193" t="s">
        <v>502</v>
      </c>
      <c r="DN10" s="193" t="s">
        <v>493</v>
      </c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4"/>
      <c r="DZ10" s="134"/>
      <c r="EA10" s="134"/>
      <c r="EB10" s="134"/>
      <c r="EC10" s="134"/>
      <c r="ED10" s="134"/>
      <c r="EE10" s="134"/>
      <c r="EF10" s="134"/>
      <c r="EG10" s="134"/>
      <c r="EH10" s="134"/>
      <c r="EI10" s="134"/>
      <c r="EJ10" s="134"/>
      <c r="EK10" s="134"/>
      <c r="EL10" s="134"/>
      <c r="EM10" s="134"/>
      <c r="EN10" s="134"/>
      <c r="EO10" s="134"/>
      <c r="EP10" s="134"/>
      <c r="EQ10" s="134"/>
      <c r="ER10" s="134"/>
      <c r="ES10" s="134"/>
      <c r="ET10" s="134"/>
    </row>
    <row r="11" spans="1:150" s="154" customFormat="1">
      <c r="A11" s="364" t="s">
        <v>172</v>
      </c>
      <c r="B11" s="347" t="s">
        <v>368</v>
      </c>
      <c r="C11" s="347" t="s">
        <v>367</v>
      </c>
      <c r="D11" s="347" t="s">
        <v>368</v>
      </c>
      <c r="E11" s="133"/>
      <c r="F11" s="213"/>
      <c r="G11" s="195" t="s">
        <v>795</v>
      </c>
      <c r="O11" s="193" t="s">
        <v>362</v>
      </c>
      <c r="P11" s="193" t="s">
        <v>366</v>
      </c>
      <c r="Q11" s="134"/>
      <c r="R11" s="134"/>
      <c r="S11" s="134"/>
      <c r="T11" s="193" t="s">
        <v>366</v>
      </c>
      <c r="U11" s="134"/>
      <c r="V11" s="134"/>
      <c r="W11" s="193" t="s">
        <v>488</v>
      </c>
      <c r="X11" s="193" t="s">
        <v>1085</v>
      </c>
      <c r="Y11" s="193" t="s">
        <v>488</v>
      </c>
      <c r="Z11" s="193" t="s">
        <v>1086</v>
      </c>
      <c r="AA11" s="193" t="s">
        <v>503</v>
      </c>
      <c r="AB11" s="193" t="s">
        <v>489</v>
      </c>
      <c r="AC11" s="134"/>
      <c r="AD11" s="193">
        <v>65</v>
      </c>
      <c r="AE11" s="193">
        <v>75</v>
      </c>
      <c r="AF11" s="193" t="s">
        <v>488</v>
      </c>
      <c r="AG11" s="193" t="s">
        <v>491</v>
      </c>
      <c r="AH11" s="193" t="s">
        <v>488</v>
      </c>
      <c r="AI11" s="193" t="s">
        <v>493</v>
      </c>
      <c r="AJ11" s="193" t="s">
        <v>493</v>
      </c>
      <c r="AK11" s="193" t="s">
        <v>491</v>
      </c>
      <c r="AL11" s="193" t="s">
        <v>492</v>
      </c>
      <c r="AM11" s="193" t="s">
        <v>493</v>
      </c>
      <c r="AN11" s="193" t="s">
        <v>504</v>
      </c>
      <c r="AO11" s="193" t="s">
        <v>493</v>
      </c>
      <c r="AP11" s="193" t="s">
        <v>990</v>
      </c>
      <c r="AQ11" s="193" t="s">
        <v>492</v>
      </c>
      <c r="AR11" s="193" t="s">
        <v>492</v>
      </c>
      <c r="AS11" s="134"/>
      <c r="AT11" s="134"/>
      <c r="AU11" s="134"/>
      <c r="AV11" s="193" t="s">
        <v>504</v>
      </c>
      <c r="AW11" s="134"/>
      <c r="AX11" s="193" t="s">
        <v>494</v>
      </c>
      <c r="AY11" s="193" t="s">
        <v>495</v>
      </c>
      <c r="AZ11" s="193" t="s">
        <v>494</v>
      </c>
      <c r="BA11" s="193" t="s">
        <v>495</v>
      </c>
      <c r="BB11" s="193" t="s">
        <v>493</v>
      </c>
      <c r="BC11" s="193" t="s">
        <v>496</v>
      </c>
      <c r="BD11" s="193" t="s">
        <v>493</v>
      </c>
      <c r="BE11" s="193" t="s">
        <v>493</v>
      </c>
      <c r="BF11" s="193" t="s">
        <v>497</v>
      </c>
      <c r="BG11" s="134"/>
      <c r="BH11" s="193" t="s">
        <v>492</v>
      </c>
      <c r="BI11" s="193" t="s">
        <v>492</v>
      </c>
      <c r="BJ11" s="193" t="s">
        <v>492</v>
      </c>
      <c r="BK11" s="193" t="s">
        <v>492</v>
      </c>
      <c r="BL11" s="193" t="s">
        <v>492</v>
      </c>
      <c r="BM11" s="193" t="s">
        <v>492</v>
      </c>
      <c r="BN11" s="134"/>
      <c r="BO11" s="193" t="s">
        <v>493</v>
      </c>
      <c r="BP11" s="193" t="s">
        <v>493</v>
      </c>
      <c r="BQ11" s="134"/>
      <c r="BR11" s="193">
        <v>90</v>
      </c>
      <c r="BS11" s="134"/>
      <c r="BT11" s="134"/>
      <c r="BU11" s="134"/>
      <c r="BV11" s="134"/>
      <c r="BW11" s="193" t="s">
        <v>490</v>
      </c>
      <c r="BX11" s="134"/>
      <c r="BY11" s="179">
        <v>1</v>
      </c>
      <c r="BZ11" s="193" t="s">
        <v>493</v>
      </c>
      <c r="CA11" s="193" t="s">
        <v>505</v>
      </c>
      <c r="CB11" s="134"/>
      <c r="CC11" s="134"/>
      <c r="CD11" s="193" t="s">
        <v>505</v>
      </c>
      <c r="CE11" s="193" t="s">
        <v>506</v>
      </c>
      <c r="CF11" s="193" t="s">
        <v>493</v>
      </c>
      <c r="CG11" s="193" t="s">
        <v>493</v>
      </c>
      <c r="CH11" s="193" t="s">
        <v>690</v>
      </c>
      <c r="CI11" s="193" t="s">
        <v>506</v>
      </c>
      <c r="CJ11" s="193" t="s">
        <v>493</v>
      </c>
      <c r="CK11" s="193" t="s">
        <v>493</v>
      </c>
      <c r="CL11" s="193" t="s">
        <v>493</v>
      </c>
      <c r="CM11" s="193" t="s">
        <v>506</v>
      </c>
      <c r="CN11" s="193" t="s">
        <v>493</v>
      </c>
      <c r="CO11" s="193" t="s">
        <v>498</v>
      </c>
      <c r="CP11" s="193" t="s">
        <v>493</v>
      </c>
      <c r="CQ11" s="193" t="s">
        <v>494</v>
      </c>
      <c r="CR11" s="193" t="s">
        <v>495</v>
      </c>
      <c r="CS11" s="193" t="s">
        <v>488</v>
      </c>
      <c r="CT11" s="193" t="s">
        <v>493</v>
      </c>
      <c r="CU11" s="193" t="s">
        <v>493</v>
      </c>
      <c r="CV11" s="193" t="s">
        <v>493</v>
      </c>
      <c r="CW11" s="193" t="s">
        <v>490</v>
      </c>
      <c r="CX11" s="193" t="s">
        <v>690</v>
      </c>
      <c r="CY11" s="193" t="s">
        <v>499</v>
      </c>
      <c r="CZ11" s="193" t="s">
        <v>1093</v>
      </c>
      <c r="DA11" s="193" t="s">
        <v>690</v>
      </c>
      <c r="DB11" s="193" t="s">
        <v>491</v>
      </c>
      <c r="DC11" s="347" t="s">
        <v>795</v>
      </c>
      <c r="DD11" s="193" t="s">
        <v>690</v>
      </c>
      <c r="DE11" s="193" t="s">
        <v>496</v>
      </c>
      <c r="DF11" s="193" t="s">
        <v>493</v>
      </c>
      <c r="DG11" s="193" t="s">
        <v>488</v>
      </c>
      <c r="DH11" s="193" t="s">
        <v>493</v>
      </c>
      <c r="DI11" s="193" t="s">
        <v>491</v>
      </c>
      <c r="DJ11" s="193" t="s">
        <v>500</v>
      </c>
      <c r="DK11" s="193" t="s">
        <v>501</v>
      </c>
      <c r="DL11" s="193" t="s">
        <v>496</v>
      </c>
      <c r="DM11" s="193" t="s">
        <v>502</v>
      </c>
      <c r="DN11" s="193" t="s">
        <v>493</v>
      </c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4"/>
      <c r="DZ11" s="134"/>
      <c r="EA11" s="134"/>
      <c r="EB11" s="134"/>
      <c r="EC11" s="134"/>
      <c r="ED11" s="134"/>
      <c r="EE11" s="134"/>
      <c r="EF11" s="134"/>
      <c r="EG11" s="134"/>
      <c r="EH11" s="134"/>
      <c r="EI11" s="134"/>
      <c r="EJ11" s="134"/>
      <c r="EK11" s="134"/>
      <c r="EL11" s="134"/>
      <c r="EM11" s="134"/>
      <c r="EN11" s="134"/>
      <c r="EO11" s="134"/>
      <c r="EP11" s="134"/>
      <c r="EQ11" s="134"/>
      <c r="ER11" s="134"/>
      <c r="ES11" s="134"/>
      <c r="ET11" s="134"/>
    </row>
    <row r="12" spans="1:150">
      <c r="A12" s="126">
        <v>2023</v>
      </c>
      <c r="B12" s="127" t="s">
        <v>367</v>
      </c>
      <c r="C12" s="127" t="s">
        <v>368</v>
      </c>
      <c r="D12" s="137" t="s">
        <v>367</v>
      </c>
      <c r="E12" s="137"/>
      <c r="F12" s="212"/>
      <c r="G12" s="212"/>
      <c r="H12" s="32"/>
      <c r="I12" s="32"/>
      <c r="J12" s="32"/>
      <c r="K12" s="32"/>
      <c r="L12" s="32"/>
      <c r="M12" s="32"/>
      <c r="N12" s="182" t="s">
        <v>49</v>
      </c>
      <c r="O12" s="177" t="s">
        <v>362</v>
      </c>
      <c r="P12" s="177" t="s">
        <v>366</v>
      </c>
      <c r="Q12" s="131"/>
      <c r="R12" s="131"/>
      <c r="S12" s="131"/>
      <c r="T12" s="177" t="s">
        <v>366</v>
      </c>
      <c r="U12" s="131"/>
      <c r="V12" s="131"/>
      <c r="W12" s="177" t="s">
        <v>488</v>
      </c>
      <c r="X12" s="177" t="s">
        <v>1085</v>
      </c>
      <c r="Y12" s="177" t="s">
        <v>488</v>
      </c>
      <c r="Z12" s="177" t="s">
        <v>1086</v>
      </c>
      <c r="AA12" s="177" t="s">
        <v>503</v>
      </c>
      <c r="AB12" s="177" t="s">
        <v>489</v>
      </c>
      <c r="AC12" s="131"/>
      <c r="AD12" s="178" t="s">
        <v>489</v>
      </c>
      <c r="AE12" s="178" t="s">
        <v>507</v>
      </c>
      <c r="AF12" s="177" t="s">
        <v>488</v>
      </c>
      <c r="AG12" s="135" t="s">
        <v>491</v>
      </c>
      <c r="AH12" s="177" t="s">
        <v>488</v>
      </c>
      <c r="AI12" s="177" t="s">
        <v>493</v>
      </c>
      <c r="AJ12" s="178">
        <f t="shared" ref="AJ12:AJ17" si="0">IF(AZ12=BA12,0,100)</f>
        <v>0</v>
      </c>
      <c r="AK12" s="177" t="s">
        <v>491</v>
      </c>
      <c r="AL12" s="177" t="s">
        <v>492</v>
      </c>
      <c r="AM12" s="177" t="s">
        <v>493</v>
      </c>
      <c r="AN12" s="177" t="s">
        <v>504</v>
      </c>
      <c r="AO12" s="177" t="s">
        <v>493</v>
      </c>
      <c r="AP12" s="177" t="s">
        <v>990</v>
      </c>
      <c r="AQ12" s="177" t="s">
        <v>492</v>
      </c>
      <c r="AR12" s="177" t="s">
        <v>492</v>
      </c>
      <c r="AS12" s="131"/>
      <c r="AT12" s="131"/>
      <c r="AU12" s="131"/>
      <c r="AV12" s="177" t="s">
        <v>504</v>
      </c>
      <c r="AW12" s="131"/>
      <c r="AX12" s="177">
        <f>'Box Schedule'!T11</f>
        <v>0</v>
      </c>
      <c r="AY12" s="177">
        <f>'Box Schedule'!U11</f>
        <v>0</v>
      </c>
      <c r="AZ12" s="177">
        <f>'Box Schedule'!V11</f>
        <v>0</v>
      </c>
      <c r="BA12" s="177">
        <f>'Box Schedule'!W11</f>
        <v>0</v>
      </c>
      <c r="BB12" s="177" t="s">
        <v>493</v>
      </c>
      <c r="BC12" s="177" t="s">
        <v>496</v>
      </c>
      <c r="BD12" s="177" t="s">
        <v>493</v>
      </c>
      <c r="BE12" s="177" t="s">
        <v>493</v>
      </c>
      <c r="BF12" s="177" t="s">
        <v>497</v>
      </c>
      <c r="BG12" s="131"/>
      <c r="BH12" s="177" t="s">
        <v>492</v>
      </c>
      <c r="BI12" s="177" t="s">
        <v>492</v>
      </c>
      <c r="BJ12" s="177" t="s">
        <v>492</v>
      </c>
      <c r="BK12" s="177" t="s">
        <v>492</v>
      </c>
      <c r="BL12" s="177" t="s">
        <v>492</v>
      </c>
      <c r="BM12" s="177" t="s">
        <v>492</v>
      </c>
      <c r="BN12" s="131"/>
      <c r="BO12" s="177" t="s">
        <v>493</v>
      </c>
      <c r="BP12" s="177" t="s">
        <v>493</v>
      </c>
      <c r="BQ12" s="131"/>
      <c r="BR12" s="177">
        <v>90</v>
      </c>
      <c r="BS12" s="177" t="s">
        <v>493</v>
      </c>
      <c r="BT12" s="177" t="s">
        <v>493</v>
      </c>
      <c r="BU12" s="131"/>
      <c r="BV12" s="177" t="s">
        <v>497</v>
      </c>
      <c r="BW12" s="177" t="s">
        <v>490</v>
      </c>
      <c r="BX12" s="131"/>
      <c r="BY12" s="178">
        <v>5</v>
      </c>
      <c r="BZ12" s="177" t="s">
        <v>493</v>
      </c>
      <c r="CA12" s="131"/>
      <c r="CB12" s="131"/>
      <c r="CC12" s="131"/>
      <c r="CD12" s="177" t="s">
        <v>505</v>
      </c>
      <c r="CE12" s="177" t="s">
        <v>506</v>
      </c>
      <c r="CF12" s="177" t="s">
        <v>493</v>
      </c>
      <c r="CG12" s="177" t="s">
        <v>493</v>
      </c>
      <c r="CH12" s="177" t="s">
        <v>690</v>
      </c>
      <c r="CI12" s="177" t="s">
        <v>506</v>
      </c>
      <c r="CJ12" s="177" t="s">
        <v>493</v>
      </c>
      <c r="CK12" s="177" t="s">
        <v>493</v>
      </c>
      <c r="CL12" s="177" t="s">
        <v>493</v>
      </c>
      <c r="CM12" s="177" t="s">
        <v>506</v>
      </c>
      <c r="CN12" s="177" t="s">
        <v>493</v>
      </c>
      <c r="CO12" s="177" t="s">
        <v>498</v>
      </c>
      <c r="CP12" s="177" t="s">
        <v>493</v>
      </c>
      <c r="CQ12" s="177" t="s">
        <v>494</v>
      </c>
      <c r="CR12" s="177" t="s">
        <v>495</v>
      </c>
      <c r="CS12" s="177" t="s">
        <v>488</v>
      </c>
      <c r="CT12" s="177" t="s">
        <v>493</v>
      </c>
      <c r="CU12" s="177" t="s">
        <v>493</v>
      </c>
      <c r="CV12" s="131"/>
      <c r="CW12" s="131"/>
      <c r="CX12" s="131"/>
      <c r="CY12" s="177" t="s">
        <v>499</v>
      </c>
      <c r="CZ12" s="177" t="s">
        <v>1093</v>
      </c>
      <c r="DA12" s="135" t="s">
        <v>690</v>
      </c>
      <c r="DB12" s="131" t="s">
        <v>1092</v>
      </c>
      <c r="DC12" s="181" t="s">
        <v>496</v>
      </c>
      <c r="DD12" s="131"/>
      <c r="DE12" s="177" t="s">
        <v>496</v>
      </c>
      <c r="DF12" s="177" t="s">
        <v>493</v>
      </c>
      <c r="DG12" s="177" t="s">
        <v>488</v>
      </c>
      <c r="DH12" s="177" t="s">
        <v>493</v>
      </c>
      <c r="DI12" s="177" t="s">
        <v>491</v>
      </c>
      <c r="DJ12" s="177" t="s">
        <v>500</v>
      </c>
      <c r="DK12" s="177" t="s">
        <v>501</v>
      </c>
      <c r="DL12" s="177">
        <f>3.14*'Box Schedule'!R11^2/596</f>
        <v>0</v>
      </c>
      <c r="DM12" s="177" t="s">
        <v>502</v>
      </c>
      <c r="DN12" s="177" t="s">
        <v>493</v>
      </c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2"/>
      <c r="ES12" s="132"/>
      <c r="ET12" s="132"/>
    </row>
    <row r="13" spans="1:150">
      <c r="A13" s="126">
        <v>2023</v>
      </c>
      <c r="B13" s="127" t="s">
        <v>367</v>
      </c>
      <c r="C13" s="127" t="s">
        <v>368</v>
      </c>
      <c r="D13" s="137" t="s">
        <v>368</v>
      </c>
      <c r="E13" s="137"/>
      <c r="F13" s="212"/>
      <c r="G13" s="212"/>
      <c r="H13" s="32"/>
      <c r="I13" s="32"/>
      <c r="J13" s="32"/>
      <c r="K13" s="32"/>
      <c r="L13" s="32"/>
      <c r="M13" s="32"/>
      <c r="N13" s="32"/>
      <c r="O13" s="177" t="s">
        <v>362</v>
      </c>
      <c r="P13" s="177" t="s">
        <v>366</v>
      </c>
      <c r="Q13" s="131"/>
      <c r="R13" s="131"/>
      <c r="S13" s="131"/>
      <c r="T13" s="177" t="s">
        <v>366</v>
      </c>
      <c r="U13" s="131"/>
      <c r="V13" s="131"/>
      <c r="W13" s="177" t="s">
        <v>488</v>
      </c>
      <c r="X13" s="177" t="s">
        <v>1085</v>
      </c>
      <c r="Y13" s="177" t="s">
        <v>488</v>
      </c>
      <c r="Z13" s="177" t="s">
        <v>1086</v>
      </c>
      <c r="AA13" s="177" t="s">
        <v>503</v>
      </c>
      <c r="AB13" s="177" t="s">
        <v>489</v>
      </c>
      <c r="AC13" s="131"/>
      <c r="AD13" s="178" t="s">
        <v>489</v>
      </c>
      <c r="AE13" s="178" t="s">
        <v>507</v>
      </c>
      <c r="AF13" s="177" t="s">
        <v>488</v>
      </c>
      <c r="AG13" s="135" t="s">
        <v>491</v>
      </c>
      <c r="AH13" s="177" t="s">
        <v>488</v>
      </c>
      <c r="AI13" s="177" t="s">
        <v>493</v>
      </c>
      <c r="AJ13" s="178">
        <f t="shared" si="0"/>
        <v>0</v>
      </c>
      <c r="AK13" s="177" t="s">
        <v>491</v>
      </c>
      <c r="AL13" s="177" t="s">
        <v>492</v>
      </c>
      <c r="AM13" s="177" t="s">
        <v>493</v>
      </c>
      <c r="AN13" s="177" t="s">
        <v>504</v>
      </c>
      <c r="AO13" s="177" t="s">
        <v>493</v>
      </c>
      <c r="AP13" s="177" t="s">
        <v>990</v>
      </c>
      <c r="AQ13" s="177" t="s">
        <v>492</v>
      </c>
      <c r="AR13" s="177" t="s">
        <v>492</v>
      </c>
      <c r="AS13" s="131"/>
      <c r="AT13" s="131"/>
      <c r="AU13" s="131"/>
      <c r="AV13" s="177" t="s">
        <v>504</v>
      </c>
      <c r="AW13" s="131"/>
      <c r="AX13" s="177">
        <f>'Box Schedule'!T12</f>
        <v>0</v>
      </c>
      <c r="AY13" s="177">
        <f>'Box Schedule'!U12</f>
        <v>0</v>
      </c>
      <c r="AZ13" s="177">
        <f>'Box Schedule'!V12</f>
        <v>0</v>
      </c>
      <c r="BA13" s="177">
        <f>'Box Schedule'!W12</f>
        <v>0</v>
      </c>
      <c r="BB13" s="177" t="s">
        <v>493</v>
      </c>
      <c r="BC13" s="177" t="s">
        <v>496</v>
      </c>
      <c r="BD13" s="177" t="s">
        <v>493</v>
      </c>
      <c r="BE13" s="177" t="s">
        <v>493</v>
      </c>
      <c r="BF13" s="177" t="s">
        <v>497</v>
      </c>
      <c r="BG13" s="131"/>
      <c r="BH13" s="177" t="s">
        <v>492</v>
      </c>
      <c r="BI13" s="177" t="s">
        <v>492</v>
      </c>
      <c r="BJ13" s="177" t="s">
        <v>492</v>
      </c>
      <c r="BK13" s="177" t="s">
        <v>492</v>
      </c>
      <c r="BL13" s="177" t="s">
        <v>492</v>
      </c>
      <c r="BM13" s="177" t="s">
        <v>492</v>
      </c>
      <c r="BN13" s="131"/>
      <c r="BO13" s="177" t="s">
        <v>493</v>
      </c>
      <c r="BP13" s="177" t="s">
        <v>493</v>
      </c>
      <c r="BQ13" s="131"/>
      <c r="BR13" s="177">
        <v>90</v>
      </c>
      <c r="BS13" s="177" t="s">
        <v>493</v>
      </c>
      <c r="BT13" s="177" t="s">
        <v>493</v>
      </c>
      <c r="BU13" s="131"/>
      <c r="BV13" s="177" t="s">
        <v>497</v>
      </c>
      <c r="BW13" s="177" t="s">
        <v>490</v>
      </c>
      <c r="BX13" s="131"/>
      <c r="BY13" s="178">
        <v>13</v>
      </c>
      <c r="BZ13" s="177" t="s">
        <v>493</v>
      </c>
      <c r="CA13" s="131"/>
      <c r="CB13" s="131"/>
      <c r="CC13" s="131"/>
      <c r="CD13" s="177" t="s">
        <v>505</v>
      </c>
      <c r="CE13" s="177" t="s">
        <v>506</v>
      </c>
      <c r="CF13" s="177" t="s">
        <v>493</v>
      </c>
      <c r="CG13" s="177" t="s">
        <v>493</v>
      </c>
      <c r="CH13" s="177" t="s">
        <v>690</v>
      </c>
      <c r="CI13" s="177" t="s">
        <v>506</v>
      </c>
      <c r="CJ13" s="177" t="s">
        <v>493</v>
      </c>
      <c r="CK13" s="177" t="s">
        <v>493</v>
      </c>
      <c r="CL13" s="177" t="s">
        <v>493</v>
      </c>
      <c r="CM13" s="177" t="s">
        <v>506</v>
      </c>
      <c r="CN13" s="177" t="s">
        <v>493</v>
      </c>
      <c r="CO13" s="177" t="s">
        <v>498</v>
      </c>
      <c r="CP13" s="177" t="s">
        <v>493</v>
      </c>
      <c r="CQ13" s="177" t="s">
        <v>494</v>
      </c>
      <c r="CR13" s="177" t="s">
        <v>495</v>
      </c>
      <c r="CS13" s="177" t="s">
        <v>488</v>
      </c>
      <c r="CT13" s="177" t="s">
        <v>493</v>
      </c>
      <c r="CU13" s="177" t="s">
        <v>493</v>
      </c>
      <c r="CV13" s="131"/>
      <c r="CW13" s="131"/>
      <c r="CX13" s="131"/>
      <c r="CY13" s="177" t="s">
        <v>499</v>
      </c>
      <c r="CZ13" s="177" t="s">
        <v>1093</v>
      </c>
      <c r="DA13" s="135" t="s">
        <v>690</v>
      </c>
      <c r="DB13" s="131" t="s">
        <v>1092</v>
      </c>
      <c r="DC13" s="181" t="s">
        <v>496</v>
      </c>
      <c r="DD13" s="131"/>
      <c r="DE13" s="177" t="s">
        <v>496</v>
      </c>
      <c r="DF13" s="177" t="s">
        <v>493</v>
      </c>
      <c r="DG13" s="177" t="s">
        <v>488</v>
      </c>
      <c r="DH13" s="177" t="s">
        <v>493</v>
      </c>
      <c r="DI13" s="177" t="s">
        <v>491</v>
      </c>
      <c r="DJ13" s="177" t="s">
        <v>500</v>
      </c>
      <c r="DK13" s="177" t="s">
        <v>501</v>
      </c>
      <c r="DL13" s="177">
        <f>3.14*'Box Schedule'!R12^2/596</f>
        <v>0</v>
      </c>
      <c r="DM13" s="177" t="s">
        <v>502</v>
      </c>
      <c r="DN13" s="177" t="s">
        <v>493</v>
      </c>
      <c r="DO13" s="131"/>
      <c r="DP13" s="131"/>
      <c r="DQ13" s="131"/>
      <c r="DR13" s="131"/>
      <c r="DS13" s="131"/>
      <c r="DT13" s="131"/>
      <c r="DU13" s="131"/>
      <c r="DV13" s="131"/>
      <c r="DW13" s="131"/>
      <c r="DX13" s="131"/>
      <c r="DY13" s="131"/>
      <c r="DZ13" s="131"/>
      <c r="EA13" s="131"/>
      <c r="EB13" s="131"/>
      <c r="EC13" s="131"/>
      <c r="ED13" s="131"/>
      <c r="EE13" s="131"/>
      <c r="EF13" s="131"/>
      <c r="EG13" s="131"/>
      <c r="EH13" s="131"/>
      <c r="EI13" s="131"/>
      <c r="EJ13" s="131"/>
      <c r="EK13" s="131"/>
      <c r="EL13" s="131"/>
      <c r="EM13" s="131"/>
      <c r="EN13" s="131"/>
      <c r="EO13" s="131"/>
      <c r="EP13" s="131"/>
      <c r="EQ13" s="131"/>
      <c r="ER13" s="132"/>
      <c r="ES13" s="132"/>
      <c r="ET13" s="132"/>
    </row>
    <row r="14" spans="1:150">
      <c r="A14" s="126">
        <v>2023</v>
      </c>
      <c r="B14" s="127" t="s">
        <v>368</v>
      </c>
      <c r="C14" s="127" t="s">
        <v>368</v>
      </c>
      <c r="D14" s="137" t="s">
        <v>367</v>
      </c>
      <c r="E14" s="137"/>
      <c r="F14" s="212"/>
      <c r="G14" s="212"/>
      <c r="H14" s="32"/>
      <c r="I14" s="32"/>
      <c r="J14" s="32"/>
      <c r="K14" s="32"/>
      <c r="L14" s="32"/>
      <c r="M14" s="32"/>
      <c r="N14" s="32"/>
      <c r="O14" s="177" t="s">
        <v>362</v>
      </c>
      <c r="P14" s="177" t="s">
        <v>366</v>
      </c>
      <c r="Q14" s="131"/>
      <c r="R14" s="131"/>
      <c r="S14" s="131"/>
      <c r="T14" s="177" t="s">
        <v>366</v>
      </c>
      <c r="U14" s="131"/>
      <c r="V14" s="131"/>
      <c r="W14" s="177" t="s">
        <v>488</v>
      </c>
      <c r="X14" s="177" t="s">
        <v>1085</v>
      </c>
      <c r="Y14" s="177" t="s">
        <v>488</v>
      </c>
      <c r="Z14" s="177" t="s">
        <v>1086</v>
      </c>
      <c r="AA14" s="177" t="s">
        <v>503</v>
      </c>
      <c r="AB14" s="177" t="s">
        <v>489</v>
      </c>
      <c r="AC14" s="131"/>
      <c r="AD14" s="178" t="s">
        <v>489</v>
      </c>
      <c r="AE14" s="178" t="s">
        <v>507</v>
      </c>
      <c r="AF14" s="177" t="s">
        <v>488</v>
      </c>
      <c r="AG14" s="135" t="s">
        <v>491</v>
      </c>
      <c r="AH14" s="177" t="s">
        <v>488</v>
      </c>
      <c r="AI14" s="177" t="s">
        <v>493</v>
      </c>
      <c r="AJ14" s="178">
        <f t="shared" si="0"/>
        <v>0</v>
      </c>
      <c r="AK14" s="177" t="s">
        <v>491</v>
      </c>
      <c r="AL14" s="177" t="s">
        <v>492</v>
      </c>
      <c r="AM14" s="177" t="s">
        <v>493</v>
      </c>
      <c r="AN14" s="177" t="s">
        <v>504</v>
      </c>
      <c r="AO14" s="177" t="s">
        <v>493</v>
      </c>
      <c r="AP14" s="177" t="s">
        <v>990</v>
      </c>
      <c r="AQ14" s="177" t="s">
        <v>492</v>
      </c>
      <c r="AR14" s="177" t="s">
        <v>492</v>
      </c>
      <c r="AS14" s="131"/>
      <c r="AT14" s="131"/>
      <c r="AU14" s="131"/>
      <c r="AV14" s="177" t="s">
        <v>504</v>
      </c>
      <c r="AW14" s="131"/>
      <c r="AX14" s="177">
        <f>'Box Schedule'!T13</f>
        <v>0</v>
      </c>
      <c r="AY14" s="177">
        <f>'Box Schedule'!U13</f>
        <v>0</v>
      </c>
      <c r="AZ14" s="177">
        <f>'Box Schedule'!V13</f>
        <v>0</v>
      </c>
      <c r="BA14" s="177">
        <f>'Box Schedule'!W13</f>
        <v>0</v>
      </c>
      <c r="BB14" s="177" t="s">
        <v>493</v>
      </c>
      <c r="BC14" s="177" t="s">
        <v>496</v>
      </c>
      <c r="BD14" s="177" t="s">
        <v>493</v>
      </c>
      <c r="BE14" s="177" t="s">
        <v>493</v>
      </c>
      <c r="BF14" s="177" t="s">
        <v>497</v>
      </c>
      <c r="BG14" s="131"/>
      <c r="BH14" s="177" t="s">
        <v>492</v>
      </c>
      <c r="BI14" s="177" t="s">
        <v>492</v>
      </c>
      <c r="BJ14" s="177" t="s">
        <v>492</v>
      </c>
      <c r="BK14" s="177" t="s">
        <v>492</v>
      </c>
      <c r="BL14" s="177" t="s">
        <v>492</v>
      </c>
      <c r="BM14" s="177" t="s">
        <v>492</v>
      </c>
      <c r="BN14" s="131"/>
      <c r="BO14" s="177" t="s">
        <v>493</v>
      </c>
      <c r="BP14" s="177" t="s">
        <v>493</v>
      </c>
      <c r="BQ14" s="131"/>
      <c r="BR14" s="177">
        <v>90</v>
      </c>
      <c r="BS14" s="177" t="s">
        <v>493</v>
      </c>
      <c r="BT14" s="177" t="s">
        <v>493</v>
      </c>
      <c r="BU14" s="131"/>
      <c r="BV14" s="177" t="s">
        <v>497</v>
      </c>
      <c r="BW14" s="177" t="s">
        <v>490</v>
      </c>
      <c r="BX14" s="131"/>
      <c r="BY14" s="178">
        <v>5</v>
      </c>
      <c r="BZ14" s="177" t="s">
        <v>493</v>
      </c>
      <c r="CA14" s="131"/>
      <c r="CB14" s="131"/>
      <c r="CC14" s="131"/>
      <c r="CD14" s="177" t="s">
        <v>505</v>
      </c>
      <c r="CE14" s="177" t="s">
        <v>506</v>
      </c>
      <c r="CF14" s="177" t="s">
        <v>493</v>
      </c>
      <c r="CG14" s="177" t="s">
        <v>493</v>
      </c>
      <c r="CH14" s="177" t="s">
        <v>690</v>
      </c>
      <c r="CI14" s="177" t="s">
        <v>506</v>
      </c>
      <c r="CJ14" s="177" t="s">
        <v>493</v>
      </c>
      <c r="CK14" s="177" t="s">
        <v>493</v>
      </c>
      <c r="CL14" s="177" t="s">
        <v>493</v>
      </c>
      <c r="CM14" s="177" t="s">
        <v>506</v>
      </c>
      <c r="CN14" s="177" t="s">
        <v>493</v>
      </c>
      <c r="CO14" s="177" t="s">
        <v>498</v>
      </c>
      <c r="CP14" s="177" t="s">
        <v>493</v>
      </c>
      <c r="CQ14" s="177" t="s">
        <v>494</v>
      </c>
      <c r="CR14" s="177" t="s">
        <v>495</v>
      </c>
      <c r="CS14" s="177" t="s">
        <v>488</v>
      </c>
      <c r="CT14" s="177" t="s">
        <v>493</v>
      </c>
      <c r="CU14" s="177" t="s">
        <v>493</v>
      </c>
      <c r="CV14" s="131"/>
      <c r="CW14" s="131"/>
      <c r="CX14" s="131"/>
      <c r="CY14" s="177" t="s">
        <v>499</v>
      </c>
      <c r="CZ14" s="177" t="s">
        <v>1093</v>
      </c>
      <c r="DA14" s="135" t="s">
        <v>690</v>
      </c>
      <c r="DB14" s="177" t="s">
        <v>491</v>
      </c>
      <c r="DC14" s="181" t="s">
        <v>496</v>
      </c>
      <c r="DD14" s="131"/>
      <c r="DE14" s="177" t="s">
        <v>496</v>
      </c>
      <c r="DF14" s="177" t="s">
        <v>493</v>
      </c>
      <c r="DG14" s="177" t="s">
        <v>488</v>
      </c>
      <c r="DH14" s="177" t="s">
        <v>493</v>
      </c>
      <c r="DI14" s="177" t="s">
        <v>491</v>
      </c>
      <c r="DJ14" s="177" t="s">
        <v>500</v>
      </c>
      <c r="DK14" s="177" t="s">
        <v>501</v>
      </c>
      <c r="DL14" s="177">
        <f>3.14*'Box Schedule'!R13^2/596</f>
        <v>0</v>
      </c>
      <c r="DM14" s="177" t="s">
        <v>502</v>
      </c>
      <c r="DN14" s="177" t="s">
        <v>493</v>
      </c>
      <c r="DO14" s="131"/>
      <c r="DP14" s="131"/>
      <c r="DQ14" s="131"/>
      <c r="DR14" s="131"/>
      <c r="DS14" s="131"/>
      <c r="DT14" s="131"/>
      <c r="DU14" s="131"/>
      <c r="DV14" s="131"/>
      <c r="DW14" s="131"/>
      <c r="DX14" s="131"/>
      <c r="DY14" s="131"/>
      <c r="DZ14" s="131"/>
      <c r="EA14" s="131"/>
      <c r="EB14" s="131"/>
      <c r="EC14" s="131"/>
      <c r="ED14" s="131"/>
      <c r="EE14" s="131"/>
      <c r="EF14" s="131"/>
      <c r="EG14" s="131"/>
      <c r="EH14" s="131"/>
      <c r="EI14" s="131"/>
      <c r="EJ14" s="131"/>
      <c r="EK14" s="131"/>
      <c r="EL14" s="131"/>
      <c r="EM14" s="131"/>
      <c r="EN14" s="131"/>
      <c r="EO14" s="131"/>
      <c r="EP14" s="131"/>
      <c r="EQ14" s="131"/>
      <c r="ER14" s="132"/>
      <c r="ES14" s="132"/>
      <c r="ET14" s="132"/>
    </row>
    <row r="15" spans="1:150">
      <c r="A15" s="126">
        <v>2023</v>
      </c>
      <c r="B15" s="127" t="s">
        <v>368</v>
      </c>
      <c r="C15" s="127" t="s">
        <v>368</v>
      </c>
      <c r="D15" s="137" t="s">
        <v>368</v>
      </c>
      <c r="E15" s="137"/>
      <c r="F15" s="212"/>
      <c r="G15" s="212"/>
      <c r="H15" s="32"/>
      <c r="I15" s="32"/>
      <c r="J15" s="32"/>
      <c r="K15" s="32"/>
      <c r="L15" s="32"/>
      <c r="M15" s="32"/>
      <c r="N15" s="32"/>
      <c r="O15" s="177" t="s">
        <v>362</v>
      </c>
      <c r="P15" s="177" t="s">
        <v>366</v>
      </c>
      <c r="Q15" s="131"/>
      <c r="R15" s="131"/>
      <c r="S15" s="131"/>
      <c r="T15" s="177" t="s">
        <v>366</v>
      </c>
      <c r="U15" s="131"/>
      <c r="V15" s="131"/>
      <c r="W15" s="177" t="s">
        <v>488</v>
      </c>
      <c r="X15" s="177" t="s">
        <v>1085</v>
      </c>
      <c r="Y15" s="177" t="s">
        <v>488</v>
      </c>
      <c r="Z15" s="177" t="s">
        <v>1086</v>
      </c>
      <c r="AA15" s="177" t="s">
        <v>503</v>
      </c>
      <c r="AB15" s="177" t="s">
        <v>489</v>
      </c>
      <c r="AC15" s="131"/>
      <c r="AD15" s="178" t="s">
        <v>489</v>
      </c>
      <c r="AE15" s="178" t="s">
        <v>507</v>
      </c>
      <c r="AF15" s="177" t="s">
        <v>488</v>
      </c>
      <c r="AG15" s="135" t="s">
        <v>491</v>
      </c>
      <c r="AH15" s="177" t="s">
        <v>488</v>
      </c>
      <c r="AI15" s="177" t="s">
        <v>493</v>
      </c>
      <c r="AJ15" s="178">
        <f t="shared" si="0"/>
        <v>0</v>
      </c>
      <c r="AK15" s="177" t="s">
        <v>491</v>
      </c>
      <c r="AL15" s="177" t="s">
        <v>492</v>
      </c>
      <c r="AM15" s="177" t="s">
        <v>493</v>
      </c>
      <c r="AN15" s="177" t="s">
        <v>504</v>
      </c>
      <c r="AO15" s="177" t="s">
        <v>493</v>
      </c>
      <c r="AP15" s="177" t="s">
        <v>990</v>
      </c>
      <c r="AQ15" s="177" t="s">
        <v>492</v>
      </c>
      <c r="AR15" s="177" t="s">
        <v>492</v>
      </c>
      <c r="AS15" s="131"/>
      <c r="AT15" s="131"/>
      <c r="AU15" s="131"/>
      <c r="AV15" s="177" t="s">
        <v>504</v>
      </c>
      <c r="AW15" s="131"/>
      <c r="AX15" s="177">
        <f>'Box Schedule'!T14</f>
        <v>0</v>
      </c>
      <c r="AY15" s="177">
        <f>'Box Schedule'!U14</f>
        <v>0</v>
      </c>
      <c r="AZ15" s="177">
        <f>'Box Schedule'!V14</f>
        <v>0</v>
      </c>
      <c r="BA15" s="177">
        <f>'Box Schedule'!W14</f>
        <v>0</v>
      </c>
      <c r="BB15" s="177" t="s">
        <v>493</v>
      </c>
      <c r="BC15" s="177" t="s">
        <v>496</v>
      </c>
      <c r="BD15" s="177" t="s">
        <v>493</v>
      </c>
      <c r="BE15" s="177" t="s">
        <v>493</v>
      </c>
      <c r="BF15" s="177" t="s">
        <v>497</v>
      </c>
      <c r="BG15" s="131"/>
      <c r="BH15" s="177" t="s">
        <v>492</v>
      </c>
      <c r="BI15" s="177" t="s">
        <v>492</v>
      </c>
      <c r="BJ15" s="177" t="s">
        <v>492</v>
      </c>
      <c r="BK15" s="177" t="s">
        <v>492</v>
      </c>
      <c r="BL15" s="177" t="s">
        <v>492</v>
      </c>
      <c r="BM15" s="177" t="s">
        <v>492</v>
      </c>
      <c r="BN15" s="131"/>
      <c r="BO15" s="177" t="s">
        <v>493</v>
      </c>
      <c r="BP15" s="177" t="s">
        <v>493</v>
      </c>
      <c r="BQ15" s="131"/>
      <c r="BR15" s="177">
        <v>90</v>
      </c>
      <c r="BS15" s="177" t="s">
        <v>493</v>
      </c>
      <c r="BT15" s="177" t="s">
        <v>493</v>
      </c>
      <c r="BU15" s="131"/>
      <c r="BV15" s="177" t="s">
        <v>497</v>
      </c>
      <c r="BW15" s="177" t="s">
        <v>490</v>
      </c>
      <c r="BX15" s="131"/>
      <c r="BY15" s="178">
        <v>13</v>
      </c>
      <c r="BZ15" s="177" t="s">
        <v>493</v>
      </c>
      <c r="CA15" s="131"/>
      <c r="CB15" s="131"/>
      <c r="CC15" s="131"/>
      <c r="CD15" s="177" t="s">
        <v>505</v>
      </c>
      <c r="CE15" s="177" t="s">
        <v>506</v>
      </c>
      <c r="CF15" s="177" t="s">
        <v>493</v>
      </c>
      <c r="CG15" s="177" t="s">
        <v>493</v>
      </c>
      <c r="CH15" s="177" t="s">
        <v>690</v>
      </c>
      <c r="CI15" s="177" t="s">
        <v>506</v>
      </c>
      <c r="CJ15" s="177" t="s">
        <v>493</v>
      </c>
      <c r="CK15" s="177" t="s">
        <v>493</v>
      </c>
      <c r="CL15" s="177" t="s">
        <v>493</v>
      </c>
      <c r="CM15" s="177" t="s">
        <v>506</v>
      </c>
      <c r="CN15" s="177" t="s">
        <v>493</v>
      </c>
      <c r="CO15" s="177" t="s">
        <v>498</v>
      </c>
      <c r="CP15" s="177" t="s">
        <v>493</v>
      </c>
      <c r="CQ15" s="177" t="s">
        <v>494</v>
      </c>
      <c r="CR15" s="177" t="s">
        <v>495</v>
      </c>
      <c r="CS15" s="177" t="s">
        <v>488</v>
      </c>
      <c r="CT15" s="177" t="s">
        <v>493</v>
      </c>
      <c r="CU15" s="177" t="s">
        <v>493</v>
      </c>
      <c r="CV15" s="131"/>
      <c r="CW15" s="131"/>
      <c r="CX15" s="131"/>
      <c r="CY15" s="177" t="s">
        <v>499</v>
      </c>
      <c r="CZ15" s="177" t="s">
        <v>1093</v>
      </c>
      <c r="DA15" s="135" t="s">
        <v>690</v>
      </c>
      <c r="DB15" s="177" t="s">
        <v>491</v>
      </c>
      <c r="DC15" s="181" t="s">
        <v>496</v>
      </c>
      <c r="DD15" s="131"/>
      <c r="DE15" s="177" t="s">
        <v>496</v>
      </c>
      <c r="DF15" s="177" t="s">
        <v>493</v>
      </c>
      <c r="DG15" s="177" t="s">
        <v>488</v>
      </c>
      <c r="DH15" s="177" t="s">
        <v>493</v>
      </c>
      <c r="DI15" s="177" t="s">
        <v>491</v>
      </c>
      <c r="DJ15" s="177" t="s">
        <v>500</v>
      </c>
      <c r="DK15" s="177" t="s">
        <v>501</v>
      </c>
      <c r="DL15" s="177">
        <f>3.14*'Box Schedule'!R14^2/596</f>
        <v>0</v>
      </c>
      <c r="DM15" s="177" t="s">
        <v>502</v>
      </c>
      <c r="DN15" s="177" t="s">
        <v>493</v>
      </c>
      <c r="DO15" s="131"/>
      <c r="DP15" s="131"/>
      <c r="DQ15" s="131"/>
      <c r="DR15" s="131"/>
      <c r="DS15" s="131"/>
      <c r="DT15" s="131"/>
      <c r="DU15" s="131"/>
      <c r="DV15" s="131"/>
      <c r="DW15" s="131"/>
      <c r="DX15" s="131"/>
      <c r="DY15" s="131"/>
      <c r="DZ15" s="131"/>
      <c r="EA15" s="131"/>
      <c r="EB15" s="131"/>
      <c r="EC15" s="131"/>
      <c r="ED15" s="131"/>
      <c r="EE15" s="131"/>
      <c r="EF15" s="131"/>
      <c r="EG15" s="131"/>
      <c r="EH15" s="131"/>
      <c r="EI15" s="131"/>
      <c r="EJ15" s="131"/>
      <c r="EK15" s="131"/>
      <c r="EL15" s="131"/>
      <c r="EM15" s="131"/>
      <c r="EN15" s="131"/>
      <c r="EO15" s="131"/>
      <c r="EP15" s="131"/>
      <c r="EQ15" s="131"/>
      <c r="ER15" s="132"/>
      <c r="ES15" s="132"/>
      <c r="ET15" s="132"/>
    </row>
    <row r="16" spans="1:150">
      <c r="A16" s="126">
        <v>2023</v>
      </c>
      <c r="B16" s="127" t="s">
        <v>368</v>
      </c>
      <c r="C16" s="127" t="s">
        <v>367</v>
      </c>
      <c r="D16" s="137" t="s">
        <v>367</v>
      </c>
      <c r="E16" s="137"/>
      <c r="F16" s="212"/>
      <c r="G16" s="212"/>
      <c r="H16" s="32"/>
      <c r="I16" s="32"/>
      <c r="J16" s="32"/>
      <c r="K16" s="32"/>
      <c r="L16" s="32"/>
      <c r="M16" s="32"/>
      <c r="N16" s="32"/>
      <c r="O16" s="177" t="s">
        <v>362</v>
      </c>
      <c r="P16" s="177" t="s">
        <v>366</v>
      </c>
      <c r="Q16" s="131"/>
      <c r="R16" s="131"/>
      <c r="S16" s="131"/>
      <c r="T16" s="177" t="s">
        <v>366</v>
      </c>
      <c r="U16" s="131"/>
      <c r="V16" s="131"/>
      <c r="W16" s="177" t="s">
        <v>488</v>
      </c>
      <c r="X16" s="177" t="s">
        <v>1085</v>
      </c>
      <c r="Y16" s="177" t="s">
        <v>488</v>
      </c>
      <c r="Z16" s="177" t="s">
        <v>1086</v>
      </c>
      <c r="AA16" s="177" t="s">
        <v>503</v>
      </c>
      <c r="AB16" s="177" t="s">
        <v>489</v>
      </c>
      <c r="AC16" s="131"/>
      <c r="AD16" s="178" t="s">
        <v>489</v>
      </c>
      <c r="AE16" s="178" t="s">
        <v>507</v>
      </c>
      <c r="AF16" s="177" t="s">
        <v>488</v>
      </c>
      <c r="AG16" s="135" t="s">
        <v>491</v>
      </c>
      <c r="AH16" s="177" t="s">
        <v>488</v>
      </c>
      <c r="AI16" s="177" t="s">
        <v>493</v>
      </c>
      <c r="AJ16" s="178">
        <f t="shared" si="0"/>
        <v>0</v>
      </c>
      <c r="AK16" s="177" t="s">
        <v>491</v>
      </c>
      <c r="AL16" s="177" t="s">
        <v>492</v>
      </c>
      <c r="AM16" s="177" t="s">
        <v>493</v>
      </c>
      <c r="AN16" s="177" t="s">
        <v>504</v>
      </c>
      <c r="AO16" s="177" t="s">
        <v>493</v>
      </c>
      <c r="AP16" s="177" t="s">
        <v>990</v>
      </c>
      <c r="AQ16" s="177" t="s">
        <v>492</v>
      </c>
      <c r="AR16" s="177" t="s">
        <v>492</v>
      </c>
      <c r="AS16" s="131"/>
      <c r="AT16" s="131"/>
      <c r="AU16" s="131"/>
      <c r="AV16" s="177" t="s">
        <v>504</v>
      </c>
      <c r="AW16" s="131"/>
      <c r="AX16" s="177">
        <f>'Box Schedule'!T15</f>
        <v>0</v>
      </c>
      <c r="AY16" s="177">
        <f>'Box Schedule'!U15</f>
        <v>0</v>
      </c>
      <c r="AZ16" s="177">
        <f>'Box Schedule'!V15</f>
        <v>0</v>
      </c>
      <c r="BA16" s="177">
        <f>'Box Schedule'!W15</f>
        <v>0</v>
      </c>
      <c r="BB16" s="177" t="s">
        <v>493</v>
      </c>
      <c r="BC16" s="177" t="s">
        <v>496</v>
      </c>
      <c r="BD16" s="177" t="s">
        <v>493</v>
      </c>
      <c r="BE16" s="177" t="s">
        <v>493</v>
      </c>
      <c r="BF16" s="177" t="s">
        <v>497</v>
      </c>
      <c r="BG16" s="131"/>
      <c r="BH16" s="177" t="s">
        <v>492</v>
      </c>
      <c r="BI16" s="177" t="s">
        <v>492</v>
      </c>
      <c r="BJ16" s="177" t="s">
        <v>492</v>
      </c>
      <c r="BK16" s="177" t="s">
        <v>492</v>
      </c>
      <c r="BL16" s="177" t="s">
        <v>492</v>
      </c>
      <c r="BM16" s="177" t="s">
        <v>492</v>
      </c>
      <c r="BN16" s="131"/>
      <c r="BO16" s="177" t="s">
        <v>493</v>
      </c>
      <c r="BP16" s="177" t="s">
        <v>493</v>
      </c>
      <c r="BQ16" s="131"/>
      <c r="BR16" s="177">
        <v>90</v>
      </c>
      <c r="BS16" s="177" t="s">
        <v>493</v>
      </c>
      <c r="BT16" s="177" t="s">
        <v>493</v>
      </c>
      <c r="BU16" s="131"/>
      <c r="BV16" s="177" t="s">
        <v>497</v>
      </c>
      <c r="BW16" s="177" t="s">
        <v>490</v>
      </c>
      <c r="BX16" s="131"/>
      <c r="BY16" s="178">
        <v>61</v>
      </c>
      <c r="BZ16" s="177" t="s">
        <v>493</v>
      </c>
      <c r="CA16" s="131"/>
      <c r="CB16" s="131"/>
      <c r="CC16" s="131"/>
      <c r="CD16" s="177" t="s">
        <v>505</v>
      </c>
      <c r="CE16" s="177" t="s">
        <v>506</v>
      </c>
      <c r="CF16" s="177" t="s">
        <v>493</v>
      </c>
      <c r="CG16" s="177" t="s">
        <v>493</v>
      </c>
      <c r="CH16" s="177" t="s">
        <v>690</v>
      </c>
      <c r="CI16" s="177" t="s">
        <v>506</v>
      </c>
      <c r="CJ16" s="177" t="s">
        <v>493</v>
      </c>
      <c r="CK16" s="177" t="s">
        <v>493</v>
      </c>
      <c r="CL16" s="177" t="s">
        <v>493</v>
      </c>
      <c r="CM16" s="177" t="s">
        <v>506</v>
      </c>
      <c r="CN16" s="177" t="s">
        <v>493</v>
      </c>
      <c r="CO16" s="177" t="s">
        <v>498</v>
      </c>
      <c r="CP16" s="177" t="s">
        <v>493</v>
      </c>
      <c r="CQ16" s="177" t="s">
        <v>494</v>
      </c>
      <c r="CR16" s="177" t="s">
        <v>495</v>
      </c>
      <c r="CS16" s="177" t="s">
        <v>488</v>
      </c>
      <c r="CT16" s="177" t="s">
        <v>493</v>
      </c>
      <c r="CU16" s="177" t="s">
        <v>493</v>
      </c>
      <c r="CV16" s="131"/>
      <c r="CW16" s="131"/>
      <c r="CX16" s="131"/>
      <c r="CY16" s="177" t="s">
        <v>499</v>
      </c>
      <c r="CZ16" s="177" t="s">
        <v>1093</v>
      </c>
      <c r="DA16" s="135" t="s">
        <v>690</v>
      </c>
      <c r="DB16" s="177" t="s">
        <v>491</v>
      </c>
      <c r="DC16" s="181">
        <v>2</v>
      </c>
      <c r="DD16" s="131"/>
      <c r="DE16" s="177" t="s">
        <v>496</v>
      </c>
      <c r="DF16" s="177" t="s">
        <v>493</v>
      </c>
      <c r="DG16" s="177" t="s">
        <v>488</v>
      </c>
      <c r="DH16" s="177" t="s">
        <v>493</v>
      </c>
      <c r="DI16" s="177" t="s">
        <v>491</v>
      </c>
      <c r="DJ16" s="177" t="s">
        <v>500</v>
      </c>
      <c r="DK16" s="177" t="s">
        <v>501</v>
      </c>
      <c r="DL16" s="177">
        <f>3.14*'Box Schedule'!R15^2/596</f>
        <v>0</v>
      </c>
      <c r="DM16" s="177" t="s">
        <v>502</v>
      </c>
      <c r="DN16" s="177" t="s">
        <v>493</v>
      </c>
      <c r="DO16" s="131"/>
      <c r="DP16" s="131"/>
      <c r="DQ16" s="131"/>
      <c r="DR16" s="131"/>
      <c r="DS16" s="131"/>
      <c r="DT16" s="131"/>
      <c r="DU16" s="131"/>
      <c r="DV16" s="131"/>
      <c r="DW16" s="131"/>
      <c r="DX16" s="131"/>
      <c r="DY16" s="131"/>
      <c r="DZ16" s="131"/>
      <c r="EA16" s="131"/>
      <c r="EB16" s="131"/>
      <c r="EC16" s="131"/>
      <c r="ED16" s="131"/>
      <c r="EE16" s="131"/>
      <c r="EF16" s="131"/>
      <c r="EG16" s="131"/>
      <c r="EH16" s="131"/>
      <c r="EI16" s="131"/>
      <c r="EJ16" s="131"/>
      <c r="EK16" s="131"/>
      <c r="EL16" s="131"/>
      <c r="EM16" s="131"/>
      <c r="EN16" s="131"/>
      <c r="EO16" s="131"/>
      <c r="EP16" s="131"/>
      <c r="EQ16" s="131"/>
      <c r="ER16" s="132"/>
      <c r="ES16" s="132"/>
      <c r="ET16" s="132"/>
    </row>
    <row r="17" spans="1:150">
      <c r="A17" s="361">
        <v>2023</v>
      </c>
      <c r="B17" s="127" t="s">
        <v>368</v>
      </c>
      <c r="C17" s="127" t="s">
        <v>367</v>
      </c>
      <c r="D17" s="137" t="s">
        <v>368</v>
      </c>
      <c r="E17" s="137"/>
      <c r="F17" s="212"/>
      <c r="G17" s="212"/>
      <c r="H17" s="32"/>
      <c r="I17" s="32"/>
      <c r="J17" s="32"/>
      <c r="K17" s="32"/>
      <c r="L17" s="32"/>
      <c r="M17" s="32"/>
      <c r="N17" s="32"/>
      <c r="O17" s="177" t="s">
        <v>362</v>
      </c>
      <c r="P17" s="177" t="s">
        <v>366</v>
      </c>
      <c r="Q17" s="131"/>
      <c r="R17" s="131"/>
      <c r="S17" s="131"/>
      <c r="T17" s="177" t="s">
        <v>366</v>
      </c>
      <c r="U17" s="131"/>
      <c r="V17" s="131"/>
      <c r="W17" s="177" t="s">
        <v>488</v>
      </c>
      <c r="X17" s="177" t="s">
        <v>1085</v>
      </c>
      <c r="Y17" s="177" t="s">
        <v>488</v>
      </c>
      <c r="Z17" s="177" t="s">
        <v>1086</v>
      </c>
      <c r="AA17" s="177" t="s">
        <v>503</v>
      </c>
      <c r="AB17" s="177" t="s">
        <v>489</v>
      </c>
      <c r="AC17" s="131"/>
      <c r="AD17" s="178" t="s">
        <v>489</v>
      </c>
      <c r="AE17" s="178" t="s">
        <v>507</v>
      </c>
      <c r="AF17" s="177" t="s">
        <v>488</v>
      </c>
      <c r="AG17" s="135" t="s">
        <v>491</v>
      </c>
      <c r="AH17" s="177" t="s">
        <v>488</v>
      </c>
      <c r="AI17" s="177" t="s">
        <v>493</v>
      </c>
      <c r="AJ17" s="178">
        <f t="shared" si="0"/>
        <v>0</v>
      </c>
      <c r="AK17" s="177" t="s">
        <v>491</v>
      </c>
      <c r="AL17" s="177" t="s">
        <v>492</v>
      </c>
      <c r="AM17" s="177" t="s">
        <v>493</v>
      </c>
      <c r="AN17" s="177" t="s">
        <v>504</v>
      </c>
      <c r="AO17" s="177" t="s">
        <v>493</v>
      </c>
      <c r="AP17" s="177" t="s">
        <v>990</v>
      </c>
      <c r="AQ17" s="177" t="s">
        <v>492</v>
      </c>
      <c r="AR17" s="177" t="s">
        <v>492</v>
      </c>
      <c r="AS17" s="131"/>
      <c r="AT17" s="131"/>
      <c r="AU17" s="131"/>
      <c r="AV17" s="177" t="s">
        <v>504</v>
      </c>
      <c r="AW17" s="131"/>
      <c r="AX17" s="177">
        <f>'Box Schedule'!T16</f>
        <v>0</v>
      </c>
      <c r="AY17" s="177">
        <f>'Box Schedule'!U16</f>
        <v>0</v>
      </c>
      <c r="AZ17" s="177">
        <f>'Box Schedule'!V16</f>
        <v>0</v>
      </c>
      <c r="BA17" s="177">
        <f>'Box Schedule'!W16</f>
        <v>0</v>
      </c>
      <c r="BB17" s="177" t="s">
        <v>493</v>
      </c>
      <c r="BC17" s="177" t="s">
        <v>496</v>
      </c>
      <c r="BD17" s="177" t="s">
        <v>493</v>
      </c>
      <c r="BE17" s="177" t="s">
        <v>493</v>
      </c>
      <c r="BF17" s="177" t="s">
        <v>497</v>
      </c>
      <c r="BG17" s="131"/>
      <c r="BH17" s="177" t="s">
        <v>492</v>
      </c>
      <c r="BI17" s="177" t="s">
        <v>492</v>
      </c>
      <c r="BJ17" s="177" t="s">
        <v>492</v>
      </c>
      <c r="BK17" s="177" t="s">
        <v>492</v>
      </c>
      <c r="BL17" s="177" t="s">
        <v>492</v>
      </c>
      <c r="BM17" s="177" t="s">
        <v>492</v>
      </c>
      <c r="BN17" s="131"/>
      <c r="BO17" s="177" t="s">
        <v>493</v>
      </c>
      <c r="BP17" s="177" t="s">
        <v>493</v>
      </c>
      <c r="BQ17" s="131"/>
      <c r="BR17" s="177">
        <v>90</v>
      </c>
      <c r="BS17" s="177" t="s">
        <v>493</v>
      </c>
      <c r="BT17" s="177" t="s">
        <v>493</v>
      </c>
      <c r="BU17" s="131"/>
      <c r="BV17" s="177" t="s">
        <v>497</v>
      </c>
      <c r="BW17" s="177" t="s">
        <v>490</v>
      </c>
      <c r="BX17" s="131"/>
      <c r="BY17" s="178">
        <v>61</v>
      </c>
      <c r="BZ17" s="177" t="s">
        <v>493</v>
      </c>
      <c r="CA17" s="131"/>
      <c r="CB17" s="131"/>
      <c r="CC17" s="131"/>
      <c r="CD17" s="177" t="s">
        <v>505</v>
      </c>
      <c r="CE17" s="177" t="s">
        <v>506</v>
      </c>
      <c r="CF17" s="177" t="s">
        <v>493</v>
      </c>
      <c r="CG17" s="177" t="s">
        <v>493</v>
      </c>
      <c r="CH17" s="177" t="s">
        <v>690</v>
      </c>
      <c r="CI17" s="177" t="s">
        <v>506</v>
      </c>
      <c r="CJ17" s="177" t="s">
        <v>493</v>
      </c>
      <c r="CK17" s="177" t="s">
        <v>493</v>
      </c>
      <c r="CL17" s="177" t="s">
        <v>493</v>
      </c>
      <c r="CM17" s="177" t="s">
        <v>506</v>
      </c>
      <c r="CN17" s="177" t="s">
        <v>493</v>
      </c>
      <c r="CO17" s="177" t="s">
        <v>498</v>
      </c>
      <c r="CP17" s="177" t="s">
        <v>493</v>
      </c>
      <c r="CQ17" s="177" t="s">
        <v>494</v>
      </c>
      <c r="CR17" s="177" t="s">
        <v>495</v>
      </c>
      <c r="CS17" s="177" t="s">
        <v>488</v>
      </c>
      <c r="CT17" s="177" t="s">
        <v>493</v>
      </c>
      <c r="CU17" s="177" t="s">
        <v>493</v>
      </c>
      <c r="CV17" s="131"/>
      <c r="CW17" s="131"/>
      <c r="CX17" s="131"/>
      <c r="CY17" s="177" t="s">
        <v>499</v>
      </c>
      <c r="CZ17" s="177" t="s">
        <v>1093</v>
      </c>
      <c r="DA17" s="135" t="s">
        <v>690</v>
      </c>
      <c r="DB17" s="177" t="s">
        <v>491</v>
      </c>
      <c r="DC17" s="181">
        <v>2</v>
      </c>
      <c r="DD17" s="131"/>
      <c r="DE17" s="177" t="s">
        <v>496</v>
      </c>
      <c r="DF17" s="177" t="s">
        <v>493</v>
      </c>
      <c r="DG17" s="177" t="s">
        <v>488</v>
      </c>
      <c r="DH17" s="177" t="s">
        <v>493</v>
      </c>
      <c r="DI17" s="177" t="s">
        <v>491</v>
      </c>
      <c r="DJ17" s="177" t="s">
        <v>500</v>
      </c>
      <c r="DK17" s="177" t="s">
        <v>501</v>
      </c>
      <c r="DL17" s="177">
        <f>3.14*'Box Schedule'!R16^2/596</f>
        <v>0</v>
      </c>
      <c r="DM17" s="177" t="s">
        <v>502</v>
      </c>
      <c r="DN17" s="177" t="s">
        <v>493</v>
      </c>
      <c r="DO17" s="131"/>
      <c r="DP17" s="131"/>
      <c r="DQ17" s="131"/>
      <c r="DR17" s="131"/>
      <c r="DS17" s="131"/>
      <c r="DT17" s="131"/>
      <c r="DU17" s="131"/>
      <c r="DV17" s="131"/>
      <c r="DW17" s="131"/>
      <c r="DX17" s="131"/>
      <c r="DY17" s="131"/>
      <c r="DZ17" s="131"/>
      <c r="EA17" s="131"/>
      <c r="EB17" s="131"/>
      <c r="EC17" s="131"/>
      <c r="ED17" s="131"/>
      <c r="EE17" s="131"/>
      <c r="EF17" s="131"/>
      <c r="EG17" s="131"/>
      <c r="EH17" s="131"/>
      <c r="EI17" s="131"/>
      <c r="EJ17" s="131"/>
      <c r="EK17" s="131"/>
      <c r="EL17" s="131"/>
      <c r="EM17" s="131"/>
      <c r="EN17" s="131"/>
      <c r="EO17" s="131"/>
      <c r="EP17" s="131"/>
      <c r="EQ17" s="131"/>
      <c r="ER17" s="132"/>
      <c r="ES17" s="132"/>
      <c r="ET17" s="132"/>
    </row>
    <row r="18" spans="1:150" s="154" customFormat="1" ht="12.95" customHeight="1">
      <c r="A18" s="362">
        <v>2024</v>
      </c>
      <c r="B18" s="136" t="s">
        <v>368</v>
      </c>
      <c r="C18" s="136" t="s">
        <v>368</v>
      </c>
      <c r="D18" s="136" t="s">
        <v>368</v>
      </c>
      <c r="E18" s="138"/>
      <c r="F18" s="349"/>
      <c r="G18" s="213" t="s">
        <v>496</v>
      </c>
      <c r="H18" s="171"/>
      <c r="I18" s="171"/>
      <c r="J18" s="171"/>
      <c r="K18" s="172"/>
      <c r="L18" s="171"/>
      <c r="M18" s="171"/>
      <c r="N18" s="183" t="s">
        <v>174</v>
      </c>
      <c r="O18" s="193" t="s">
        <v>362</v>
      </c>
      <c r="P18" s="193" t="s">
        <v>366</v>
      </c>
      <c r="Q18" s="134"/>
      <c r="R18" s="134"/>
      <c r="S18" s="134"/>
      <c r="T18" s="193" t="s">
        <v>366</v>
      </c>
      <c r="U18" s="134"/>
      <c r="V18" s="134"/>
      <c r="W18" s="193" t="s">
        <v>488</v>
      </c>
      <c r="X18" s="193" t="s">
        <v>1085</v>
      </c>
      <c r="Y18" s="193" t="s">
        <v>488</v>
      </c>
      <c r="Z18" s="193" t="s">
        <v>1086</v>
      </c>
      <c r="AA18" s="193" t="s">
        <v>503</v>
      </c>
      <c r="AB18" s="193" t="s">
        <v>489</v>
      </c>
      <c r="AC18" s="134"/>
      <c r="AD18" s="193">
        <v>65</v>
      </c>
      <c r="AE18" s="193">
        <v>75</v>
      </c>
      <c r="AF18" s="193" t="s">
        <v>488</v>
      </c>
      <c r="AG18" s="193" t="s">
        <v>491</v>
      </c>
      <c r="AH18" s="193" t="s">
        <v>488</v>
      </c>
      <c r="AI18" s="193" t="s">
        <v>493</v>
      </c>
      <c r="AJ18" s="193" t="s">
        <v>493</v>
      </c>
      <c r="AK18" s="193" t="s">
        <v>491</v>
      </c>
      <c r="AL18" s="193" t="s">
        <v>492</v>
      </c>
      <c r="AM18" s="193" t="s">
        <v>493</v>
      </c>
      <c r="AN18" s="193" t="s">
        <v>504</v>
      </c>
      <c r="AO18" s="193" t="s">
        <v>493</v>
      </c>
      <c r="AP18" s="193" t="s">
        <v>990</v>
      </c>
      <c r="AQ18" s="193" t="s">
        <v>492</v>
      </c>
      <c r="AR18" s="193" t="s">
        <v>492</v>
      </c>
      <c r="AS18" s="193" t="s">
        <v>505</v>
      </c>
      <c r="AT18" s="193" t="s">
        <v>690</v>
      </c>
      <c r="AU18" s="193" t="s">
        <v>505</v>
      </c>
      <c r="AV18" s="193" t="s">
        <v>504</v>
      </c>
      <c r="AW18" s="193" t="s">
        <v>1115</v>
      </c>
      <c r="AX18" s="193" t="s">
        <v>494</v>
      </c>
      <c r="AY18" s="193" t="s">
        <v>495</v>
      </c>
      <c r="AZ18" s="193" t="s">
        <v>494</v>
      </c>
      <c r="BA18" s="193" t="s">
        <v>495</v>
      </c>
      <c r="BB18" s="193" t="s">
        <v>493</v>
      </c>
      <c r="BC18" s="193" t="s">
        <v>496</v>
      </c>
      <c r="BD18" s="134"/>
      <c r="BE18" s="134"/>
      <c r="BF18" s="134"/>
      <c r="BG18" s="134"/>
      <c r="BH18" s="193" t="s">
        <v>492</v>
      </c>
      <c r="BI18" s="193" t="s">
        <v>492</v>
      </c>
      <c r="BJ18" s="193" t="s">
        <v>492</v>
      </c>
      <c r="BK18" s="193" t="s">
        <v>492</v>
      </c>
      <c r="BL18" s="193" t="s">
        <v>492</v>
      </c>
      <c r="BM18" s="193" t="s">
        <v>492</v>
      </c>
      <c r="BN18" s="134"/>
      <c r="BO18" s="193" t="s">
        <v>493</v>
      </c>
      <c r="BP18" s="193" t="s">
        <v>493</v>
      </c>
      <c r="BQ18" s="134"/>
      <c r="BR18" s="193">
        <v>90</v>
      </c>
      <c r="BS18" s="134"/>
      <c r="BT18" s="134"/>
      <c r="BU18" s="134"/>
      <c r="BV18" s="134"/>
      <c r="BW18" s="193" t="s">
        <v>490</v>
      </c>
      <c r="BX18" s="134"/>
      <c r="BY18" s="179">
        <v>1</v>
      </c>
      <c r="BZ18" s="193" t="s">
        <v>493</v>
      </c>
      <c r="CA18" s="134"/>
      <c r="CB18" s="134"/>
      <c r="CC18" s="134"/>
      <c r="CD18" s="193" t="s">
        <v>505</v>
      </c>
      <c r="CE18" s="193" t="s">
        <v>506</v>
      </c>
      <c r="CF18" s="193" t="s">
        <v>493</v>
      </c>
      <c r="CG18" s="193" t="s">
        <v>493</v>
      </c>
      <c r="CH18" s="193" t="s">
        <v>690</v>
      </c>
      <c r="CI18" s="193" t="s">
        <v>506</v>
      </c>
      <c r="CJ18" s="193" t="s">
        <v>493</v>
      </c>
      <c r="CK18" s="193" t="s">
        <v>493</v>
      </c>
      <c r="CL18" s="193" t="s">
        <v>493</v>
      </c>
      <c r="CM18" s="193" t="s">
        <v>506</v>
      </c>
      <c r="CN18" s="193" t="s">
        <v>493</v>
      </c>
      <c r="CO18" s="193" t="s">
        <v>498</v>
      </c>
      <c r="CP18" s="193" t="s">
        <v>493</v>
      </c>
      <c r="CQ18" s="193" t="s">
        <v>494</v>
      </c>
      <c r="CR18" s="193" t="s">
        <v>495</v>
      </c>
      <c r="CS18" s="193" t="s">
        <v>488</v>
      </c>
      <c r="CT18" s="193" t="s">
        <v>493</v>
      </c>
      <c r="CU18" s="193" t="s">
        <v>493</v>
      </c>
      <c r="CV18" s="193" t="s">
        <v>493</v>
      </c>
      <c r="CW18" s="193" t="s">
        <v>490</v>
      </c>
      <c r="CX18" s="193" t="s">
        <v>690</v>
      </c>
      <c r="CY18" s="134"/>
      <c r="CZ18" s="193" t="s">
        <v>1093</v>
      </c>
      <c r="DA18" s="193" t="s">
        <v>690</v>
      </c>
      <c r="DB18" s="134"/>
      <c r="DC18" s="347" t="s">
        <v>496</v>
      </c>
      <c r="DD18" s="193" t="s">
        <v>690</v>
      </c>
      <c r="DE18" s="193" t="s">
        <v>496</v>
      </c>
      <c r="DF18" s="193" t="s">
        <v>493</v>
      </c>
      <c r="DG18" s="193" t="s">
        <v>488</v>
      </c>
      <c r="DH18" s="193" t="s">
        <v>493</v>
      </c>
      <c r="DI18" s="193" t="s">
        <v>491</v>
      </c>
      <c r="DJ18" s="193" t="s">
        <v>500</v>
      </c>
      <c r="DK18" s="193" t="s">
        <v>501</v>
      </c>
      <c r="DL18" s="193" t="s">
        <v>496</v>
      </c>
      <c r="DM18" s="193" t="s">
        <v>502</v>
      </c>
      <c r="DN18" s="193" t="s">
        <v>493</v>
      </c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4"/>
      <c r="DZ18" s="134"/>
      <c r="EA18" s="134"/>
      <c r="EB18" s="134"/>
      <c r="EC18" s="134"/>
      <c r="ED18" s="134"/>
      <c r="EE18" s="134"/>
      <c r="EF18" s="134"/>
      <c r="EG18" s="134"/>
      <c r="EH18" s="134"/>
      <c r="EI18" s="134"/>
      <c r="EJ18" s="134"/>
      <c r="EK18" s="134"/>
      <c r="EL18" s="134"/>
      <c r="EM18" s="134"/>
      <c r="EN18" s="134"/>
      <c r="EO18" s="134"/>
      <c r="EP18" s="134"/>
      <c r="EQ18" s="134"/>
      <c r="ER18" s="134"/>
      <c r="ES18" s="134"/>
      <c r="ET18" s="134"/>
    </row>
    <row r="19" spans="1:150" s="154" customFormat="1" ht="12.95" customHeight="1">
      <c r="A19" s="363">
        <v>2024</v>
      </c>
      <c r="B19" s="136" t="s">
        <v>368</v>
      </c>
      <c r="C19" s="136" t="s">
        <v>368</v>
      </c>
      <c r="D19" s="136" t="s">
        <v>368</v>
      </c>
      <c r="E19" s="138"/>
      <c r="F19" s="349"/>
      <c r="G19" s="213" t="s">
        <v>795</v>
      </c>
      <c r="H19" s="171"/>
      <c r="I19" s="171"/>
      <c r="J19" s="171"/>
      <c r="K19" s="172"/>
      <c r="L19" s="171"/>
      <c r="M19" s="171"/>
      <c r="N19" s="183"/>
      <c r="O19" s="193" t="s">
        <v>362</v>
      </c>
      <c r="P19" s="193" t="s">
        <v>366</v>
      </c>
      <c r="Q19" s="134"/>
      <c r="R19" s="134"/>
      <c r="S19" s="134"/>
      <c r="T19" s="193" t="s">
        <v>366</v>
      </c>
      <c r="U19" s="134"/>
      <c r="V19" s="134"/>
      <c r="W19" s="193" t="s">
        <v>488</v>
      </c>
      <c r="X19" s="193" t="s">
        <v>1085</v>
      </c>
      <c r="Y19" s="193" t="s">
        <v>488</v>
      </c>
      <c r="Z19" s="193" t="s">
        <v>1086</v>
      </c>
      <c r="AA19" s="193" t="s">
        <v>503</v>
      </c>
      <c r="AB19" s="193" t="s">
        <v>489</v>
      </c>
      <c r="AC19" s="134"/>
      <c r="AD19" s="193">
        <v>65</v>
      </c>
      <c r="AE19" s="193">
        <v>75</v>
      </c>
      <c r="AF19" s="193" t="s">
        <v>488</v>
      </c>
      <c r="AG19" s="193" t="s">
        <v>491</v>
      </c>
      <c r="AH19" s="193" t="s">
        <v>488</v>
      </c>
      <c r="AI19" s="193" t="s">
        <v>493</v>
      </c>
      <c r="AJ19" s="193" t="s">
        <v>493</v>
      </c>
      <c r="AK19" s="193" t="s">
        <v>491</v>
      </c>
      <c r="AL19" s="193" t="s">
        <v>492</v>
      </c>
      <c r="AM19" s="193" t="s">
        <v>493</v>
      </c>
      <c r="AN19" s="193" t="s">
        <v>504</v>
      </c>
      <c r="AO19" s="193" t="s">
        <v>493</v>
      </c>
      <c r="AP19" s="193" t="s">
        <v>990</v>
      </c>
      <c r="AQ19" s="193" t="s">
        <v>492</v>
      </c>
      <c r="AR19" s="193" t="s">
        <v>492</v>
      </c>
      <c r="AS19" s="193" t="s">
        <v>505</v>
      </c>
      <c r="AT19" s="193" t="s">
        <v>690</v>
      </c>
      <c r="AU19" s="193" t="s">
        <v>505</v>
      </c>
      <c r="AV19" s="193" t="s">
        <v>504</v>
      </c>
      <c r="AW19" s="193" t="s">
        <v>1115</v>
      </c>
      <c r="AX19" s="193" t="s">
        <v>494</v>
      </c>
      <c r="AY19" s="193" t="s">
        <v>495</v>
      </c>
      <c r="AZ19" s="193" t="s">
        <v>494</v>
      </c>
      <c r="BA19" s="193" t="s">
        <v>495</v>
      </c>
      <c r="BB19" s="193" t="s">
        <v>493</v>
      </c>
      <c r="BC19" s="193" t="s">
        <v>496</v>
      </c>
      <c r="BD19" s="134"/>
      <c r="BE19" s="134"/>
      <c r="BF19" s="134"/>
      <c r="BG19" s="134"/>
      <c r="BH19" s="193" t="s">
        <v>492</v>
      </c>
      <c r="BI19" s="193" t="s">
        <v>492</v>
      </c>
      <c r="BJ19" s="193" t="s">
        <v>492</v>
      </c>
      <c r="BK19" s="193" t="s">
        <v>492</v>
      </c>
      <c r="BL19" s="193" t="s">
        <v>492</v>
      </c>
      <c r="BM19" s="193" t="s">
        <v>492</v>
      </c>
      <c r="BN19" s="134"/>
      <c r="BO19" s="193" t="s">
        <v>493</v>
      </c>
      <c r="BP19" s="193" t="s">
        <v>493</v>
      </c>
      <c r="BQ19" s="134"/>
      <c r="BR19" s="193">
        <v>90</v>
      </c>
      <c r="BS19" s="134"/>
      <c r="BT19" s="134"/>
      <c r="BU19" s="134"/>
      <c r="BV19" s="134"/>
      <c r="BW19" s="193" t="s">
        <v>490</v>
      </c>
      <c r="BX19" s="134"/>
      <c r="BY19" s="179">
        <v>1</v>
      </c>
      <c r="BZ19" s="193" t="s">
        <v>493</v>
      </c>
      <c r="CA19" s="134"/>
      <c r="CB19" s="134"/>
      <c r="CC19" s="134"/>
      <c r="CD19" s="193" t="s">
        <v>505</v>
      </c>
      <c r="CE19" s="193" t="s">
        <v>506</v>
      </c>
      <c r="CF19" s="193" t="s">
        <v>493</v>
      </c>
      <c r="CG19" s="193" t="s">
        <v>493</v>
      </c>
      <c r="CH19" s="193" t="s">
        <v>690</v>
      </c>
      <c r="CI19" s="193" t="s">
        <v>506</v>
      </c>
      <c r="CJ19" s="193" t="s">
        <v>493</v>
      </c>
      <c r="CK19" s="193" t="s">
        <v>493</v>
      </c>
      <c r="CL19" s="193" t="s">
        <v>493</v>
      </c>
      <c r="CM19" s="193" t="s">
        <v>506</v>
      </c>
      <c r="CN19" s="193" t="s">
        <v>493</v>
      </c>
      <c r="CO19" s="193" t="s">
        <v>498</v>
      </c>
      <c r="CP19" s="193" t="s">
        <v>493</v>
      </c>
      <c r="CQ19" s="193" t="s">
        <v>494</v>
      </c>
      <c r="CR19" s="193" t="s">
        <v>495</v>
      </c>
      <c r="CS19" s="193" t="s">
        <v>488</v>
      </c>
      <c r="CT19" s="193" t="s">
        <v>493</v>
      </c>
      <c r="CU19" s="193" t="s">
        <v>493</v>
      </c>
      <c r="CV19" s="193" t="s">
        <v>493</v>
      </c>
      <c r="CW19" s="193" t="s">
        <v>490</v>
      </c>
      <c r="CX19" s="193" t="s">
        <v>690</v>
      </c>
      <c r="CY19" s="134"/>
      <c r="CZ19" s="193" t="s">
        <v>1093</v>
      </c>
      <c r="DA19" s="193" t="s">
        <v>690</v>
      </c>
      <c r="DB19" s="134"/>
      <c r="DC19" s="347" t="s">
        <v>795</v>
      </c>
      <c r="DD19" s="193" t="s">
        <v>690</v>
      </c>
      <c r="DE19" s="193" t="s">
        <v>496</v>
      </c>
      <c r="DF19" s="193" t="s">
        <v>493</v>
      </c>
      <c r="DG19" s="193" t="s">
        <v>488</v>
      </c>
      <c r="DH19" s="193" t="s">
        <v>493</v>
      </c>
      <c r="DI19" s="193" t="s">
        <v>491</v>
      </c>
      <c r="DJ19" s="193" t="s">
        <v>500</v>
      </c>
      <c r="DK19" s="193" t="s">
        <v>501</v>
      </c>
      <c r="DL19" s="193" t="s">
        <v>496</v>
      </c>
      <c r="DM19" s="193" t="s">
        <v>502</v>
      </c>
      <c r="DN19" s="193" t="s">
        <v>493</v>
      </c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4"/>
      <c r="DZ19" s="134"/>
      <c r="EA19" s="134"/>
      <c r="EB19" s="134"/>
      <c r="EC19" s="134"/>
      <c r="ED19" s="134"/>
      <c r="EE19" s="134"/>
      <c r="EF19" s="134"/>
      <c r="EG19" s="134"/>
      <c r="EH19" s="134"/>
      <c r="EI19" s="134"/>
      <c r="EJ19" s="134"/>
      <c r="EK19" s="134"/>
      <c r="EL19" s="134"/>
      <c r="EM19" s="134"/>
      <c r="EN19" s="134"/>
      <c r="EO19" s="134"/>
      <c r="EP19" s="134"/>
      <c r="EQ19" s="134"/>
      <c r="ER19" s="134"/>
      <c r="ES19" s="134"/>
      <c r="ET19" s="134"/>
    </row>
    <row r="20" spans="1:150" s="154" customFormat="1" ht="12.95" customHeight="1">
      <c r="A20" s="363">
        <v>2024</v>
      </c>
      <c r="B20" s="136" t="s">
        <v>368</v>
      </c>
      <c r="C20" s="136" t="s">
        <v>368</v>
      </c>
      <c r="D20" s="136" t="s">
        <v>368</v>
      </c>
      <c r="E20" s="138"/>
      <c r="F20" s="349"/>
      <c r="G20" s="213" t="s">
        <v>884</v>
      </c>
      <c r="H20" s="171"/>
      <c r="I20" s="171"/>
      <c r="J20" s="171"/>
      <c r="K20" s="172"/>
      <c r="L20" s="171"/>
      <c r="M20" s="171"/>
      <c r="N20" s="183"/>
      <c r="O20" s="193" t="s">
        <v>362</v>
      </c>
      <c r="P20" s="193" t="s">
        <v>366</v>
      </c>
      <c r="Q20" s="134"/>
      <c r="R20" s="134"/>
      <c r="S20" s="134"/>
      <c r="T20" s="193" t="s">
        <v>366</v>
      </c>
      <c r="U20" s="134"/>
      <c r="V20" s="134"/>
      <c r="W20" s="193" t="s">
        <v>488</v>
      </c>
      <c r="X20" s="193" t="s">
        <v>1085</v>
      </c>
      <c r="Y20" s="193" t="s">
        <v>488</v>
      </c>
      <c r="Z20" s="193" t="s">
        <v>1086</v>
      </c>
      <c r="AA20" s="193" t="s">
        <v>503</v>
      </c>
      <c r="AB20" s="193" t="s">
        <v>489</v>
      </c>
      <c r="AC20" s="134"/>
      <c r="AD20" s="193">
        <v>65</v>
      </c>
      <c r="AE20" s="193">
        <v>75</v>
      </c>
      <c r="AF20" s="193" t="s">
        <v>488</v>
      </c>
      <c r="AG20" s="193" t="s">
        <v>491</v>
      </c>
      <c r="AH20" s="193" t="s">
        <v>488</v>
      </c>
      <c r="AI20" s="193" t="s">
        <v>493</v>
      </c>
      <c r="AJ20" s="193" t="s">
        <v>493</v>
      </c>
      <c r="AK20" s="193" t="s">
        <v>491</v>
      </c>
      <c r="AL20" s="193" t="s">
        <v>492</v>
      </c>
      <c r="AM20" s="193" t="s">
        <v>493</v>
      </c>
      <c r="AN20" s="193" t="s">
        <v>504</v>
      </c>
      <c r="AO20" s="193" t="s">
        <v>493</v>
      </c>
      <c r="AP20" s="193" t="s">
        <v>990</v>
      </c>
      <c r="AQ20" s="193" t="s">
        <v>492</v>
      </c>
      <c r="AR20" s="193" t="s">
        <v>492</v>
      </c>
      <c r="AS20" s="193" t="s">
        <v>505</v>
      </c>
      <c r="AT20" s="193" t="s">
        <v>690</v>
      </c>
      <c r="AU20" s="193" t="s">
        <v>505</v>
      </c>
      <c r="AV20" s="193" t="s">
        <v>504</v>
      </c>
      <c r="AW20" s="193" t="s">
        <v>1115</v>
      </c>
      <c r="AX20" s="193" t="s">
        <v>494</v>
      </c>
      <c r="AY20" s="193" t="s">
        <v>495</v>
      </c>
      <c r="AZ20" s="193" t="s">
        <v>494</v>
      </c>
      <c r="BA20" s="193" t="s">
        <v>495</v>
      </c>
      <c r="BB20" s="193" t="s">
        <v>493</v>
      </c>
      <c r="BC20" s="193" t="s">
        <v>496</v>
      </c>
      <c r="BD20" s="134"/>
      <c r="BE20" s="134"/>
      <c r="BF20" s="134"/>
      <c r="BG20" s="134"/>
      <c r="BH20" s="193" t="s">
        <v>492</v>
      </c>
      <c r="BI20" s="193" t="s">
        <v>492</v>
      </c>
      <c r="BJ20" s="193" t="s">
        <v>492</v>
      </c>
      <c r="BK20" s="193" t="s">
        <v>492</v>
      </c>
      <c r="BL20" s="193" t="s">
        <v>492</v>
      </c>
      <c r="BM20" s="193" t="s">
        <v>492</v>
      </c>
      <c r="BN20" s="134"/>
      <c r="BO20" s="193" t="s">
        <v>493</v>
      </c>
      <c r="BP20" s="193" t="s">
        <v>493</v>
      </c>
      <c r="BQ20" s="134"/>
      <c r="BR20" s="193">
        <v>90</v>
      </c>
      <c r="BS20" s="134"/>
      <c r="BT20" s="134"/>
      <c r="BU20" s="134"/>
      <c r="BV20" s="134"/>
      <c r="BW20" s="193" t="s">
        <v>490</v>
      </c>
      <c r="BX20" s="134"/>
      <c r="BY20" s="179">
        <v>1</v>
      </c>
      <c r="BZ20" s="193" t="s">
        <v>493</v>
      </c>
      <c r="CA20" s="134"/>
      <c r="CB20" s="134"/>
      <c r="CC20" s="134"/>
      <c r="CD20" s="193" t="s">
        <v>505</v>
      </c>
      <c r="CE20" s="193" t="s">
        <v>506</v>
      </c>
      <c r="CF20" s="193" t="s">
        <v>493</v>
      </c>
      <c r="CG20" s="193" t="s">
        <v>493</v>
      </c>
      <c r="CH20" s="193" t="s">
        <v>690</v>
      </c>
      <c r="CI20" s="193" t="s">
        <v>506</v>
      </c>
      <c r="CJ20" s="193" t="s">
        <v>493</v>
      </c>
      <c r="CK20" s="193" t="s">
        <v>493</v>
      </c>
      <c r="CL20" s="193" t="s">
        <v>493</v>
      </c>
      <c r="CM20" s="193" t="s">
        <v>506</v>
      </c>
      <c r="CN20" s="193" t="s">
        <v>493</v>
      </c>
      <c r="CO20" s="193" t="s">
        <v>498</v>
      </c>
      <c r="CP20" s="193" t="s">
        <v>493</v>
      </c>
      <c r="CQ20" s="193" t="s">
        <v>494</v>
      </c>
      <c r="CR20" s="193" t="s">
        <v>495</v>
      </c>
      <c r="CS20" s="193" t="s">
        <v>488</v>
      </c>
      <c r="CT20" s="193" t="s">
        <v>493</v>
      </c>
      <c r="CU20" s="193" t="s">
        <v>493</v>
      </c>
      <c r="CV20" s="193" t="s">
        <v>493</v>
      </c>
      <c r="CW20" s="193" t="s">
        <v>490</v>
      </c>
      <c r="CX20" s="193" t="s">
        <v>690</v>
      </c>
      <c r="CY20" s="134"/>
      <c r="CZ20" s="193" t="s">
        <v>1093</v>
      </c>
      <c r="DA20" s="193" t="s">
        <v>690</v>
      </c>
      <c r="DB20" s="134"/>
      <c r="DC20" s="348">
        <v>3</v>
      </c>
      <c r="DD20" s="193" t="s">
        <v>690</v>
      </c>
      <c r="DE20" s="193" t="s">
        <v>496</v>
      </c>
      <c r="DF20" s="193" t="s">
        <v>493</v>
      </c>
      <c r="DG20" s="193" t="s">
        <v>488</v>
      </c>
      <c r="DH20" s="193" t="s">
        <v>493</v>
      </c>
      <c r="DI20" s="193" t="s">
        <v>491</v>
      </c>
      <c r="DJ20" s="193" t="s">
        <v>500</v>
      </c>
      <c r="DK20" s="193" t="s">
        <v>501</v>
      </c>
      <c r="DL20" s="193" t="s">
        <v>496</v>
      </c>
      <c r="DM20" s="193" t="s">
        <v>502</v>
      </c>
      <c r="DN20" s="193" t="s">
        <v>493</v>
      </c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4"/>
      <c r="DZ20" s="134"/>
      <c r="EA20" s="134"/>
      <c r="EB20" s="134"/>
      <c r="EC20" s="134"/>
      <c r="ED20" s="134"/>
      <c r="EE20" s="134"/>
      <c r="EF20" s="134"/>
      <c r="EG20" s="134"/>
      <c r="EH20" s="134"/>
      <c r="EI20" s="134"/>
      <c r="EJ20" s="134"/>
      <c r="EK20" s="134"/>
      <c r="EL20" s="134"/>
      <c r="EM20" s="134"/>
      <c r="EN20" s="134"/>
      <c r="EO20" s="134"/>
      <c r="EP20" s="134"/>
      <c r="EQ20" s="134"/>
      <c r="ER20" s="134"/>
      <c r="ES20" s="134"/>
      <c r="ET20" s="134"/>
    </row>
    <row r="21" spans="1:150" s="154" customFormat="1" ht="12.95" customHeight="1">
      <c r="A21" s="363">
        <v>2024</v>
      </c>
      <c r="B21" s="136" t="s">
        <v>368</v>
      </c>
      <c r="C21" s="136" t="s">
        <v>367</v>
      </c>
      <c r="D21" s="136" t="s">
        <v>368</v>
      </c>
      <c r="E21" s="138"/>
      <c r="F21" s="349"/>
      <c r="G21" s="213" t="s">
        <v>496</v>
      </c>
      <c r="H21" s="171"/>
      <c r="I21" s="171"/>
      <c r="J21" s="171"/>
      <c r="K21" s="172"/>
      <c r="L21" s="171"/>
      <c r="M21" s="171"/>
      <c r="O21" s="193" t="s">
        <v>362</v>
      </c>
      <c r="P21" s="193" t="s">
        <v>366</v>
      </c>
      <c r="Q21" s="134"/>
      <c r="R21" s="134"/>
      <c r="S21" s="134"/>
      <c r="T21" s="193" t="s">
        <v>366</v>
      </c>
      <c r="U21" s="134"/>
      <c r="V21" s="134"/>
      <c r="W21" s="193" t="s">
        <v>488</v>
      </c>
      <c r="X21" s="193" t="s">
        <v>1085</v>
      </c>
      <c r="Y21" s="193" t="s">
        <v>488</v>
      </c>
      <c r="Z21" s="193" t="s">
        <v>1086</v>
      </c>
      <c r="AA21" s="193" t="s">
        <v>503</v>
      </c>
      <c r="AB21" s="193" t="s">
        <v>489</v>
      </c>
      <c r="AC21" s="134"/>
      <c r="AD21" s="193">
        <v>65</v>
      </c>
      <c r="AE21" s="193">
        <v>75</v>
      </c>
      <c r="AF21" s="193" t="s">
        <v>488</v>
      </c>
      <c r="AG21" s="193" t="s">
        <v>491</v>
      </c>
      <c r="AH21" s="193" t="s">
        <v>488</v>
      </c>
      <c r="AI21" s="193" t="s">
        <v>493</v>
      </c>
      <c r="AJ21" s="193" t="s">
        <v>493</v>
      </c>
      <c r="AK21" s="193" t="s">
        <v>491</v>
      </c>
      <c r="AL21" s="193" t="s">
        <v>492</v>
      </c>
      <c r="AM21" s="193" t="s">
        <v>493</v>
      </c>
      <c r="AN21" s="193" t="s">
        <v>504</v>
      </c>
      <c r="AO21" s="193" t="s">
        <v>493</v>
      </c>
      <c r="AP21" s="193" t="s">
        <v>990</v>
      </c>
      <c r="AQ21" s="193" t="s">
        <v>492</v>
      </c>
      <c r="AR21" s="193" t="s">
        <v>492</v>
      </c>
      <c r="AS21" s="193" t="s">
        <v>505</v>
      </c>
      <c r="AT21" s="193" t="s">
        <v>690</v>
      </c>
      <c r="AU21" s="193" t="s">
        <v>505</v>
      </c>
      <c r="AV21" s="193" t="s">
        <v>504</v>
      </c>
      <c r="AW21" s="193" t="s">
        <v>1115</v>
      </c>
      <c r="AX21" s="193" t="s">
        <v>494</v>
      </c>
      <c r="AY21" s="193" t="s">
        <v>495</v>
      </c>
      <c r="AZ21" s="193" t="s">
        <v>494</v>
      </c>
      <c r="BA21" s="193" t="s">
        <v>495</v>
      </c>
      <c r="BB21" s="193" t="s">
        <v>493</v>
      </c>
      <c r="BC21" s="193" t="s">
        <v>496</v>
      </c>
      <c r="BD21" s="134"/>
      <c r="BE21" s="134"/>
      <c r="BF21" s="134"/>
      <c r="BG21" s="134"/>
      <c r="BH21" s="193" t="s">
        <v>492</v>
      </c>
      <c r="BI21" s="193" t="s">
        <v>492</v>
      </c>
      <c r="BJ21" s="193" t="s">
        <v>492</v>
      </c>
      <c r="BK21" s="193" t="s">
        <v>492</v>
      </c>
      <c r="BL21" s="193" t="s">
        <v>492</v>
      </c>
      <c r="BM21" s="193" t="s">
        <v>492</v>
      </c>
      <c r="BN21" s="134"/>
      <c r="BO21" s="193" t="s">
        <v>493</v>
      </c>
      <c r="BP21" s="193" t="s">
        <v>493</v>
      </c>
      <c r="BQ21" s="134"/>
      <c r="BR21" s="193">
        <v>90</v>
      </c>
      <c r="BS21" s="134"/>
      <c r="BT21" s="134"/>
      <c r="BU21" s="134"/>
      <c r="BV21" s="134"/>
      <c r="BW21" s="193" t="s">
        <v>490</v>
      </c>
      <c r="BX21" s="134"/>
      <c r="BY21" s="179">
        <v>1</v>
      </c>
      <c r="BZ21" s="193" t="s">
        <v>493</v>
      </c>
      <c r="CA21" s="134"/>
      <c r="CB21" s="134"/>
      <c r="CC21" s="134"/>
      <c r="CD21" s="193" t="s">
        <v>505</v>
      </c>
      <c r="CE21" s="193" t="s">
        <v>506</v>
      </c>
      <c r="CF21" s="193" t="s">
        <v>493</v>
      </c>
      <c r="CG21" s="193" t="s">
        <v>493</v>
      </c>
      <c r="CH21" s="193" t="s">
        <v>690</v>
      </c>
      <c r="CI21" s="193" t="s">
        <v>506</v>
      </c>
      <c r="CJ21" s="193" t="s">
        <v>493</v>
      </c>
      <c r="CK21" s="193" t="s">
        <v>493</v>
      </c>
      <c r="CL21" s="193" t="s">
        <v>493</v>
      </c>
      <c r="CM21" s="193" t="s">
        <v>506</v>
      </c>
      <c r="CN21" s="193" t="s">
        <v>493</v>
      </c>
      <c r="CO21" s="193" t="s">
        <v>498</v>
      </c>
      <c r="CP21" s="193" t="s">
        <v>493</v>
      </c>
      <c r="CQ21" s="193" t="s">
        <v>494</v>
      </c>
      <c r="CR21" s="193" t="s">
        <v>495</v>
      </c>
      <c r="CS21" s="193" t="s">
        <v>488</v>
      </c>
      <c r="CT21" s="193" t="s">
        <v>493</v>
      </c>
      <c r="CU21" s="193" t="s">
        <v>493</v>
      </c>
      <c r="CV21" s="193" t="s">
        <v>493</v>
      </c>
      <c r="CW21" s="193" t="s">
        <v>490</v>
      </c>
      <c r="CX21" s="193" t="s">
        <v>690</v>
      </c>
      <c r="CY21" s="134"/>
      <c r="CZ21" s="193" t="s">
        <v>1093</v>
      </c>
      <c r="DA21" s="193" t="s">
        <v>690</v>
      </c>
      <c r="DB21" s="134"/>
      <c r="DC21" s="347" t="s">
        <v>496</v>
      </c>
      <c r="DD21" s="193" t="s">
        <v>690</v>
      </c>
      <c r="DE21" s="193" t="s">
        <v>496</v>
      </c>
      <c r="DF21" s="193" t="s">
        <v>493</v>
      </c>
      <c r="DG21" s="193" t="s">
        <v>488</v>
      </c>
      <c r="DH21" s="193" t="s">
        <v>493</v>
      </c>
      <c r="DI21" s="193" t="s">
        <v>491</v>
      </c>
      <c r="DJ21" s="193" t="s">
        <v>500</v>
      </c>
      <c r="DK21" s="193" t="s">
        <v>501</v>
      </c>
      <c r="DL21" s="193" t="s">
        <v>496</v>
      </c>
      <c r="DM21" s="193" t="s">
        <v>502</v>
      </c>
      <c r="DN21" s="193" t="s">
        <v>493</v>
      </c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4"/>
      <c r="DZ21" s="134"/>
      <c r="EA21" s="134"/>
      <c r="EB21" s="134"/>
      <c r="EC21" s="134"/>
      <c r="ED21" s="134"/>
      <c r="EE21" s="134"/>
      <c r="EF21" s="134"/>
      <c r="EG21" s="134"/>
      <c r="EH21" s="134"/>
      <c r="EI21" s="134"/>
      <c r="EJ21" s="134"/>
      <c r="EK21" s="134"/>
      <c r="EL21" s="134"/>
      <c r="EM21" s="134"/>
      <c r="EN21" s="134"/>
      <c r="EO21" s="134"/>
      <c r="EP21" s="134"/>
      <c r="EQ21" s="134"/>
      <c r="ER21" s="134"/>
      <c r="ES21" s="134"/>
      <c r="ET21" s="134"/>
    </row>
    <row r="22" spans="1:150" s="154" customFormat="1" ht="12.95" customHeight="1">
      <c r="A22" s="363">
        <v>2024</v>
      </c>
      <c r="B22" s="136" t="s">
        <v>368</v>
      </c>
      <c r="C22" s="136" t="s">
        <v>367</v>
      </c>
      <c r="D22" s="136" t="s">
        <v>368</v>
      </c>
      <c r="E22" s="138"/>
      <c r="F22" s="349"/>
      <c r="G22" s="213" t="s">
        <v>795</v>
      </c>
      <c r="H22" s="171"/>
      <c r="I22" s="171"/>
      <c r="J22" s="171"/>
      <c r="K22" s="172"/>
      <c r="L22" s="171"/>
      <c r="M22" s="171"/>
      <c r="N22" s="183"/>
      <c r="O22" s="193" t="s">
        <v>362</v>
      </c>
      <c r="P22" s="193" t="s">
        <v>366</v>
      </c>
      <c r="Q22" s="134"/>
      <c r="R22" s="134"/>
      <c r="S22" s="134"/>
      <c r="T22" s="193" t="s">
        <v>366</v>
      </c>
      <c r="U22" s="134"/>
      <c r="V22" s="134"/>
      <c r="W22" s="193" t="s">
        <v>488</v>
      </c>
      <c r="X22" s="193" t="s">
        <v>1085</v>
      </c>
      <c r="Y22" s="193" t="s">
        <v>488</v>
      </c>
      <c r="Z22" s="193" t="s">
        <v>1086</v>
      </c>
      <c r="AA22" s="193" t="s">
        <v>503</v>
      </c>
      <c r="AB22" s="193" t="s">
        <v>489</v>
      </c>
      <c r="AC22" s="134"/>
      <c r="AD22" s="193">
        <v>65</v>
      </c>
      <c r="AE22" s="193">
        <v>75</v>
      </c>
      <c r="AF22" s="193" t="s">
        <v>488</v>
      </c>
      <c r="AG22" s="193" t="s">
        <v>491</v>
      </c>
      <c r="AH22" s="193" t="s">
        <v>488</v>
      </c>
      <c r="AI22" s="193" t="s">
        <v>493</v>
      </c>
      <c r="AJ22" s="193" t="s">
        <v>493</v>
      </c>
      <c r="AK22" s="193" t="s">
        <v>491</v>
      </c>
      <c r="AL22" s="193" t="s">
        <v>492</v>
      </c>
      <c r="AM22" s="193" t="s">
        <v>493</v>
      </c>
      <c r="AN22" s="193" t="s">
        <v>504</v>
      </c>
      <c r="AO22" s="193" t="s">
        <v>493</v>
      </c>
      <c r="AP22" s="193" t="s">
        <v>990</v>
      </c>
      <c r="AQ22" s="193" t="s">
        <v>492</v>
      </c>
      <c r="AR22" s="193" t="s">
        <v>492</v>
      </c>
      <c r="AS22" s="193" t="s">
        <v>505</v>
      </c>
      <c r="AT22" s="193" t="s">
        <v>690</v>
      </c>
      <c r="AU22" s="193" t="s">
        <v>505</v>
      </c>
      <c r="AV22" s="193" t="s">
        <v>504</v>
      </c>
      <c r="AW22" s="193" t="s">
        <v>1115</v>
      </c>
      <c r="AX22" s="193" t="s">
        <v>494</v>
      </c>
      <c r="AY22" s="193" t="s">
        <v>495</v>
      </c>
      <c r="AZ22" s="193" t="s">
        <v>494</v>
      </c>
      <c r="BA22" s="193" t="s">
        <v>495</v>
      </c>
      <c r="BB22" s="193" t="s">
        <v>493</v>
      </c>
      <c r="BC22" s="193" t="s">
        <v>496</v>
      </c>
      <c r="BD22" s="134"/>
      <c r="BE22" s="134"/>
      <c r="BF22" s="134"/>
      <c r="BG22" s="134"/>
      <c r="BH22" s="193" t="s">
        <v>492</v>
      </c>
      <c r="BI22" s="193" t="s">
        <v>492</v>
      </c>
      <c r="BJ22" s="193" t="s">
        <v>492</v>
      </c>
      <c r="BK22" s="193" t="s">
        <v>492</v>
      </c>
      <c r="BL22" s="193" t="s">
        <v>492</v>
      </c>
      <c r="BM22" s="193" t="s">
        <v>492</v>
      </c>
      <c r="BN22" s="134"/>
      <c r="BO22" s="193" t="s">
        <v>493</v>
      </c>
      <c r="BP22" s="193" t="s">
        <v>493</v>
      </c>
      <c r="BQ22" s="134"/>
      <c r="BR22" s="193">
        <v>90</v>
      </c>
      <c r="BS22" s="134"/>
      <c r="BT22" s="134"/>
      <c r="BU22" s="134"/>
      <c r="BV22" s="134"/>
      <c r="BW22" s="193" t="s">
        <v>490</v>
      </c>
      <c r="BX22" s="134"/>
      <c r="BY22" s="179">
        <v>1</v>
      </c>
      <c r="BZ22" s="193" t="s">
        <v>493</v>
      </c>
      <c r="CA22" s="134"/>
      <c r="CB22" s="134"/>
      <c r="CC22" s="134"/>
      <c r="CD22" s="193" t="s">
        <v>505</v>
      </c>
      <c r="CE22" s="193" t="s">
        <v>506</v>
      </c>
      <c r="CF22" s="193" t="s">
        <v>493</v>
      </c>
      <c r="CG22" s="193" t="s">
        <v>493</v>
      </c>
      <c r="CH22" s="193" t="s">
        <v>690</v>
      </c>
      <c r="CI22" s="193" t="s">
        <v>506</v>
      </c>
      <c r="CJ22" s="193" t="s">
        <v>493</v>
      </c>
      <c r="CK22" s="193" t="s">
        <v>493</v>
      </c>
      <c r="CL22" s="193" t="s">
        <v>493</v>
      </c>
      <c r="CM22" s="193" t="s">
        <v>506</v>
      </c>
      <c r="CN22" s="193" t="s">
        <v>493</v>
      </c>
      <c r="CO22" s="193" t="s">
        <v>498</v>
      </c>
      <c r="CP22" s="193" t="s">
        <v>493</v>
      </c>
      <c r="CQ22" s="193" t="s">
        <v>494</v>
      </c>
      <c r="CR22" s="193" t="s">
        <v>495</v>
      </c>
      <c r="CS22" s="193" t="s">
        <v>488</v>
      </c>
      <c r="CT22" s="193" t="s">
        <v>493</v>
      </c>
      <c r="CU22" s="193" t="s">
        <v>493</v>
      </c>
      <c r="CV22" s="193" t="s">
        <v>493</v>
      </c>
      <c r="CW22" s="193" t="s">
        <v>490</v>
      </c>
      <c r="CX22" s="193" t="s">
        <v>690</v>
      </c>
      <c r="CY22" s="134"/>
      <c r="CZ22" s="193" t="s">
        <v>1093</v>
      </c>
      <c r="DA22" s="193" t="s">
        <v>690</v>
      </c>
      <c r="DB22" s="134"/>
      <c r="DC22" s="347" t="s">
        <v>795</v>
      </c>
      <c r="DD22" s="193" t="s">
        <v>690</v>
      </c>
      <c r="DE22" s="193" t="s">
        <v>496</v>
      </c>
      <c r="DF22" s="193" t="s">
        <v>493</v>
      </c>
      <c r="DG22" s="193" t="s">
        <v>488</v>
      </c>
      <c r="DH22" s="193" t="s">
        <v>493</v>
      </c>
      <c r="DI22" s="193" t="s">
        <v>491</v>
      </c>
      <c r="DJ22" s="193" t="s">
        <v>500</v>
      </c>
      <c r="DK22" s="193" t="s">
        <v>501</v>
      </c>
      <c r="DL22" s="193" t="s">
        <v>496</v>
      </c>
      <c r="DM22" s="193" t="s">
        <v>502</v>
      </c>
      <c r="DN22" s="193" t="s">
        <v>493</v>
      </c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4"/>
      <c r="DZ22" s="134"/>
      <c r="EA22" s="134"/>
      <c r="EB22" s="134"/>
      <c r="EC22" s="134"/>
      <c r="ED22" s="134"/>
      <c r="EE22" s="134"/>
      <c r="EF22" s="134"/>
      <c r="EG22" s="134"/>
      <c r="EH22" s="134"/>
      <c r="EI22" s="134"/>
      <c r="EJ22" s="134"/>
      <c r="EK22" s="134"/>
      <c r="EL22" s="134"/>
      <c r="EM22" s="134"/>
      <c r="EN22" s="134"/>
      <c r="EO22" s="134"/>
      <c r="EP22" s="134"/>
      <c r="EQ22" s="134"/>
      <c r="ER22" s="134"/>
      <c r="ES22" s="134"/>
      <c r="ET22" s="134"/>
    </row>
    <row r="23" spans="1:150" s="353" customFormat="1" ht="12.95" customHeight="1">
      <c r="A23" s="359" t="s">
        <v>214</v>
      </c>
      <c r="B23" s="350" t="s">
        <v>368</v>
      </c>
      <c r="C23" s="350" t="s">
        <v>367</v>
      </c>
      <c r="D23" s="136" t="s">
        <v>368</v>
      </c>
      <c r="E23" s="351"/>
      <c r="F23" s="352"/>
      <c r="G23" s="350"/>
      <c r="N23" s="183" t="s">
        <v>233</v>
      </c>
      <c r="O23" s="354" t="s">
        <v>362</v>
      </c>
      <c r="P23" s="354" t="s">
        <v>366</v>
      </c>
      <c r="Q23" s="354"/>
      <c r="R23" s="354"/>
      <c r="S23" s="354"/>
      <c r="T23" s="354" t="s">
        <v>366</v>
      </c>
      <c r="U23" s="354"/>
      <c r="V23" s="354"/>
      <c r="W23" s="354">
        <v>74</v>
      </c>
      <c r="X23" s="354" t="s">
        <v>1085</v>
      </c>
      <c r="Y23" s="354">
        <v>74</v>
      </c>
      <c r="Z23" s="354">
        <v>70</v>
      </c>
      <c r="AA23" s="354">
        <v>82</v>
      </c>
      <c r="AB23" s="354">
        <v>65</v>
      </c>
      <c r="AC23" s="354"/>
      <c r="AD23" s="354">
        <v>55</v>
      </c>
      <c r="AE23" s="354">
        <v>90</v>
      </c>
      <c r="AF23" s="354">
        <v>74</v>
      </c>
      <c r="AG23" s="354" t="s">
        <v>491</v>
      </c>
      <c r="AH23" s="354">
        <v>74</v>
      </c>
      <c r="AI23" s="354">
        <v>0</v>
      </c>
      <c r="AJ23" s="354">
        <v>0</v>
      </c>
      <c r="AK23" s="354" t="s">
        <v>491</v>
      </c>
      <c r="AL23" s="354" t="s">
        <v>492</v>
      </c>
      <c r="AM23" s="354">
        <v>0</v>
      </c>
      <c r="AN23" s="354" t="s">
        <v>504</v>
      </c>
      <c r="AO23" s="354">
        <v>0</v>
      </c>
      <c r="AP23" s="354">
        <v>100</v>
      </c>
      <c r="AQ23" s="354" t="s">
        <v>492</v>
      </c>
      <c r="AR23" s="354" t="s">
        <v>492</v>
      </c>
      <c r="AS23" s="354">
        <v>20</v>
      </c>
      <c r="AT23" s="354">
        <v>10</v>
      </c>
      <c r="AU23" s="354"/>
      <c r="AV23" s="354" t="s">
        <v>504</v>
      </c>
      <c r="AW23" s="354"/>
      <c r="AX23" s="354">
        <v>220</v>
      </c>
      <c r="AY23" s="354">
        <v>2200</v>
      </c>
      <c r="AZ23" s="354">
        <v>220</v>
      </c>
      <c r="BA23" s="354">
        <v>2200</v>
      </c>
      <c r="BB23" s="354">
        <v>0</v>
      </c>
      <c r="BC23" s="354">
        <v>1</v>
      </c>
      <c r="BD23" s="354"/>
      <c r="BE23" s="354"/>
      <c r="BF23" s="354"/>
      <c r="BG23" s="354"/>
      <c r="BH23" s="354" t="s">
        <v>492</v>
      </c>
      <c r="BI23" s="354" t="s">
        <v>492</v>
      </c>
      <c r="BJ23" s="354" t="s">
        <v>492</v>
      </c>
      <c r="BK23" s="354" t="s">
        <v>492</v>
      </c>
      <c r="BL23" s="354" t="s">
        <v>492</v>
      </c>
      <c r="BM23" s="354" t="s">
        <v>492</v>
      </c>
      <c r="BN23" s="354"/>
      <c r="BO23" s="354">
        <v>0</v>
      </c>
      <c r="BP23" s="354">
        <v>0</v>
      </c>
      <c r="BQ23" s="354"/>
      <c r="BR23" s="354">
        <v>95</v>
      </c>
      <c r="BS23" s="354">
        <v>0</v>
      </c>
      <c r="BT23" s="354">
        <v>0</v>
      </c>
      <c r="BU23" s="354"/>
      <c r="BV23" s="354">
        <v>130</v>
      </c>
      <c r="BW23" s="354">
        <v>90</v>
      </c>
      <c r="BX23" s="354"/>
      <c r="BY23" s="211">
        <v>0</v>
      </c>
      <c r="BZ23" s="354">
        <v>0</v>
      </c>
      <c r="CA23" s="354"/>
      <c r="CB23" s="354"/>
      <c r="CC23" s="354"/>
      <c r="CD23" s="354">
        <v>20</v>
      </c>
      <c r="CE23" s="354">
        <v>0.01</v>
      </c>
      <c r="CF23" s="354">
        <v>0</v>
      </c>
      <c r="CG23" s="354">
        <v>0</v>
      </c>
      <c r="CH23" s="354">
        <v>10</v>
      </c>
      <c r="CI23" s="354">
        <v>0.01</v>
      </c>
      <c r="CJ23" s="354">
        <v>0</v>
      </c>
      <c r="CK23" s="354">
        <v>0</v>
      </c>
      <c r="CL23" s="354">
        <v>0</v>
      </c>
      <c r="CM23" s="354">
        <v>0.01</v>
      </c>
      <c r="CN23" s="354">
        <v>0</v>
      </c>
      <c r="CO23" s="354">
        <v>50</v>
      </c>
      <c r="CP23" s="354">
        <v>0</v>
      </c>
      <c r="CQ23" s="354">
        <v>220</v>
      </c>
      <c r="CR23" s="354">
        <v>2200</v>
      </c>
      <c r="CS23" s="354">
        <v>74</v>
      </c>
      <c r="CT23" s="354">
        <v>0</v>
      </c>
      <c r="CU23" s="354">
        <v>0</v>
      </c>
      <c r="CV23" s="354"/>
      <c r="CW23" s="354"/>
      <c r="CX23" s="354">
        <v>10</v>
      </c>
      <c r="CY23" s="354"/>
      <c r="CZ23" s="354">
        <v>5.2</v>
      </c>
      <c r="DA23" s="354">
        <v>10</v>
      </c>
      <c r="DB23" s="354"/>
      <c r="DC23" s="355" t="s">
        <v>496</v>
      </c>
      <c r="DD23" s="354"/>
      <c r="DE23" s="354">
        <v>1</v>
      </c>
      <c r="DF23" s="354">
        <v>0</v>
      </c>
      <c r="DG23" s="354">
        <v>74</v>
      </c>
      <c r="DH23" s="354">
        <v>0</v>
      </c>
      <c r="DI23" s="354" t="s">
        <v>491</v>
      </c>
      <c r="DJ23" s="354">
        <v>4</v>
      </c>
      <c r="DK23" s="354">
        <v>12</v>
      </c>
      <c r="DL23" s="354">
        <v>1</v>
      </c>
      <c r="DM23" s="354">
        <v>5</v>
      </c>
      <c r="DN23" s="354">
        <v>0</v>
      </c>
      <c r="DO23" s="354"/>
      <c r="DP23" s="354"/>
      <c r="DQ23" s="354"/>
      <c r="DR23" s="354"/>
      <c r="DS23" s="354"/>
      <c r="DT23" s="354"/>
      <c r="DU23" s="354"/>
      <c r="DV23" s="354"/>
      <c r="DW23" s="354"/>
      <c r="DX23" s="354"/>
      <c r="DY23" s="354"/>
      <c r="DZ23" s="354"/>
      <c r="EA23" s="354"/>
      <c r="EB23" s="354"/>
      <c r="EC23" s="354"/>
      <c r="ED23" s="354"/>
      <c r="EE23" s="354"/>
      <c r="EF23" s="354"/>
      <c r="EG23" s="354"/>
      <c r="EH23" s="354"/>
      <c r="EI23" s="354"/>
      <c r="EJ23" s="354"/>
      <c r="EK23" s="354"/>
      <c r="EL23" s="354"/>
      <c r="EM23" s="354"/>
      <c r="EN23" s="354"/>
      <c r="EO23" s="354"/>
      <c r="EP23" s="354"/>
    </row>
    <row r="24" spans="1:150" s="353" customFormat="1" ht="12.95" customHeight="1">
      <c r="A24" s="359" t="s">
        <v>214</v>
      </c>
      <c r="B24" s="350" t="s">
        <v>368</v>
      </c>
      <c r="C24" s="350" t="s">
        <v>368</v>
      </c>
      <c r="D24" s="136" t="s">
        <v>367</v>
      </c>
      <c r="E24" s="351"/>
      <c r="F24" s="352"/>
      <c r="G24" s="350"/>
      <c r="O24" s="354" t="s">
        <v>362</v>
      </c>
      <c r="P24" s="354" t="s">
        <v>366</v>
      </c>
      <c r="Q24" s="354"/>
      <c r="R24" s="354"/>
      <c r="S24" s="354"/>
      <c r="T24" s="354" t="s">
        <v>366</v>
      </c>
      <c r="U24" s="354"/>
      <c r="V24" s="354"/>
      <c r="W24" s="354">
        <v>74</v>
      </c>
      <c r="X24" s="354" t="s">
        <v>1085</v>
      </c>
      <c r="Y24" s="354">
        <v>74</v>
      </c>
      <c r="Z24" s="354">
        <v>70</v>
      </c>
      <c r="AA24" s="354">
        <v>82</v>
      </c>
      <c r="AB24" s="354">
        <v>65</v>
      </c>
      <c r="AC24" s="354"/>
      <c r="AD24" s="354">
        <v>55</v>
      </c>
      <c r="AE24" s="354">
        <v>90</v>
      </c>
      <c r="AF24" s="354">
        <v>74</v>
      </c>
      <c r="AG24" s="354" t="s">
        <v>491</v>
      </c>
      <c r="AH24" s="354">
        <v>74</v>
      </c>
      <c r="AI24" s="354">
        <v>0</v>
      </c>
      <c r="AJ24" s="354">
        <v>0</v>
      </c>
      <c r="AK24" s="354" t="s">
        <v>491</v>
      </c>
      <c r="AL24" s="354" t="s">
        <v>492</v>
      </c>
      <c r="AM24" s="354">
        <v>0</v>
      </c>
      <c r="AN24" s="354" t="s">
        <v>504</v>
      </c>
      <c r="AO24" s="354">
        <v>0</v>
      </c>
      <c r="AP24" s="354">
        <v>100</v>
      </c>
      <c r="AQ24" s="354" t="s">
        <v>492</v>
      </c>
      <c r="AR24" s="354" t="s">
        <v>492</v>
      </c>
      <c r="AS24" s="354">
        <v>20</v>
      </c>
      <c r="AT24" s="354">
        <v>10</v>
      </c>
      <c r="AU24" s="354"/>
      <c r="AV24" s="354" t="s">
        <v>504</v>
      </c>
      <c r="AW24" s="354"/>
      <c r="AX24" s="354">
        <v>220</v>
      </c>
      <c r="AY24" s="354">
        <v>2200</v>
      </c>
      <c r="AZ24" s="354">
        <v>220</v>
      </c>
      <c r="BA24" s="354">
        <v>2200</v>
      </c>
      <c r="BB24" s="354">
        <v>0</v>
      </c>
      <c r="BC24" s="354">
        <v>1</v>
      </c>
      <c r="BD24" s="354"/>
      <c r="BE24" s="354"/>
      <c r="BF24" s="354"/>
      <c r="BG24" s="354"/>
      <c r="BH24" s="354" t="s">
        <v>492</v>
      </c>
      <c r="BI24" s="354" t="s">
        <v>492</v>
      </c>
      <c r="BJ24" s="354" t="s">
        <v>492</v>
      </c>
      <c r="BK24" s="354" t="s">
        <v>492</v>
      </c>
      <c r="BL24" s="354" t="s">
        <v>492</v>
      </c>
      <c r="BM24" s="354" t="s">
        <v>492</v>
      </c>
      <c r="BN24" s="354"/>
      <c r="BO24" s="354">
        <v>0</v>
      </c>
      <c r="BP24" s="354">
        <v>0</v>
      </c>
      <c r="BQ24" s="354"/>
      <c r="BR24" s="354">
        <v>95</v>
      </c>
      <c r="BS24" s="354">
        <v>0</v>
      </c>
      <c r="BT24" s="354">
        <v>0</v>
      </c>
      <c r="BU24" s="354"/>
      <c r="BV24" s="354">
        <v>130</v>
      </c>
      <c r="BW24" s="354">
        <v>90</v>
      </c>
      <c r="BX24" s="354"/>
      <c r="BY24" s="211">
        <v>0</v>
      </c>
      <c r="BZ24" s="354">
        <v>0</v>
      </c>
      <c r="CA24" s="354"/>
      <c r="CB24" s="354"/>
      <c r="CC24" s="354"/>
      <c r="CD24" s="354">
        <v>20</v>
      </c>
      <c r="CE24" s="354">
        <v>0.01</v>
      </c>
      <c r="CF24" s="354">
        <v>0</v>
      </c>
      <c r="CG24" s="354">
        <v>0</v>
      </c>
      <c r="CH24" s="354">
        <v>10</v>
      </c>
      <c r="CI24" s="354">
        <v>0.01</v>
      </c>
      <c r="CJ24" s="354">
        <v>0</v>
      </c>
      <c r="CK24" s="354">
        <v>0</v>
      </c>
      <c r="CL24" s="354">
        <v>0</v>
      </c>
      <c r="CM24" s="354">
        <v>0.01</v>
      </c>
      <c r="CN24" s="354">
        <v>0</v>
      </c>
      <c r="CO24" s="354">
        <v>50</v>
      </c>
      <c r="CP24" s="354">
        <v>0</v>
      </c>
      <c r="CQ24" s="354">
        <v>220</v>
      </c>
      <c r="CR24" s="354">
        <v>2200</v>
      </c>
      <c r="CS24" s="354">
        <v>74</v>
      </c>
      <c r="CT24" s="354">
        <v>0</v>
      </c>
      <c r="CU24" s="354">
        <v>0</v>
      </c>
      <c r="CV24" s="354"/>
      <c r="CW24" s="354"/>
      <c r="CX24" s="354">
        <v>10</v>
      </c>
      <c r="CY24" s="354"/>
      <c r="CZ24" s="354">
        <v>5.2</v>
      </c>
      <c r="DA24" s="354">
        <v>10</v>
      </c>
      <c r="DB24" s="354"/>
      <c r="DC24" s="355" t="s">
        <v>795</v>
      </c>
      <c r="DD24" s="354"/>
      <c r="DE24" s="354">
        <v>1</v>
      </c>
      <c r="DF24" s="354">
        <v>0</v>
      </c>
      <c r="DG24" s="354">
        <v>74</v>
      </c>
      <c r="DH24" s="354">
        <v>0</v>
      </c>
      <c r="DI24" s="354" t="s">
        <v>491</v>
      </c>
      <c r="DJ24" s="354">
        <v>4</v>
      </c>
      <c r="DK24" s="354">
        <v>12</v>
      </c>
      <c r="DL24" s="354">
        <v>1</v>
      </c>
      <c r="DM24" s="354">
        <v>5</v>
      </c>
      <c r="DN24" s="354">
        <v>0</v>
      </c>
      <c r="DO24" s="354"/>
      <c r="DP24" s="354"/>
      <c r="DQ24" s="354"/>
      <c r="DR24" s="354"/>
      <c r="DS24" s="354"/>
      <c r="DT24" s="354"/>
      <c r="DU24" s="354"/>
      <c r="DV24" s="354"/>
      <c r="DW24" s="354"/>
      <c r="DX24" s="354"/>
      <c r="DY24" s="354"/>
      <c r="DZ24" s="354"/>
      <c r="EA24" s="354"/>
      <c r="EB24" s="354"/>
      <c r="EC24" s="354"/>
      <c r="ED24" s="354"/>
      <c r="EE24" s="354"/>
      <c r="EF24" s="354"/>
      <c r="EG24" s="354"/>
      <c r="EH24" s="354"/>
      <c r="EI24" s="354"/>
      <c r="EJ24" s="354"/>
      <c r="EK24" s="354"/>
      <c r="EL24" s="354"/>
      <c r="EM24" s="354"/>
      <c r="EN24" s="354"/>
      <c r="EO24" s="354"/>
      <c r="EP24" s="354"/>
    </row>
    <row r="25" spans="1:150" s="353" customFormat="1" ht="12.95" customHeight="1">
      <c r="A25" s="359" t="s">
        <v>214</v>
      </c>
      <c r="B25" s="350" t="s">
        <v>368</v>
      </c>
      <c r="C25" s="350" t="s">
        <v>367</v>
      </c>
      <c r="D25" s="136" t="s">
        <v>367</v>
      </c>
      <c r="E25" s="351"/>
      <c r="F25" s="352"/>
      <c r="G25" s="350"/>
      <c r="O25" s="354" t="s">
        <v>362</v>
      </c>
      <c r="P25" s="354" t="s">
        <v>366</v>
      </c>
      <c r="Q25" s="354"/>
      <c r="R25" s="354"/>
      <c r="S25" s="354"/>
      <c r="T25" s="354" t="s">
        <v>366</v>
      </c>
      <c r="U25" s="354"/>
      <c r="V25" s="354"/>
      <c r="W25" s="354">
        <v>74</v>
      </c>
      <c r="X25" s="354" t="s">
        <v>1085</v>
      </c>
      <c r="Y25" s="354">
        <v>74</v>
      </c>
      <c r="Z25" s="354">
        <v>70</v>
      </c>
      <c r="AA25" s="354">
        <v>82</v>
      </c>
      <c r="AB25" s="354">
        <v>65</v>
      </c>
      <c r="AC25" s="354"/>
      <c r="AD25" s="354">
        <v>55</v>
      </c>
      <c r="AE25" s="354">
        <v>90</v>
      </c>
      <c r="AF25" s="354">
        <v>74</v>
      </c>
      <c r="AG25" s="354" t="s">
        <v>491</v>
      </c>
      <c r="AH25" s="354">
        <v>74</v>
      </c>
      <c r="AI25" s="354">
        <v>0</v>
      </c>
      <c r="AJ25" s="354">
        <v>0</v>
      </c>
      <c r="AK25" s="354" t="s">
        <v>491</v>
      </c>
      <c r="AL25" s="354" t="s">
        <v>492</v>
      </c>
      <c r="AM25" s="354">
        <v>0</v>
      </c>
      <c r="AN25" s="354" t="s">
        <v>504</v>
      </c>
      <c r="AO25" s="354">
        <v>0</v>
      </c>
      <c r="AP25" s="354">
        <v>100</v>
      </c>
      <c r="AQ25" s="354" t="s">
        <v>492</v>
      </c>
      <c r="AR25" s="354" t="s">
        <v>492</v>
      </c>
      <c r="AS25" s="354">
        <v>20</v>
      </c>
      <c r="AT25" s="354">
        <v>10</v>
      </c>
      <c r="AU25" s="354"/>
      <c r="AV25" s="354" t="s">
        <v>504</v>
      </c>
      <c r="AW25" s="354"/>
      <c r="AX25" s="354">
        <v>220</v>
      </c>
      <c r="AY25" s="354">
        <v>2200</v>
      </c>
      <c r="AZ25" s="354">
        <v>220</v>
      </c>
      <c r="BA25" s="354">
        <v>2200</v>
      </c>
      <c r="BB25" s="354">
        <v>0</v>
      </c>
      <c r="BC25" s="354">
        <v>1</v>
      </c>
      <c r="BD25" s="354"/>
      <c r="BE25" s="354"/>
      <c r="BF25" s="354"/>
      <c r="BG25" s="354"/>
      <c r="BH25" s="354" t="s">
        <v>492</v>
      </c>
      <c r="BI25" s="354" t="s">
        <v>492</v>
      </c>
      <c r="BJ25" s="354" t="s">
        <v>492</v>
      </c>
      <c r="BK25" s="354" t="s">
        <v>492</v>
      </c>
      <c r="BL25" s="354" t="s">
        <v>492</v>
      </c>
      <c r="BM25" s="354" t="s">
        <v>492</v>
      </c>
      <c r="BN25" s="354"/>
      <c r="BO25" s="354">
        <v>0</v>
      </c>
      <c r="BP25" s="354">
        <v>0</v>
      </c>
      <c r="BQ25" s="354"/>
      <c r="BR25" s="354">
        <v>95</v>
      </c>
      <c r="BS25" s="354">
        <v>0</v>
      </c>
      <c r="BT25" s="354">
        <v>0</v>
      </c>
      <c r="BU25" s="354"/>
      <c r="BV25" s="354">
        <v>130</v>
      </c>
      <c r="BW25" s="354">
        <v>90</v>
      </c>
      <c r="BX25" s="354"/>
      <c r="BY25" s="211">
        <v>0</v>
      </c>
      <c r="BZ25" s="354">
        <v>0</v>
      </c>
      <c r="CA25" s="354"/>
      <c r="CB25" s="354"/>
      <c r="CC25" s="354"/>
      <c r="CD25" s="354">
        <v>20</v>
      </c>
      <c r="CE25" s="354">
        <v>0.01</v>
      </c>
      <c r="CF25" s="354">
        <v>0</v>
      </c>
      <c r="CG25" s="354">
        <v>0</v>
      </c>
      <c r="CH25" s="354">
        <v>10</v>
      </c>
      <c r="CI25" s="354">
        <v>0.01</v>
      </c>
      <c r="CJ25" s="354">
        <v>0</v>
      </c>
      <c r="CK25" s="354">
        <v>0</v>
      </c>
      <c r="CL25" s="354">
        <v>0</v>
      </c>
      <c r="CM25" s="354">
        <v>0.01</v>
      </c>
      <c r="CN25" s="354">
        <v>0</v>
      </c>
      <c r="CO25" s="354">
        <v>50</v>
      </c>
      <c r="CP25" s="354">
        <v>0</v>
      </c>
      <c r="CQ25" s="354">
        <v>220</v>
      </c>
      <c r="CR25" s="354">
        <v>2200</v>
      </c>
      <c r="CS25" s="354">
        <v>74</v>
      </c>
      <c r="CT25" s="354">
        <v>0</v>
      </c>
      <c r="CU25" s="354">
        <v>0</v>
      </c>
      <c r="CV25" s="354"/>
      <c r="CW25" s="354"/>
      <c r="CX25" s="354">
        <v>10</v>
      </c>
      <c r="CY25" s="354"/>
      <c r="CZ25" s="354">
        <v>5.2</v>
      </c>
      <c r="DA25" s="354">
        <v>10</v>
      </c>
      <c r="DB25" s="354"/>
      <c r="DC25" s="355" t="s">
        <v>884</v>
      </c>
      <c r="DD25" s="354"/>
      <c r="DE25" s="354">
        <v>1</v>
      </c>
      <c r="DF25" s="354">
        <v>0</v>
      </c>
      <c r="DG25" s="354">
        <v>74</v>
      </c>
      <c r="DH25" s="354">
        <v>0</v>
      </c>
      <c r="DI25" s="354" t="s">
        <v>491</v>
      </c>
      <c r="DJ25" s="354">
        <v>4</v>
      </c>
      <c r="DK25" s="354">
        <v>12</v>
      </c>
      <c r="DL25" s="354">
        <v>1</v>
      </c>
      <c r="DM25" s="354">
        <v>5</v>
      </c>
      <c r="DN25" s="354">
        <v>0</v>
      </c>
      <c r="DO25" s="354"/>
      <c r="DP25" s="354"/>
      <c r="DQ25" s="354"/>
      <c r="DR25" s="354"/>
      <c r="DS25" s="354"/>
      <c r="DT25" s="354"/>
      <c r="DU25" s="354"/>
      <c r="DV25" s="354"/>
      <c r="DW25" s="354"/>
      <c r="DX25" s="354"/>
      <c r="DY25" s="354"/>
      <c r="DZ25" s="354"/>
      <c r="EA25" s="354"/>
      <c r="EB25" s="354"/>
      <c r="EC25" s="354"/>
      <c r="ED25" s="354"/>
      <c r="EE25" s="354"/>
      <c r="EF25" s="354"/>
      <c r="EG25" s="354"/>
      <c r="EH25" s="354"/>
      <c r="EI25" s="354"/>
      <c r="EJ25" s="354"/>
      <c r="EK25" s="354"/>
      <c r="EL25" s="354"/>
      <c r="EM25" s="354"/>
      <c r="EN25" s="354"/>
      <c r="EO25" s="354"/>
      <c r="EP25" s="354"/>
    </row>
    <row r="26" spans="1:150" s="353" customFormat="1" ht="12.95" customHeight="1">
      <c r="A26" s="359" t="s">
        <v>213</v>
      </c>
      <c r="B26" s="350" t="s">
        <v>368</v>
      </c>
      <c r="C26" s="350" t="s">
        <v>368</v>
      </c>
      <c r="D26" s="353" t="s">
        <v>368</v>
      </c>
      <c r="E26" s="351"/>
      <c r="F26" s="352"/>
      <c r="G26" s="350" t="s">
        <v>496</v>
      </c>
      <c r="N26" s="183" t="s">
        <v>234</v>
      </c>
      <c r="O26" s="354" t="s">
        <v>362</v>
      </c>
      <c r="P26" s="354" t="s">
        <v>366</v>
      </c>
      <c r="Q26" s="354"/>
      <c r="R26" s="354"/>
      <c r="S26" s="354"/>
      <c r="T26" s="354" t="s">
        <v>366</v>
      </c>
      <c r="U26" s="354"/>
      <c r="V26" s="354"/>
      <c r="W26" s="354">
        <v>74</v>
      </c>
      <c r="X26" s="354" t="s">
        <v>1085</v>
      </c>
      <c r="Y26" s="354">
        <v>74</v>
      </c>
      <c r="Z26" s="354">
        <v>70</v>
      </c>
      <c r="AA26" s="354">
        <v>82</v>
      </c>
      <c r="AB26" s="354">
        <v>65</v>
      </c>
      <c r="AC26" s="354"/>
      <c r="AD26" s="354">
        <v>55</v>
      </c>
      <c r="AE26" s="354">
        <v>90</v>
      </c>
      <c r="AF26" s="354">
        <v>74</v>
      </c>
      <c r="AG26" s="354" t="s">
        <v>491</v>
      </c>
      <c r="AH26" s="354">
        <v>74</v>
      </c>
      <c r="AI26" s="354">
        <v>0</v>
      </c>
      <c r="AJ26" s="354">
        <v>0</v>
      </c>
      <c r="AK26" s="354" t="s">
        <v>491</v>
      </c>
      <c r="AL26" s="354" t="s">
        <v>492</v>
      </c>
      <c r="AM26" s="354">
        <v>0</v>
      </c>
      <c r="AN26" s="354" t="s">
        <v>504</v>
      </c>
      <c r="AO26" s="354">
        <v>0</v>
      </c>
      <c r="AP26" s="354">
        <v>100</v>
      </c>
      <c r="AQ26" s="354" t="s">
        <v>492</v>
      </c>
      <c r="AR26" s="354" t="s">
        <v>492</v>
      </c>
      <c r="AS26" s="354">
        <v>20</v>
      </c>
      <c r="AT26" s="354">
        <v>10</v>
      </c>
      <c r="AU26" s="354">
        <v>20</v>
      </c>
      <c r="AV26" s="354" t="s">
        <v>504</v>
      </c>
      <c r="AW26" s="354">
        <v>30</v>
      </c>
      <c r="AX26" s="354">
        <v>220</v>
      </c>
      <c r="AY26" s="354">
        <v>2200</v>
      </c>
      <c r="AZ26" s="354">
        <v>220</v>
      </c>
      <c r="BA26" s="354">
        <v>2200</v>
      </c>
      <c r="BB26" s="354">
        <v>0</v>
      </c>
      <c r="BC26" s="354">
        <v>1</v>
      </c>
      <c r="BD26" s="354"/>
      <c r="BE26" s="354"/>
      <c r="BF26" s="354"/>
      <c r="BG26" s="354"/>
      <c r="BH26" s="354" t="s">
        <v>492</v>
      </c>
      <c r="BI26" s="354" t="s">
        <v>492</v>
      </c>
      <c r="BJ26" s="354" t="s">
        <v>492</v>
      </c>
      <c r="BK26" s="354" t="s">
        <v>492</v>
      </c>
      <c r="BL26" s="354" t="s">
        <v>492</v>
      </c>
      <c r="BM26" s="354" t="s">
        <v>492</v>
      </c>
      <c r="BN26" s="354"/>
      <c r="BO26" s="354">
        <v>0</v>
      </c>
      <c r="BP26" s="354">
        <v>0</v>
      </c>
      <c r="BQ26" s="354"/>
      <c r="BR26" s="354">
        <v>95</v>
      </c>
      <c r="BS26" s="354"/>
      <c r="BT26" s="354"/>
      <c r="BU26" s="354"/>
      <c r="BV26" s="354"/>
      <c r="BW26" s="354">
        <v>90</v>
      </c>
      <c r="BX26" s="354"/>
      <c r="BY26" s="211">
        <v>0</v>
      </c>
      <c r="BZ26" s="354">
        <v>0</v>
      </c>
      <c r="CA26" s="354"/>
      <c r="CB26" s="354"/>
      <c r="CC26" s="354"/>
      <c r="CD26" s="354">
        <v>20</v>
      </c>
      <c r="CE26" s="354">
        <v>0.01</v>
      </c>
      <c r="CF26" s="354">
        <v>0</v>
      </c>
      <c r="CG26" s="354">
        <v>0</v>
      </c>
      <c r="CH26" s="354">
        <v>10</v>
      </c>
      <c r="CI26" s="354">
        <v>0.01</v>
      </c>
      <c r="CJ26" s="354">
        <v>0</v>
      </c>
      <c r="CK26" s="354">
        <v>0</v>
      </c>
      <c r="CL26" s="354">
        <v>0</v>
      </c>
      <c r="CM26" s="354">
        <v>0.01</v>
      </c>
      <c r="CN26" s="354">
        <v>0</v>
      </c>
      <c r="CO26" s="354">
        <v>50</v>
      </c>
      <c r="CP26" s="354">
        <v>0</v>
      </c>
      <c r="CQ26" s="354">
        <v>220</v>
      </c>
      <c r="CR26" s="354">
        <v>2200</v>
      </c>
      <c r="CS26" s="354">
        <v>74</v>
      </c>
      <c r="CT26" s="354">
        <v>0</v>
      </c>
      <c r="CU26" s="354">
        <v>0</v>
      </c>
      <c r="CV26" s="354">
        <v>0</v>
      </c>
      <c r="CW26" s="354">
        <v>90</v>
      </c>
      <c r="CX26" s="354">
        <v>10</v>
      </c>
      <c r="CY26" s="354"/>
      <c r="CZ26" s="354">
        <v>5.2</v>
      </c>
      <c r="DA26" s="354">
        <v>10</v>
      </c>
      <c r="DB26" s="354"/>
      <c r="DC26" s="355">
        <v>1</v>
      </c>
      <c r="DD26" s="354">
        <v>10</v>
      </c>
      <c r="DE26" s="354">
        <v>1</v>
      </c>
      <c r="DF26" s="354">
        <v>0</v>
      </c>
      <c r="DG26" s="354">
        <v>74</v>
      </c>
      <c r="DH26" s="354">
        <v>0</v>
      </c>
      <c r="DI26" s="354" t="s">
        <v>491</v>
      </c>
      <c r="DJ26" s="354">
        <v>4</v>
      </c>
      <c r="DK26" s="354">
        <v>12</v>
      </c>
      <c r="DL26" s="354">
        <v>1</v>
      </c>
      <c r="DM26" s="354">
        <v>5</v>
      </c>
      <c r="DN26" s="354">
        <v>0</v>
      </c>
      <c r="DO26" s="354"/>
      <c r="DP26" s="354"/>
      <c r="DQ26" s="354"/>
      <c r="DR26" s="354"/>
      <c r="DS26" s="354"/>
      <c r="DT26" s="354"/>
      <c r="DU26" s="354"/>
      <c r="DV26" s="354"/>
      <c r="DW26" s="354"/>
      <c r="DX26" s="354"/>
      <c r="DY26" s="354"/>
      <c r="DZ26" s="354"/>
      <c r="EA26" s="354"/>
      <c r="EB26" s="354"/>
      <c r="EC26" s="354"/>
      <c r="ED26" s="354"/>
      <c r="EE26" s="354"/>
      <c r="EF26" s="354"/>
      <c r="EG26" s="354"/>
      <c r="EH26" s="354"/>
      <c r="EI26" s="354"/>
      <c r="EJ26" s="354"/>
      <c r="EK26" s="354"/>
      <c r="EL26" s="354"/>
      <c r="EM26" s="354"/>
      <c r="EN26" s="354"/>
      <c r="EO26" s="354"/>
      <c r="EP26" s="354"/>
    </row>
    <row r="27" spans="1:150" s="353" customFormat="1" ht="12.95" customHeight="1">
      <c r="A27" s="359" t="s">
        <v>213</v>
      </c>
      <c r="B27" s="350" t="s">
        <v>368</v>
      </c>
      <c r="C27" s="350" t="s">
        <v>368</v>
      </c>
      <c r="D27" s="353" t="s">
        <v>368</v>
      </c>
      <c r="E27" s="351"/>
      <c r="F27" s="352"/>
      <c r="G27" s="350" t="s">
        <v>795</v>
      </c>
      <c r="O27" s="354" t="s">
        <v>362</v>
      </c>
      <c r="P27" s="354" t="s">
        <v>366</v>
      </c>
      <c r="Q27" s="354"/>
      <c r="R27" s="354"/>
      <c r="S27" s="354"/>
      <c r="T27" s="354" t="s">
        <v>366</v>
      </c>
      <c r="U27" s="354"/>
      <c r="V27" s="354"/>
      <c r="W27" s="354">
        <v>74</v>
      </c>
      <c r="X27" s="354" t="s">
        <v>1085</v>
      </c>
      <c r="Y27" s="354">
        <v>74</v>
      </c>
      <c r="Z27" s="354">
        <v>70</v>
      </c>
      <c r="AA27" s="354">
        <v>82</v>
      </c>
      <c r="AB27" s="354">
        <v>65</v>
      </c>
      <c r="AC27" s="354"/>
      <c r="AD27" s="354">
        <v>55</v>
      </c>
      <c r="AE27" s="354">
        <v>90</v>
      </c>
      <c r="AF27" s="354">
        <v>74</v>
      </c>
      <c r="AG27" s="354" t="s">
        <v>491</v>
      </c>
      <c r="AH27" s="354">
        <v>74</v>
      </c>
      <c r="AI27" s="354">
        <v>0</v>
      </c>
      <c r="AJ27" s="354">
        <v>0</v>
      </c>
      <c r="AK27" s="354" t="s">
        <v>491</v>
      </c>
      <c r="AL27" s="354" t="s">
        <v>492</v>
      </c>
      <c r="AM27" s="354">
        <v>0</v>
      </c>
      <c r="AN27" s="354" t="s">
        <v>504</v>
      </c>
      <c r="AO27" s="354">
        <v>0</v>
      </c>
      <c r="AP27" s="354">
        <v>100</v>
      </c>
      <c r="AQ27" s="354" t="s">
        <v>492</v>
      </c>
      <c r="AR27" s="354" t="s">
        <v>492</v>
      </c>
      <c r="AS27" s="354">
        <v>20</v>
      </c>
      <c r="AT27" s="354">
        <v>10</v>
      </c>
      <c r="AU27" s="354">
        <v>20</v>
      </c>
      <c r="AV27" s="354" t="s">
        <v>504</v>
      </c>
      <c r="AW27" s="354">
        <v>30</v>
      </c>
      <c r="AX27" s="354">
        <v>220</v>
      </c>
      <c r="AY27" s="354">
        <v>2200</v>
      </c>
      <c r="AZ27" s="354">
        <v>220</v>
      </c>
      <c r="BA27" s="354">
        <v>2200</v>
      </c>
      <c r="BB27" s="354">
        <v>0</v>
      </c>
      <c r="BC27" s="354">
        <v>1</v>
      </c>
      <c r="BD27" s="354"/>
      <c r="BE27" s="354"/>
      <c r="BF27" s="354"/>
      <c r="BG27" s="354"/>
      <c r="BH27" s="354" t="s">
        <v>492</v>
      </c>
      <c r="BI27" s="354" t="s">
        <v>492</v>
      </c>
      <c r="BJ27" s="354" t="s">
        <v>492</v>
      </c>
      <c r="BK27" s="354" t="s">
        <v>492</v>
      </c>
      <c r="BL27" s="354" t="s">
        <v>492</v>
      </c>
      <c r="BM27" s="354" t="s">
        <v>492</v>
      </c>
      <c r="BN27" s="354"/>
      <c r="BO27" s="354">
        <v>0</v>
      </c>
      <c r="BP27" s="354">
        <v>0</v>
      </c>
      <c r="BQ27" s="354"/>
      <c r="BR27" s="354">
        <v>95</v>
      </c>
      <c r="BS27" s="354"/>
      <c r="BT27" s="354"/>
      <c r="BU27" s="354"/>
      <c r="BV27" s="354"/>
      <c r="BW27" s="354">
        <v>90</v>
      </c>
      <c r="BX27" s="354"/>
      <c r="BY27" s="211">
        <v>0</v>
      </c>
      <c r="BZ27" s="354">
        <v>0</v>
      </c>
      <c r="CA27" s="354"/>
      <c r="CB27" s="354"/>
      <c r="CC27" s="354"/>
      <c r="CD27" s="354">
        <v>20</v>
      </c>
      <c r="CE27" s="354">
        <v>0.01</v>
      </c>
      <c r="CF27" s="354">
        <v>0</v>
      </c>
      <c r="CG27" s="354">
        <v>0</v>
      </c>
      <c r="CH27" s="354">
        <v>10</v>
      </c>
      <c r="CI27" s="354">
        <v>0.01</v>
      </c>
      <c r="CJ27" s="354">
        <v>0</v>
      </c>
      <c r="CK27" s="354">
        <v>0</v>
      </c>
      <c r="CL27" s="354">
        <v>0</v>
      </c>
      <c r="CM27" s="354">
        <v>0.01</v>
      </c>
      <c r="CN27" s="354">
        <v>0</v>
      </c>
      <c r="CO27" s="354">
        <v>50</v>
      </c>
      <c r="CP27" s="354">
        <v>0</v>
      </c>
      <c r="CQ27" s="354">
        <v>220</v>
      </c>
      <c r="CR27" s="354">
        <v>2200</v>
      </c>
      <c r="CS27" s="354">
        <v>74</v>
      </c>
      <c r="CT27" s="354">
        <v>0</v>
      </c>
      <c r="CU27" s="354">
        <v>0</v>
      </c>
      <c r="CV27" s="354">
        <v>0</v>
      </c>
      <c r="CW27" s="354">
        <v>90</v>
      </c>
      <c r="CX27" s="354">
        <v>10</v>
      </c>
      <c r="CY27" s="354"/>
      <c r="CZ27" s="354">
        <v>5.2</v>
      </c>
      <c r="DA27" s="354">
        <v>10</v>
      </c>
      <c r="DB27" s="354"/>
      <c r="DC27" s="355" t="s">
        <v>795</v>
      </c>
      <c r="DD27" s="354">
        <v>10</v>
      </c>
      <c r="DE27" s="354">
        <v>1</v>
      </c>
      <c r="DF27" s="354">
        <v>0</v>
      </c>
      <c r="DG27" s="354">
        <v>74</v>
      </c>
      <c r="DH27" s="354">
        <v>0</v>
      </c>
      <c r="DI27" s="354" t="s">
        <v>491</v>
      </c>
      <c r="DJ27" s="354">
        <v>4</v>
      </c>
      <c r="DK27" s="354">
        <v>12</v>
      </c>
      <c r="DL27" s="354">
        <v>1</v>
      </c>
      <c r="DM27" s="354">
        <v>5</v>
      </c>
      <c r="DN27" s="354">
        <v>0</v>
      </c>
      <c r="DO27" s="354"/>
      <c r="DP27" s="354"/>
      <c r="DQ27" s="354"/>
      <c r="DR27" s="354"/>
      <c r="DS27" s="354"/>
      <c r="DT27" s="354"/>
      <c r="DU27" s="354"/>
      <c r="DV27" s="354"/>
      <c r="DW27" s="354"/>
      <c r="DX27" s="354"/>
      <c r="DY27" s="354"/>
      <c r="DZ27" s="354"/>
      <c r="EA27" s="354"/>
      <c r="EB27" s="354"/>
      <c r="EC27" s="354"/>
      <c r="ED27" s="354"/>
      <c r="EE27" s="354"/>
      <c r="EF27" s="354"/>
      <c r="EG27" s="354"/>
      <c r="EH27" s="354"/>
      <c r="EI27" s="354"/>
      <c r="EJ27" s="354"/>
      <c r="EK27" s="354"/>
      <c r="EL27" s="354"/>
      <c r="EM27" s="354"/>
      <c r="EN27" s="354"/>
      <c r="EO27" s="354"/>
      <c r="EP27" s="354"/>
    </row>
    <row r="28" spans="1:150" s="353" customFormat="1" ht="12.95" customHeight="1">
      <c r="A28" s="359" t="s">
        <v>213</v>
      </c>
      <c r="B28" s="350" t="s">
        <v>368</v>
      </c>
      <c r="C28" s="350" t="s">
        <v>368</v>
      </c>
      <c r="D28" s="353" t="s">
        <v>368</v>
      </c>
      <c r="E28" s="351"/>
      <c r="F28" s="352"/>
      <c r="G28" s="350" t="s">
        <v>884</v>
      </c>
      <c r="O28" s="354" t="s">
        <v>362</v>
      </c>
      <c r="P28" s="354" t="s">
        <v>366</v>
      </c>
      <c r="Q28" s="354"/>
      <c r="R28" s="354"/>
      <c r="S28" s="354"/>
      <c r="T28" s="354" t="s">
        <v>366</v>
      </c>
      <c r="U28" s="354"/>
      <c r="V28" s="354"/>
      <c r="W28" s="354">
        <v>74</v>
      </c>
      <c r="X28" s="354" t="s">
        <v>1085</v>
      </c>
      <c r="Y28" s="354">
        <v>74</v>
      </c>
      <c r="Z28" s="354">
        <v>70</v>
      </c>
      <c r="AA28" s="354">
        <v>82</v>
      </c>
      <c r="AB28" s="354">
        <v>65</v>
      </c>
      <c r="AC28" s="354"/>
      <c r="AD28" s="354">
        <v>55</v>
      </c>
      <c r="AE28" s="354">
        <v>90</v>
      </c>
      <c r="AF28" s="354">
        <v>74</v>
      </c>
      <c r="AG28" s="354" t="s">
        <v>491</v>
      </c>
      <c r="AH28" s="354">
        <v>74</v>
      </c>
      <c r="AI28" s="354">
        <v>0</v>
      </c>
      <c r="AJ28" s="354">
        <v>0</v>
      </c>
      <c r="AK28" s="354" t="s">
        <v>491</v>
      </c>
      <c r="AL28" s="354" t="s">
        <v>492</v>
      </c>
      <c r="AM28" s="354">
        <v>0</v>
      </c>
      <c r="AN28" s="354" t="s">
        <v>504</v>
      </c>
      <c r="AO28" s="354">
        <v>0</v>
      </c>
      <c r="AP28" s="354">
        <v>100</v>
      </c>
      <c r="AQ28" s="354" t="s">
        <v>492</v>
      </c>
      <c r="AR28" s="354" t="s">
        <v>492</v>
      </c>
      <c r="AS28" s="354">
        <v>20</v>
      </c>
      <c r="AT28" s="354">
        <v>10</v>
      </c>
      <c r="AU28" s="354">
        <v>20</v>
      </c>
      <c r="AV28" s="354" t="s">
        <v>504</v>
      </c>
      <c r="AW28" s="354">
        <v>30</v>
      </c>
      <c r="AX28" s="354">
        <v>220</v>
      </c>
      <c r="AY28" s="354">
        <v>2200</v>
      </c>
      <c r="AZ28" s="354">
        <v>220</v>
      </c>
      <c r="BA28" s="354">
        <v>2200</v>
      </c>
      <c r="BB28" s="354">
        <v>0</v>
      </c>
      <c r="BC28" s="354">
        <v>1</v>
      </c>
      <c r="BD28" s="354"/>
      <c r="BE28" s="354"/>
      <c r="BF28" s="354"/>
      <c r="BG28" s="354"/>
      <c r="BH28" s="354" t="s">
        <v>492</v>
      </c>
      <c r="BI28" s="354" t="s">
        <v>492</v>
      </c>
      <c r="BJ28" s="354" t="s">
        <v>492</v>
      </c>
      <c r="BK28" s="354" t="s">
        <v>492</v>
      </c>
      <c r="BL28" s="354" t="s">
        <v>492</v>
      </c>
      <c r="BM28" s="354" t="s">
        <v>492</v>
      </c>
      <c r="BN28" s="354"/>
      <c r="BO28" s="354">
        <v>0</v>
      </c>
      <c r="BP28" s="354">
        <v>0</v>
      </c>
      <c r="BQ28" s="354"/>
      <c r="BR28" s="354">
        <v>95</v>
      </c>
      <c r="BS28" s="354"/>
      <c r="BT28" s="354"/>
      <c r="BU28" s="354"/>
      <c r="BV28" s="354"/>
      <c r="BW28" s="354">
        <v>90</v>
      </c>
      <c r="BX28" s="354"/>
      <c r="BY28" s="211">
        <v>0</v>
      </c>
      <c r="BZ28" s="354">
        <v>0</v>
      </c>
      <c r="CA28" s="354"/>
      <c r="CB28" s="354"/>
      <c r="CC28" s="354"/>
      <c r="CD28" s="354">
        <v>20</v>
      </c>
      <c r="CE28" s="354">
        <v>0.01</v>
      </c>
      <c r="CF28" s="354">
        <v>0</v>
      </c>
      <c r="CG28" s="354">
        <v>0</v>
      </c>
      <c r="CH28" s="354">
        <v>10</v>
      </c>
      <c r="CI28" s="354">
        <v>0.01</v>
      </c>
      <c r="CJ28" s="354">
        <v>0</v>
      </c>
      <c r="CK28" s="354">
        <v>0</v>
      </c>
      <c r="CL28" s="354">
        <v>0</v>
      </c>
      <c r="CM28" s="354">
        <v>0.01</v>
      </c>
      <c r="CN28" s="354">
        <v>0</v>
      </c>
      <c r="CO28" s="354">
        <v>50</v>
      </c>
      <c r="CP28" s="354">
        <v>0</v>
      </c>
      <c r="CQ28" s="354">
        <v>220</v>
      </c>
      <c r="CR28" s="354">
        <v>2200</v>
      </c>
      <c r="CS28" s="354">
        <v>74</v>
      </c>
      <c r="CT28" s="354">
        <v>0</v>
      </c>
      <c r="CU28" s="354">
        <v>0</v>
      </c>
      <c r="CV28" s="354">
        <v>0</v>
      </c>
      <c r="CW28" s="354">
        <v>90</v>
      </c>
      <c r="CX28" s="354">
        <v>10</v>
      </c>
      <c r="CY28" s="354"/>
      <c r="CZ28" s="354">
        <v>5.2</v>
      </c>
      <c r="DA28" s="354">
        <v>10</v>
      </c>
      <c r="DB28" s="354"/>
      <c r="DC28" s="355" t="s">
        <v>884</v>
      </c>
      <c r="DD28" s="354">
        <v>10</v>
      </c>
      <c r="DE28" s="354">
        <v>1</v>
      </c>
      <c r="DF28" s="354">
        <v>0</v>
      </c>
      <c r="DG28" s="354">
        <v>74</v>
      </c>
      <c r="DH28" s="354">
        <v>0</v>
      </c>
      <c r="DI28" s="354" t="s">
        <v>491</v>
      </c>
      <c r="DJ28" s="354">
        <v>4</v>
      </c>
      <c r="DK28" s="354">
        <v>12</v>
      </c>
      <c r="DL28" s="354">
        <v>1</v>
      </c>
      <c r="DM28" s="354">
        <v>5</v>
      </c>
      <c r="DN28" s="354">
        <v>0</v>
      </c>
      <c r="DO28" s="354"/>
      <c r="DP28" s="354"/>
      <c r="DQ28" s="354"/>
      <c r="DR28" s="354"/>
      <c r="DS28" s="354"/>
      <c r="DT28" s="354"/>
      <c r="DU28" s="354"/>
      <c r="DV28" s="354"/>
      <c r="DW28" s="354"/>
      <c r="DX28" s="354"/>
      <c r="DY28" s="354"/>
      <c r="DZ28" s="354"/>
      <c r="EA28" s="354"/>
      <c r="EB28" s="354"/>
      <c r="EC28" s="354"/>
      <c r="ED28" s="354"/>
      <c r="EE28" s="354"/>
      <c r="EF28" s="354"/>
      <c r="EG28" s="354"/>
      <c r="EH28" s="354"/>
      <c r="EI28" s="354"/>
      <c r="EJ28" s="354"/>
      <c r="EK28" s="354"/>
      <c r="EL28" s="354"/>
      <c r="EM28" s="354"/>
      <c r="EN28" s="354"/>
      <c r="EO28" s="354"/>
      <c r="EP28" s="354"/>
    </row>
    <row r="29" spans="1:150" s="353" customFormat="1">
      <c r="A29" s="359" t="s">
        <v>213</v>
      </c>
      <c r="B29" s="350" t="s">
        <v>368</v>
      </c>
      <c r="C29" s="350" t="s">
        <v>367</v>
      </c>
      <c r="D29" s="353" t="s">
        <v>368</v>
      </c>
      <c r="E29" s="351"/>
      <c r="F29" s="352"/>
      <c r="G29" s="350" t="s">
        <v>496</v>
      </c>
      <c r="O29" s="354" t="s">
        <v>362</v>
      </c>
      <c r="P29" s="354" t="s">
        <v>366</v>
      </c>
      <c r="Q29" s="354"/>
      <c r="R29" s="354"/>
      <c r="S29" s="354"/>
      <c r="T29" s="354" t="s">
        <v>366</v>
      </c>
      <c r="U29" s="354"/>
      <c r="V29" s="354"/>
      <c r="W29" s="354">
        <v>74</v>
      </c>
      <c r="X29" s="354" t="s">
        <v>1085</v>
      </c>
      <c r="Y29" s="354">
        <v>74</v>
      </c>
      <c r="Z29" s="354">
        <v>70</v>
      </c>
      <c r="AA29" s="354">
        <v>82</v>
      </c>
      <c r="AB29" s="354">
        <v>65</v>
      </c>
      <c r="AC29" s="354"/>
      <c r="AD29" s="354">
        <v>55</v>
      </c>
      <c r="AE29" s="354">
        <v>90</v>
      </c>
      <c r="AF29" s="354">
        <v>74</v>
      </c>
      <c r="AG29" s="354" t="s">
        <v>491</v>
      </c>
      <c r="AH29" s="354">
        <v>74</v>
      </c>
      <c r="AI29" s="354">
        <v>0</v>
      </c>
      <c r="AJ29" s="354">
        <v>0</v>
      </c>
      <c r="AK29" s="354" t="s">
        <v>491</v>
      </c>
      <c r="AL29" s="354" t="s">
        <v>492</v>
      </c>
      <c r="AM29" s="354">
        <v>0</v>
      </c>
      <c r="AN29" s="354" t="s">
        <v>504</v>
      </c>
      <c r="AO29" s="354">
        <v>0</v>
      </c>
      <c r="AP29" s="354">
        <v>100</v>
      </c>
      <c r="AQ29" s="354" t="s">
        <v>492</v>
      </c>
      <c r="AR29" s="354" t="s">
        <v>492</v>
      </c>
      <c r="AS29" s="354">
        <v>20</v>
      </c>
      <c r="AT29" s="354">
        <v>10</v>
      </c>
      <c r="AU29" s="354">
        <v>20</v>
      </c>
      <c r="AV29" s="354" t="s">
        <v>504</v>
      </c>
      <c r="AW29" s="354">
        <v>30</v>
      </c>
      <c r="AX29" s="354">
        <v>220</v>
      </c>
      <c r="AY29" s="354">
        <v>2200</v>
      </c>
      <c r="AZ29" s="354">
        <v>220</v>
      </c>
      <c r="BA29" s="354">
        <v>2200</v>
      </c>
      <c r="BB29" s="354">
        <v>0</v>
      </c>
      <c r="BC29" s="354">
        <v>1</v>
      </c>
      <c r="BD29" s="354"/>
      <c r="BE29" s="354"/>
      <c r="BF29" s="354"/>
      <c r="BG29" s="354"/>
      <c r="BH29" s="354" t="s">
        <v>492</v>
      </c>
      <c r="BI29" s="354" t="s">
        <v>492</v>
      </c>
      <c r="BJ29" s="354" t="s">
        <v>492</v>
      </c>
      <c r="BK29" s="354" t="s">
        <v>492</v>
      </c>
      <c r="BL29" s="354" t="s">
        <v>492</v>
      </c>
      <c r="BM29" s="354" t="s">
        <v>492</v>
      </c>
      <c r="BN29" s="354"/>
      <c r="BO29" s="354">
        <v>0</v>
      </c>
      <c r="BP29" s="354">
        <v>0</v>
      </c>
      <c r="BQ29" s="354"/>
      <c r="BR29" s="354">
        <v>95</v>
      </c>
      <c r="BS29" s="354"/>
      <c r="BT29" s="354"/>
      <c r="BU29" s="354"/>
      <c r="BV29" s="354"/>
      <c r="BW29" s="354">
        <v>90</v>
      </c>
      <c r="BX29" s="354"/>
      <c r="BY29" s="211">
        <v>0</v>
      </c>
      <c r="BZ29" s="354">
        <v>0</v>
      </c>
      <c r="CA29" s="354"/>
      <c r="CB29" s="354"/>
      <c r="CC29" s="354"/>
      <c r="CD29" s="354">
        <v>20</v>
      </c>
      <c r="CE29" s="354">
        <v>0.01</v>
      </c>
      <c r="CF29" s="354">
        <v>0</v>
      </c>
      <c r="CG29" s="354">
        <v>0</v>
      </c>
      <c r="CH29" s="354">
        <v>10</v>
      </c>
      <c r="CI29" s="354">
        <v>0.01</v>
      </c>
      <c r="CJ29" s="354">
        <v>0</v>
      </c>
      <c r="CK29" s="354">
        <v>0</v>
      </c>
      <c r="CL29" s="354">
        <v>0</v>
      </c>
      <c r="CM29" s="354">
        <v>0.01</v>
      </c>
      <c r="CN29" s="354">
        <v>0</v>
      </c>
      <c r="CO29" s="354">
        <v>50</v>
      </c>
      <c r="CP29" s="354">
        <v>0</v>
      </c>
      <c r="CQ29" s="354">
        <v>220</v>
      </c>
      <c r="CR29" s="354">
        <v>2200</v>
      </c>
      <c r="CS29" s="354">
        <v>74</v>
      </c>
      <c r="CT29" s="354">
        <v>0</v>
      </c>
      <c r="CU29" s="354">
        <v>0</v>
      </c>
      <c r="CV29" s="354">
        <v>0</v>
      </c>
      <c r="CW29" s="354">
        <v>90</v>
      </c>
      <c r="CX29" s="354">
        <v>10</v>
      </c>
      <c r="CY29" s="354"/>
      <c r="CZ29" s="354">
        <v>5.2</v>
      </c>
      <c r="DA29" s="354">
        <v>10</v>
      </c>
      <c r="DB29" s="354"/>
      <c r="DC29" s="355">
        <v>1</v>
      </c>
      <c r="DD29" s="354">
        <v>10</v>
      </c>
      <c r="DE29" s="354">
        <v>1</v>
      </c>
      <c r="DF29" s="354">
        <v>0</v>
      </c>
      <c r="DG29" s="354">
        <v>74</v>
      </c>
      <c r="DH29" s="354">
        <v>0</v>
      </c>
      <c r="DI29" s="354" t="s">
        <v>491</v>
      </c>
      <c r="DJ29" s="354">
        <v>4</v>
      </c>
      <c r="DK29" s="354">
        <v>12</v>
      </c>
      <c r="DL29" s="354">
        <v>1</v>
      </c>
      <c r="DM29" s="354">
        <v>5</v>
      </c>
      <c r="DN29" s="354">
        <v>0</v>
      </c>
      <c r="DO29" s="354"/>
      <c r="DP29" s="354"/>
      <c r="DQ29" s="354"/>
      <c r="DR29" s="354"/>
      <c r="DS29" s="354"/>
      <c r="DT29" s="354"/>
      <c r="DU29" s="354"/>
      <c r="DV29" s="354"/>
      <c r="DW29" s="354"/>
      <c r="DX29" s="354"/>
      <c r="DY29" s="354"/>
      <c r="DZ29" s="354"/>
      <c r="EA29" s="354"/>
      <c r="EB29" s="354"/>
      <c r="EC29" s="354"/>
      <c r="ED29" s="354"/>
      <c r="EE29" s="354"/>
      <c r="EF29" s="354"/>
      <c r="EG29" s="354"/>
      <c r="EH29" s="354"/>
      <c r="EI29" s="354"/>
      <c r="EJ29" s="354"/>
      <c r="EK29" s="354"/>
      <c r="EL29" s="354"/>
      <c r="EM29" s="354"/>
      <c r="EN29" s="354"/>
      <c r="EO29" s="354"/>
      <c r="EP29" s="354"/>
    </row>
    <row r="30" spans="1:150" s="353" customFormat="1">
      <c r="A30" s="359" t="s">
        <v>213</v>
      </c>
      <c r="B30" s="350" t="s">
        <v>368</v>
      </c>
      <c r="C30" s="350" t="s">
        <v>367</v>
      </c>
      <c r="D30" s="353" t="s">
        <v>368</v>
      </c>
      <c r="E30" s="351"/>
      <c r="F30" s="352"/>
      <c r="G30" s="350" t="s">
        <v>795</v>
      </c>
      <c r="O30" s="354" t="s">
        <v>362</v>
      </c>
      <c r="P30" s="354" t="s">
        <v>366</v>
      </c>
      <c r="Q30" s="354"/>
      <c r="R30" s="354"/>
      <c r="S30" s="354"/>
      <c r="T30" s="354" t="s">
        <v>366</v>
      </c>
      <c r="U30" s="354"/>
      <c r="V30" s="354"/>
      <c r="W30" s="354">
        <v>74</v>
      </c>
      <c r="X30" s="354" t="s">
        <v>1085</v>
      </c>
      <c r="Y30" s="354">
        <v>74</v>
      </c>
      <c r="Z30" s="354">
        <v>70</v>
      </c>
      <c r="AA30" s="354">
        <v>82</v>
      </c>
      <c r="AB30" s="354">
        <v>65</v>
      </c>
      <c r="AC30" s="354"/>
      <c r="AD30" s="354">
        <v>55</v>
      </c>
      <c r="AE30" s="354">
        <v>90</v>
      </c>
      <c r="AF30" s="354">
        <v>74</v>
      </c>
      <c r="AG30" s="354" t="s">
        <v>491</v>
      </c>
      <c r="AH30" s="354">
        <v>74</v>
      </c>
      <c r="AI30" s="354">
        <v>0</v>
      </c>
      <c r="AJ30" s="354">
        <v>0</v>
      </c>
      <c r="AK30" s="354" t="s">
        <v>491</v>
      </c>
      <c r="AL30" s="354" t="s">
        <v>492</v>
      </c>
      <c r="AM30" s="354">
        <v>0</v>
      </c>
      <c r="AN30" s="354" t="s">
        <v>504</v>
      </c>
      <c r="AO30" s="354">
        <v>0</v>
      </c>
      <c r="AP30" s="354">
        <v>100</v>
      </c>
      <c r="AQ30" s="354" t="s">
        <v>492</v>
      </c>
      <c r="AR30" s="354" t="s">
        <v>492</v>
      </c>
      <c r="AS30" s="354">
        <v>20</v>
      </c>
      <c r="AT30" s="354">
        <v>10</v>
      </c>
      <c r="AU30" s="354">
        <v>20</v>
      </c>
      <c r="AV30" s="354" t="s">
        <v>504</v>
      </c>
      <c r="AW30" s="354">
        <v>30</v>
      </c>
      <c r="AX30" s="354">
        <v>220</v>
      </c>
      <c r="AY30" s="354">
        <v>2200</v>
      </c>
      <c r="AZ30" s="354">
        <v>220</v>
      </c>
      <c r="BA30" s="354">
        <v>2200</v>
      </c>
      <c r="BB30" s="354">
        <v>0</v>
      </c>
      <c r="BC30" s="354">
        <v>1</v>
      </c>
      <c r="BD30" s="354"/>
      <c r="BE30" s="354"/>
      <c r="BF30" s="354"/>
      <c r="BG30" s="354"/>
      <c r="BH30" s="354" t="s">
        <v>492</v>
      </c>
      <c r="BI30" s="354" t="s">
        <v>492</v>
      </c>
      <c r="BJ30" s="354" t="s">
        <v>492</v>
      </c>
      <c r="BK30" s="354" t="s">
        <v>492</v>
      </c>
      <c r="BL30" s="354" t="s">
        <v>492</v>
      </c>
      <c r="BM30" s="354" t="s">
        <v>492</v>
      </c>
      <c r="BN30" s="354"/>
      <c r="BO30" s="354">
        <v>0</v>
      </c>
      <c r="BP30" s="354">
        <v>0</v>
      </c>
      <c r="BQ30" s="354"/>
      <c r="BR30" s="354">
        <v>95</v>
      </c>
      <c r="BS30" s="354"/>
      <c r="BT30" s="354"/>
      <c r="BU30" s="354"/>
      <c r="BV30" s="354"/>
      <c r="BW30" s="354">
        <v>90</v>
      </c>
      <c r="BX30" s="354"/>
      <c r="BY30" s="211">
        <v>0</v>
      </c>
      <c r="BZ30" s="354">
        <v>0</v>
      </c>
      <c r="CA30" s="354"/>
      <c r="CB30" s="354"/>
      <c r="CC30" s="354"/>
      <c r="CD30" s="354">
        <v>20</v>
      </c>
      <c r="CE30" s="354">
        <v>0.01</v>
      </c>
      <c r="CF30" s="354">
        <v>0</v>
      </c>
      <c r="CG30" s="354">
        <v>0</v>
      </c>
      <c r="CH30" s="354">
        <v>10</v>
      </c>
      <c r="CI30" s="354">
        <v>0.01</v>
      </c>
      <c r="CJ30" s="354">
        <v>0</v>
      </c>
      <c r="CK30" s="354">
        <v>0</v>
      </c>
      <c r="CL30" s="354">
        <v>0</v>
      </c>
      <c r="CM30" s="354">
        <v>0.01</v>
      </c>
      <c r="CN30" s="354">
        <v>0</v>
      </c>
      <c r="CO30" s="354">
        <v>50</v>
      </c>
      <c r="CP30" s="354">
        <v>0</v>
      </c>
      <c r="CQ30" s="354">
        <v>220</v>
      </c>
      <c r="CR30" s="354">
        <v>2200</v>
      </c>
      <c r="CS30" s="354">
        <v>74</v>
      </c>
      <c r="CT30" s="354">
        <v>0</v>
      </c>
      <c r="CU30" s="354">
        <v>0</v>
      </c>
      <c r="CV30" s="354">
        <v>0</v>
      </c>
      <c r="CW30" s="354">
        <v>90</v>
      </c>
      <c r="CX30" s="354">
        <v>10</v>
      </c>
      <c r="CY30" s="354"/>
      <c r="CZ30" s="354">
        <v>5.2</v>
      </c>
      <c r="DA30" s="354">
        <v>10</v>
      </c>
      <c r="DB30" s="354"/>
      <c r="DC30" s="355" t="s">
        <v>795</v>
      </c>
      <c r="DD30" s="354">
        <v>10</v>
      </c>
      <c r="DE30" s="354">
        <v>1</v>
      </c>
      <c r="DF30" s="354">
        <v>0</v>
      </c>
      <c r="DG30" s="354">
        <v>74</v>
      </c>
      <c r="DH30" s="354">
        <v>0</v>
      </c>
      <c r="DI30" s="354" t="s">
        <v>491</v>
      </c>
      <c r="DJ30" s="354">
        <v>4</v>
      </c>
      <c r="DK30" s="354">
        <v>12</v>
      </c>
      <c r="DL30" s="354">
        <v>1</v>
      </c>
      <c r="DM30" s="354">
        <v>5</v>
      </c>
      <c r="DN30" s="354">
        <v>0</v>
      </c>
      <c r="DO30" s="354"/>
      <c r="DP30" s="354"/>
      <c r="DQ30" s="354"/>
      <c r="DR30" s="354"/>
      <c r="DS30" s="354"/>
      <c r="DT30" s="354"/>
      <c r="DU30" s="354"/>
      <c r="DV30" s="354"/>
      <c r="DW30" s="354"/>
      <c r="DX30" s="354"/>
      <c r="DY30" s="354"/>
      <c r="DZ30" s="354"/>
      <c r="EA30" s="354"/>
      <c r="EB30" s="354"/>
      <c r="EC30" s="354"/>
      <c r="ED30" s="354"/>
      <c r="EE30" s="354"/>
      <c r="EF30" s="354"/>
      <c r="EG30" s="354"/>
      <c r="EH30" s="354"/>
      <c r="EI30" s="354"/>
      <c r="EJ30" s="354"/>
      <c r="EK30" s="354"/>
      <c r="EL30" s="354"/>
      <c r="EM30" s="354"/>
      <c r="EN30" s="354"/>
      <c r="EO30" s="354"/>
      <c r="EP30" s="354"/>
    </row>
    <row r="31" spans="1:150" s="353" customFormat="1" ht="12.95" customHeight="1">
      <c r="A31" s="360" t="s">
        <v>215</v>
      </c>
      <c r="B31" s="350" t="s">
        <v>368</v>
      </c>
      <c r="C31" s="350" t="s">
        <v>368</v>
      </c>
      <c r="D31" s="353" t="s">
        <v>367</v>
      </c>
      <c r="E31" s="351"/>
      <c r="F31" s="352"/>
      <c r="G31" s="350"/>
      <c r="N31" s="183" t="s">
        <v>235</v>
      </c>
      <c r="O31" s="354" t="s">
        <v>362</v>
      </c>
      <c r="P31" s="354" t="s">
        <v>366</v>
      </c>
      <c r="Q31" s="354"/>
      <c r="R31" s="354"/>
      <c r="S31" s="354"/>
      <c r="T31" s="354" t="s">
        <v>366</v>
      </c>
      <c r="U31" s="354"/>
      <c r="V31" s="354"/>
      <c r="W31" s="354">
        <v>74</v>
      </c>
      <c r="X31" s="354" t="s">
        <v>1085</v>
      </c>
      <c r="Y31" s="354">
        <v>74</v>
      </c>
      <c r="Z31" s="354">
        <v>70</v>
      </c>
      <c r="AA31" s="354">
        <v>82</v>
      </c>
      <c r="AB31" s="354">
        <v>65</v>
      </c>
      <c r="AC31" s="354"/>
      <c r="AD31" s="354">
        <v>55</v>
      </c>
      <c r="AE31" s="354">
        <v>90</v>
      </c>
      <c r="AF31" s="354">
        <v>74</v>
      </c>
      <c r="AG31" s="354" t="s">
        <v>491</v>
      </c>
      <c r="AH31" s="354">
        <v>74</v>
      </c>
      <c r="AI31" s="354">
        <v>0</v>
      </c>
      <c r="AJ31" s="354">
        <v>0</v>
      </c>
      <c r="AK31" s="354" t="s">
        <v>491</v>
      </c>
      <c r="AL31" s="354" t="s">
        <v>492</v>
      </c>
      <c r="AM31" s="354">
        <v>0</v>
      </c>
      <c r="AN31" s="354" t="s">
        <v>504</v>
      </c>
      <c r="AO31" s="354">
        <v>0</v>
      </c>
      <c r="AP31" s="354">
        <v>100</v>
      </c>
      <c r="AQ31" s="354" t="s">
        <v>492</v>
      </c>
      <c r="AR31" s="354" t="s">
        <v>492</v>
      </c>
      <c r="AS31" s="354"/>
      <c r="AT31" s="354"/>
      <c r="AU31" s="354">
        <v>20</v>
      </c>
      <c r="AV31" s="354" t="s">
        <v>504</v>
      </c>
      <c r="AW31" s="354">
        <v>30</v>
      </c>
      <c r="AX31" s="354">
        <v>220</v>
      </c>
      <c r="AY31" s="354">
        <v>2200</v>
      </c>
      <c r="AZ31" s="354">
        <v>220</v>
      </c>
      <c r="BA31" s="354">
        <v>2200</v>
      </c>
      <c r="BB31" s="354">
        <v>0</v>
      </c>
      <c r="BC31" s="354">
        <v>1</v>
      </c>
      <c r="BD31" s="354"/>
      <c r="BE31" s="354"/>
      <c r="BF31" s="354"/>
      <c r="BG31" s="354"/>
      <c r="BH31" s="354" t="s">
        <v>492</v>
      </c>
      <c r="BI31" s="354" t="s">
        <v>492</v>
      </c>
      <c r="BJ31" s="354" t="s">
        <v>492</v>
      </c>
      <c r="BK31" s="354" t="s">
        <v>492</v>
      </c>
      <c r="BL31" s="354" t="s">
        <v>492</v>
      </c>
      <c r="BM31" s="354" t="s">
        <v>492</v>
      </c>
      <c r="BN31" s="354"/>
      <c r="BO31" s="354">
        <v>0</v>
      </c>
      <c r="BP31" s="354">
        <v>0</v>
      </c>
      <c r="BQ31" s="354"/>
      <c r="BR31" s="354">
        <v>95</v>
      </c>
      <c r="BS31" s="354">
        <v>0</v>
      </c>
      <c r="BT31" s="354">
        <v>0</v>
      </c>
      <c r="BU31" s="354"/>
      <c r="BV31" s="354">
        <v>130</v>
      </c>
      <c r="BW31" s="354">
        <v>90</v>
      </c>
      <c r="BX31" s="354"/>
      <c r="BY31" s="211">
        <v>0</v>
      </c>
      <c r="BZ31" s="354">
        <v>0</v>
      </c>
      <c r="CA31" s="354"/>
      <c r="CB31" s="354"/>
      <c r="CC31" s="354"/>
      <c r="CD31" s="354">
        <v>20</v>
      </c>
      <c r="CE31" s="354">
        <v>0.01</v>
      </c>
      <c r="CF31" s="354">
        <v>0</v>
      </c>
      <c r="CG31" s="354">
        <v>0</v>
      </c>
      <c r="CH31" s="354">
        <v>10</v>
      </c>
      <c r="CI31" s="354">
        <v>0.01</v>
      </c>
      <c r="CJ31" s="354">
        <v>0</v>
      </c>
      <c r="CK31" s="354">
        <v>0</v>
      </c>
      <c r="CL31" s="354">
        <v>0</v>
      </c>
      <c r="CM31" s="354">
        <v>0.01</v>
      </c>
      <c r="CN31" s="354">
        <v>0</v>
      </c>
      <c r="CO31" s="354">
        <v>50</v>
      </c>
      <c r="CP31" s="354">
        <v>0</v>
      </c>
      <c r="CQ31" s="354">
        <v>220</v>
      </c>
      <c r="CR31" s="354">
        <v>2200</v>
      </c>
      <c r="CS31" s="354">
        <v>74</v>
      </c>
      <c r="CT31" s="354">
        <v>0</v>
      </c>
      <c r="CU31" s="354">
        <v>0</v>
      </c>
      <c r="CV31" s="354"/>
      <c r="CW31" s="354"/>
      <c r="CX31" s="354">
        <v>10</v>
      </c>
      <c r="CY31" s="354"/>
      <c r="CZ31" s="354">
        <v>5.2</v>
      </c>
      <c r="DA31" s="354">
        <v>10</v>
      </c>
      <c r="DB31" s="354"/>
      <c r="DC31" s="355"/>
      <c r="DD31" s="354"/>
      <c r="DE31" s="354">
        <v>1</v>
      </c>
      <c r="DF31" s="354">
        <v>0</v>
      </c>
      <c r="DG31" s="354">
        <v>74</v>
      </c>
      <c r="DH31" s="354">
        <v>0</v>
      </c>
      <c r="DI31" s="354" t="s">
        <v>491</v>
      </c>
      <c r="DJ31" s="354">
        <v>4</v>
      </c>
      <c r="DK31" s="354">
        <v>12</v>
      </c>
      <c r="DL31" s="354">
        <v>1</v>
      </c>
      <c r="DM31" s="354">
        <v>5</v>
      </c>
      <c r="DN31" s="354">
        <v>0</v>
      </c>
      <c r="DO31" s="354"/>
      <c r="DP31" s="354"/>
      <c r="DQ31" s="354"/>
      <c r="DR31" s="354"/>
      <c r="DS31" s="354"/>
      <c r="DT31" s="354"/>
      <c r="DU31" s="354"/>
      <c r="DV31" s="354"/>
      <c r="DW31" s="354"/>
      <c r="DX31" s="354"/>
      <c r="DY31" s="354"/>
      <c r="DZ31" s="354"/>
      <c r="EA31" s="354"/>
      <c r="EB31" s="354"/>
      <c r="EC31" s="354"/>
      <c r="ED31" s="354"/>
      <c r="EE31" s="354"/>
      <c r="EF31" s="354"/>
      <c r="EG31" s="354"/>
      <c r="EH31" s="354"/>
      <c r="EI31" s="354"/>
      <c r="EJ31" s="354"/>
      <c r="EK31" s="354"/>
      <c r="EL31" s="354"/>
      <c r="EM31" s="354"/>
      <c r="EN31" s="354"/>
      <c r="EO31" s="354"/>
      <c r="EP31" s="354"/>
    </row>
    <row r="32" spans="1:150" s="353" customFormat="1" ht="12.95" customHeight="1">
      <c r="A32" s="360" t="s">
        <v>215</v>
      </c>
      <c r="B32" s="350" t="s">
        <v>368</v>
      </c>
      <c r="C32" s="350" t="s">
        <v>367</v>
      </c>
      <c r="D32" s="353" t="s">
        <v>367</v>
      </c>
      <c r="E32" s="351"/>
      <c r="F32" s="352"/>
      <c r="G32" s="350"/>
      <c r="O32" s="354" t="s">
        <v>362</v>
      </c>
      <c r="P32" s="354" t="s">
        <v>366</v>
      </c>
      <c r="Q32" s="354"/>
      <c r="R32" s="354"/>
      <c r="S32" s="354"/>
      <c r="T32" s="354" t="s">
        <v>366</v>
      </c>
      <c r="U32" s="354"/>
      <c r="V32" s="354"/>
      <c r="W32" s="354">
        <v>74</v>
      </c>
      <c r="X32" s="354" t="s">
        <v>1085</v>
      </c>
      <c r="Y32" s="354">
        <v>74</v>
      </c>
      <c r="Z32" s="354">
        <v>70</v>
      </c>
      <c r="AA32" s="354">
        <v>82</v>
      </c>
      <c r="AB32" s="354">
        <v>65</v>
      </c>
      <c r="AC32" s="354"/>
      <c r="AD32" s="354">
        <v>55</v>
      </c>
      <c r="AE32" s="354">
        <v>90</v>
      </c>
      <c r="AF32" s="354">
        <v>74</v>
      </c>
      <c r="AG32" s="354" t="s">
        <v>491</v>
      </c>
      <c r="AH32" s="354">
        <v>74</v>
      </c>
      <c r="AI32" s="354">
        <v>0</v>
      </c>
      <c r="AJ32" s="354">
        <v>0</v>
      </c>
      <c r="AK32" s="354" t="s">
        <v>491</v>
      </c>
      <c r="AL32" s="354" t="s">
        <v>492</v>
      </c>
      <c r="AM32" s="354">
        <v>0</v>
      </c>
      <c r="AN32" s="354" t="s">
        <v>504</v>
      </c>
      <c r="AO32" s="354">
        <v>0</v>
      </c>
      <c r="AP32" s="354">
        <v>100</v>
      </c>
      <c r="AQ32" s="354" t="s">
        <v>492</v>
      </c>
      <c r="AR32" s="354" t="s">
        <v>492</v>
      </c>
      <c r="AS32" s="354"/>
      <c r="AT32" s="354"/>
      <c r="AU32" s="354">
        <v>20</v>
      </c>
      <c r="AV32" s="354" t="s">
        <v>504</v>
      </c>
      <c r="AW32" s="354">
        <v>30</v>
      </c>
      <c r="AX32" s="354">
        <v>220</v>
      </c>
      <c r="AY32" s="354">
        <v>2200</v>
      </c>
      <c r="AZ32" s="354">
        <v>220</v>
      </c>
      <c r="BA32" s="354">
        <v>2200</v>
      </c>
      <c r="BB32" s="354">
        <v>0</v>
      </c>
      <c r="BC32" s="354">
        <v>1</v>
      </c>
      <c r="BD32" s="354"/>
      <c r="BE32" s="354"/>
      <c r="BF32" s="354"/>
      <c r="BG32" s="354"/>
      <c r="BH32" s="354" t="s">
        <v>492</v>
      </c>
      <c r="BI32" s="354" t="s">
        <v>492</v>
      </c>
      <c r="BJ32" s="354" t="s">
        <v>492</v>
      </c>
      <c r="BK32" s="354" t="s">
        <v>492</v>
      </c>
      <c r="BL32" s="354" t="s">
        <v>492</v>
      </c>
      <c r="BM32" s="354" t="s">
        <v>492</v>
      </c>
      <c r="BN32" s="354"/>
      <c r="BO32" s="354">
        <v>0</v>
      </c>
      <c r="BP32" s="354">
        <v>0</v>
      </c>
      <c r="BQ32" s="354"/>
      <c r="BR32" s="354">
        <v>95</v>
      </c>
      <c r="BS32" s="354">
        <v>0</v>
      </c>
      <c r="BT32" s="354">
        <v>0</v>
      </c>
      <c r="BU32" s="354"/>
      <c r="BV32" s="354">
        <v>130</v>
      </c>
      <c r="BW32" s="354">
        <v>90</v>
      </c>
      <c r="BX32" s="354"/>
      <c r="BY32" s="211">
        <v>0</v>
      </c>
      <c r="BZ32" s="354">
        <v>0</v>
      </c>
      <c r="CA32" s="354"/>
      <c r="CB32" s="354"/>
      <c r="CC32" s="354"/>
      <c r="CD32" s="354">
        <v>20</v>
      </c>
      <c r="CE32" s="354">
        <v>0.01</v>
      </c>
      <c r="CF32" s="354">
        <v>0</v>
      </c>
      <c r="CG32" s="354">
        <v>0</v>
      </c>
      <c r="CH32" s="354">
        <v>10</v>
      </c>
      <c r="CI32" s="354">
        <v>0.01</v>
      </c>
      <c r="CJ32" s="354">
        <v>0</v>
      </c>
      <c r="CK32" s="354">
        <v>0</v>
      </c>
      <c r="CL32" s="354">
        <v>0</v>
      </c>
      <c r="CM32" s="354">
        <v>0.01</v>
      </c>
      <c r="CN32" s="354">
        <v>0</v>
      </c>
      <c r="CO32" s="354">
        <v>50</v>
      </c>
      <c r="CP32" s="354">
        <v>0</v>
      </c>
      <c r="CQ32" s="354">
        <v>220</v>
      </c>
      <c r="CR32" s="354">
        <v>2200</v>
      </c>
      <c r="CS32" s="354">
        <v>74</v>
      </c>
      <c r="CT32" s="354">
        <v>0</v>
      </c>
      <c r="CU32" s="354">
        <v>0</v>
      </c>
      <c r="CV32" s="354"/>
      <c r="CW32" s="354"/>
      <c r="CX32" s="354">
        <v>10</v>
      </c>
      <c r="CY32" s="354"/>
      <c r="CZ32" s="354">
        <v>5.2</v>
      </c>
      <c r="DA32" s="354">
        <v>10</v>
      </c>
      <c r="DB32" s="354"/>
      <c r="DC32" s="355"/>
      <c r="DD32" s="354"/>
      <c r="DE32" s="354">
        <v>1</v>
      </c>
      <c r="DF32" s="354">
        <v>0</v>
      </c>
      <c r="DG32" s="354">
        <v>74</v>
      </c>
      <c r="DH32" s="354">
        <v>0</v>
      </c>
      <c r="DI32" s="354" t="s">
        <v>491</v>
      </c>
      <c r="DJ32" s="354">
        <v>4</v>
      </c>
      <c r="DK32" s="354">
        <v>12</v>
      </c>
      <c r="DL32" s="354">
        <v>1</v>
      </c>
      <c r="DM32" s="354">
        <v>5</v>
      </c>
      <c r="DN32" s="354">
        <v>0</v>
      </c>
      <c r="DO32" s="354"/>
      <c r="DP32" s="354"/>
      <c r="DQ32" s="354"/>
      <c r="DR32" s="354"/>
      <c r="DS32" s="354"/>
      <c r="DT32" s="354"/>
      <c r="DU32" s="354"/>
      <c r="DV32" s="354"/>
      <c r="DW32" s="354"/>
      <c r="DX32" s="354"/>
      <c r="DY32" s="354"/>
      <c r="DZ32" s="354"/>
      <c r="EA32" s="354"/>
      <c r="EB32" s="354"/>
      <c r="EC32" s="354"/>
      <c r="ED32" s="354"/>
      <c r="EE32" s="354"/>
      <c r="EF32" s="354"/>
      <c r="EG32" s="354"/>
      <c r="EH32" s="354"/>
      <c r="EI32" s="354"/>
      <c r="EJ32" s="354"/>
      <c r="EK32" s="354"/>
      <c r="EL32" s="354"/>
      <c r="EM32" s="354"/>
      <c r="EN32" s="354"/>
      <c r="EO32" s="354"/>
      <c r="EP32" s="354"/>
    </row>
    <row r="33" spans="1:150" s="353" customFormat="1" ht="12.95" customHeight="1">
      <c r="A33" s="360" t="s">
        <v>215</v>
      </c>
      <c r="B33" s="350" t="s">
        <v>368</v>
      </c>
      <c r="C33" s="350" t="s">
        <v>368</v>
      </c>
      <c r="D33" s="353" t="s">
        <v>368</v>
      </c>
      <c r="E33" s="351"/>
      <c r="F33" s="352"/>
      <c r="G33" s="350"/>
      <c r="O33" s="354" t="s">
        <v>362</v>
      </c>
      <c r="P33" s="354" t="s">
        <v>366</v>
      </c>
      <c r="Q33" s="354"/>
      <c r="R33" s="354"/>
      <c r="S33" s="354"/>
      <c r="T33" s="354" t="s">
        <v>366</v>
      </c>
      <c r="U33" s="354"/>
      <c r="V33" s="354"/>
      <c r="W33" s="354">
        <v>74</v>
      </c>
      <c r="X33" s="354" t="s">
        <v>1085</v>
      </c>
      <c r="Y33" s="354">
        <v>74</v>
      </c>
      <c r="Z33" s="354">
        <v>70</v>
      </c>
      <c r="AA33" s="354">
        <v>82</v>
      </c>
      <c r="AB33" s="354">
        <v>65</v>
      </c>
      <c r="AC33" s="354"/>
      <c r="AD33" s="354">
        <v>55</v>
      </c>
      <c r="AE33" s="354">
        <v>90</v>
      </c>
      <c r="AF33" s="354">
        <v>74</v>
      </c>
      <c r="AG33" s="354" t="s">
        <v>491</v>
      </c>
      <c r="AH33" s="354">
        <v>74</v>
      </c>
      <c r="AI33" s="354">
        <v>0</v>
      </c>
      <c r="AJ33" s="354">
        <v>0</v>
      </c>
      <c r="AK33" s="354" t="s">
        <v>491</v>
      </c>
      <c r="AL33" s="354" t="s">
        <v>492</v>
      </c>
      <c r="AM33" s="354">
        <v>0</v>
      </c>
      <c r="AN33" s="354" t="s">
        <v>504</v>
      </c>
      <c r="AO33" s="354">
        <v>0</v>
      </c>
      <c r="AP33" s="354">
        <v>100</v>
      </c>
      <c r="AQ33" s="354" t="s">
        <v>492</v>
      </c>
      <c r="AR33" s="354" t="s">
        <v>492</v>
      </c>
      <c r="AS33" s="354"/>
      <c r="AT33" s="354"/>
      <c r="AU33" s="354">
        <v>20</v>
      </c>
      <c r="AV33" s="354" t="s">
        <v>504</v>
      </c>
      <c r="AW33" s="354">
        <v>30</v>
      </c>
      <c r="AX33" s="354">
        <v>220</v>
      </c>
      <c r="AY33" s="354">
        <v>2200</v>
      </c>
      <c r="AZ33" s="354">
        <v>220</v>
      </c>
      <c r="BA33" s="354">
        <v>2200</v>
      </c>
      <c r="BB33" s="354">
        <v>0</v>
      </c>
      <c r="BC33" s="354">
        <v>1</v>
      </c>
      <c r="BD33" s="354"/>
      <c r="BE33" s="354"/>
      <c r="BF33" s="354"/>
      <c r="BG33" s="354"/>
      <c r="BH33" s="354" t="s">
        <v>492</v>
      </c>
      <c r="BI33" s="354" t="s">
        <v>492</v>
      </c>
      <c r="BJ33" s="354" t="s">
        <v>492</v>
      </c>
      <c r="BK33" s="354" t="s">
        <v>492</v>
      </c>
      <c r="BL33" s="354" t="s">
        <v>492</v>
      </c>
      <c r="BM33" s="354" t="s">
        <v>492</v>
      </c>
      <c r="BN33" s="354"/>
      <c r="BO33" s="354">
        <v>0</v>
      </c>
      <c r="BP33" s="354">
        <v>0</v>
      </c>
      <c r="BQ33" s="354"/>
      <c r="BR33" s="354">
        <v>95</v>
      </c>
      <c r="BS33" s="354">
        <v>0</v>
      </c>
      <c r="BT33" s="354">
        <v>0</v>
      </c>
      <c r="BU33" s="354"/>
      <c r="BV33" s="354">
        <v>130</v>
      </c>
      <c r="BW33" s="354">
        <v>90</v>
      </c>
      <c r="BX33" s="354"/>
      <c r="BY33" s="211">
        <v>0</v>
      </c>
      <c r="BZ33" s="354">
        <v>0</v>
      </c>
      <c r="CA33" s="354"/>
      <c r="CB33" s="354"/>
      <c r="CC33" s="354"/>
      <c r="CD33" s="354">
        <v>20</v>
      </c>
      <c r="CE33" s="354">
        <v>0.01</v>
      </c>
      <c r="CF33" s="354">
        <v>0</v>
      </c>
      <c r="CG33" s="354">
        <v>0</v>
      </c>
      <c r="CH33" s="354">
        <v>10</v>
      </c>
      <c r="CI33" s="354">
        <v>0.01</v>
      </c>
      <c r="CJ33" s="354">
        <v>0</v>
      </c>
      <c r="CK33" s="354">
        <v>0</v>
      </c>
      <c r="CL33" s="354">
        <v>0</v>
      </c>
      <c r="CM33" s="354">
        <v>0.01</v>
      </c>
      <c r="CN33" s="354">
        <v>0</v>
      </c>
      <c r="CO33" s="354">
        <v>50</v>
      </c>
      <c r="CP33" s="354">
        <v>0</v>
      </c>
      <c r="CQ33" s="354">
        <v>220</v>
      </c>
      <c r="CR33" s="354">
        <v>2200</v>
      </c>
      <c r="CS33" s="354">
        <v>74</v>
      </c>
      <c r="CT33" s="354">
        <v>0</v>
      </c>
      <c r="CU33" s="354">
        <v>0</v>
      </c>
      <c r="CV33" s="354"/>
      <c r="CW33" s="354"/>
      <c r="CX33" s="354">
        <v>10</v>
      </c>
      <c r="CY33" s="354"/>
      <c r="CZ33" s="354">
        <v>5.2</v>
      </c>
      <c r="DA33" s="354">
        <v>10</v>
      </c>
      <c r="DB33" s="354"/>
      <c r="DC33" s="355"/>
      <c r="DD33" s="354"/>
      <c r="DE33" s="354">
        <v>1</v>
      </c>
      <c r="DF33" s="354">
        <v>0</v>
      </c>
      <c r="DG33" s="354">
        <v>74</v>
      </c>
      <c r="DH33" s="354">
        <v>0</v>
      </c>
      <c r="DI33" s="354" t="s">
        <v>491</v>
      </c>
      <c r="DJ33" s="354">
        <v>4</v>
      </c>
      <c r="DK33" s="354">
        <v>12</v>
      </c>
      <c r="DL33" s="354">
        <v>1</v>
      </c>
      <c r="DM33" s="354">
        <v>5</v>
      </c>
      <c r="DN33" s="354">
        <v>0</v>
      </c>
      <c r="DO33" s="354"/>
      <c r="DP33" s="354"/>
      <c r="DQ33" s="354"/>
      <c r="DR33" s="354"/>
      <c r="DS33" s="354"/>
      <c r="DT33" s="354"/>
      <c r="DU33" s="354"/>
      <c r="DV33" s="354"/>
      <c r="DW33" s="354"/>
      <c r="DX33" s="354"/>
      <c r="DY33" s="354"/>
      <c r="DZ33" s="354"/>
      <c r="EA33" s="354"/>
      <c r="EB33" s="354"/>
      <c r="EC33" s="354"/>
      <c r="ED33" s="354"/>
      <c r="EE33" s="354"/>
      <c r="EF33" s="354"/>
      <c r="EG33" s="354"/>
      <c r="EH33" s="354"/>
      <c r="EI33" s="354"/>
      <c r="EJ33" s="354"/>
      <c r="EK33" s="354"/>
      <c r="EL33" s="354"/>
      <c r="EM33" s="354"/>
      <c r="EN33" s="354"/>
      <c r="EO33" s="354"/>
      <c r="EP33" s="354"/>
    </row>
    <row r="34" spans="1:150" s="353" customFormat="1" ht="12.95" customHeight="1">
      <c r="A34" s="360" t="s">
        <v>215</v>
      </c>
      <c r="B34" s="350" t="s">
        <v>368</v>
      </c>
      <c r="C34" s="350" t="s">
        <v>367</v>
      </c>
      <c r="D34" s="353" t="s">
        <v>368</v>
      </c>
      <c r="E34" s="351"/>
      <c r="F34" s="352"/>
      <c r="G34" s="350"/>
      <c r="O34" s="354" t="s">
        <v>362</v>
      </c>
      <c r="P34" s="354" t="s">
        <v>366</v>
      </c>
      <c r="Q34" s="354"/>
      <c r="R34" s="354"/>
      <c r="S34" s="354"/>
      <c r="T34" s="354" t="s">
        <v>366</v>
      </c>
      <c r="U34" s="354"/>
      <c r="V34" s="354"/>
      <c r="W34" s="354">
        <v>74</v>
      </c>
      <c r="X34" s="354" t="s">
        <v>1085</v>
      </c>
      <c r="Y34" s="354">
        <v>74</v>
      </c>
      <c r="Z34" s="354">
        <v>70</v>
      </c>
      <c r="AA34" s="354">
        <v>82</v>
      </c>
      <c r="AB34" s="354">
        <v>65</v>
      </c>
      <c r="AC34" s="354"/>
      <c r="AD34" s="354">
        <v>55</v>
      </c>
      <c r="AE34" s="354">
        <v>90</v>
      </c>
      <c r="AF34" s="354">
        <v>74</v>
      </c>
      <c r="AG34" s="354" t="s">
        <v>491</v>
      </c>
      <c r="AH34" s="354">
        <v>74</v>
      </c>
      <c r="AI34" s="354">
        <v>0</v>
      </c>
      <c r="AJ34" s="354">
        <v>0</v>
      </c>
      <c r="AK34" s="354" t="s">
        <v>491</v>
      </c>
      <c r="AL34" s="354" t="s">
        <v>492</v>
      </c>
      <c r="AM34" s="354">
        <v>0</v>
      </c>
      <c r="AN34" s="354" t="s">
        <v>504</v>
      </c>
      <c r="AO34" s="354">
        <v>0</v>
      </c>
      <c r="AP34" s="354">
        <v>100</v>
      </c>
      <c r="AQ34" s="354" t="s">
        <v>492</v>
      </c>
      <c r="AR34" s="354" t="s">
        <v>492</v>
      </c>
      <c r="AS34" s="354"/>
      <c r="AT34" s="354"/>
      <c r="AU34" s="354">
        <v>20</v>
      </c>
      <c r="AV34" s="354" t="s">
        <v>504</v>
      </c>
      <c r="AW34" s="354">
        <v>30</v>
      </c>
      <c r="AX34" s="354">
        <v>220</v>
      </c>
      <c r="AY34" s="354">
        <v>2200</v>
      </c>
      <c r="AZ34" s="354">
        <v>220</v>
      </c>
      <c r="BA34" s="354">
        <v>2200</v>
      </c>
      <c r="BB34" s="354">
        <v>0</v>
      </c>
      <c r="BC34" s="354">
        <v>1</v>
      </c>
      <c r="BD34" s="354"/>
      <c r="BE34" s="354"/>
      <c r="BF34" s="354"/>
      <c r="BG34" s="354"/>
      <c r="BH34" s="354" t="s">
        <v>492</v>
      </c>
      <c r="BI34" s="354" t="s">
        <v>492</v>
      </c>
      <c r="BJ34" s="354" t="s">
        <v>492</v>
      </c>
      <c r="BK34" s="354" t="s">
        <v>492</v>
      </c>
      <c r="BL34" s="354" t="s">
        <v>492</v>
      </c>
      <c r="BM34" s="354" t="s">
        <v>492</v>
      </c>
      <c r="BN34" s="354"/>
      <c r="BO34" s="354">
        <v>0</v>
      </c>
      <c r="BP34" s="354">
        <v>0</v>
      </c>
      <c r="BQ34" s="354"/>
      <c r="BR34" s="354">
        <v>95</v>
      </c>
      <c r="BS34" s="354">
        <v>0</v>
      </c>
      <c r="BT34" s="354">
        <v>0</v>
      </c>
      <c r="BU34" s="354"/>
      <c r="BV34" s="354">
        <v>130</v>
      </c>
      <c r="BW34" s="354">
        <v>90</v>
      </c>
      <c r="BX34" s="354"/>
      <c r="BY34" s="211">
        <v>0</v>
      </c>
      <c r="BZ34" s="354">
        <v>0</v>
      </c>
      <c r="CA34" s="354"/>
      <c r="CB34" s="354"/>
      <c r="CC34" s="354"/>
      <c r="CD34" s="354">
        <v>20</v>
      </c>
      <c r="CE34" s="354">
        <v>0.01</v>
      </c>
      <c r="CF34" s="354">
        <v>0</v>
      </c>
      <c r="CG34" s="354">
        <v>0</v>
      </c>
      <c r="CH34" s="354">
        <v>10</v>
      </c>
      <c r="CI34" s="354">
        <v>0.01</v>
      </c>
      <c r="CJ34" s="354">
        <v>0</v>
      </c>
      <c r="CK34" s="354">
        <v>0</v>
      </c>
      <c r="CL34" s="354">
        <v>0</v>
      </c>
      <c r="CM34" s="354">
        <v>0.01</v>
      </c>
      <c r="CN34" s="354">
        <v>0</v>
      </c>
      <c r="CO34" s="354">
        <v>50</v>
      </c>
      <c r="CP34" s="354">
        <v>0</v>
      </c>
      <c r="CQ34" s="354">
        <v>220</v>
      </c>
      <c r="CR34" s="354">
        <v>2200</v>
      </c>
      <c r="CS34" s="354">
        <v>74</v>
      </c>
      <c r="CT34" s="354">
        <v>0</v>
      </c>
      <c r="CU34" s="354">
        <v>0</v>
      </c>
      <c r="CV34" s="354"/>
      <c r="CW34" s="354"/>
      <c r="CX34" s="354">
        <v>10</v>
      </c>
      <c r="CY34" s="354"/>
      <c r="CZ34" s="354">
        <v>5.2</v>
      </c>
      <c r="DA34" s="354">
        <v>10</v>
      </c>
      <c r="DB34" s="354"/>
      <c r="DC34" s="355"/>
      <c r="DD34" s="354"/>
      <c r="DE34" s="354">
        <v>1</v>
      </c>
      <c r="DF34" s="354">
        <v>0</v>
      </c>
      <c r="DG34" s="354">
        <v>74</v>
      </c>
      <c r="DH34" s="354">
        <v>0</v>
      </c>
      <c r="DI34" s="354" t="s">
        <v>491</v>
      </c>
      <c r="DJ34" s="354">
        <v>4</v>
      </c>
      <c r="DK34" s="354">
        <v>12</v>
      </c>
      <c r="DL34" s="354">
        <v>1</v>
      </c>
      <c r="DM34" s="354">
        <v>5</v>
      </c>
      <c r="DN34" s="354">
        <v>0</v>
      </c>
      <c r="DO34" s="354"/>
      <c r="DP34" s="354"/>
      <c r="DQ34" s="354"/>
      <c r="DR34" s="354"/>
      <c r="DS34" s="354"/>
      <c r="DT34" s="354"/>
      <c r="DU34" s="354"/>
      <c r="DV34" s="354"/>
      <c r="DW34" s="354"/>
      <c r="DX34" s="354"/>
      <c r="DY34" s="354"/>
      <c r="DZ34" s="354"/>
      <c r="EA34" s="354"/>
      <c r="EB34" s="354"/>
      <c r="EC34" s="354"/>
      <c r="ED34" s="354"/>
      <c r="EE34" s="354"/>
      <c r="EF34" s="354"/>
      <c r="EG34" s="354"/>
      <c r="EH34" s="354"/>
      <c r="EI34" s="354"/>
      <c r="EJ34" s="354"/>
      <c r="EK34" s="354"/>
      <c r="EL34" s="354"/>
      <c r="EM34" s="354"/>
      <c r="EN34" s="354"/>
      <c r="EO34" s="354"/>
      <c r="EP34" s="354"/>
    </row>
    <row r="35" spans="1:150" s="353" customFormat="1">
      <c r="A35" s="360" t="s">
        <v>216</v>
      </c>
      <c r="B35" s="350" t="s">
        <v>367</v>
      </c>
      <c r="C35" s="350" t="s">
        <v>368</v>
      </c>
      <c r="D35" s="353" t="s">
        <v>368</v>
      </c>
      <c r="E35" s="351"/>
      <c r="F35" s="352"/>
      <c r="G35" s="350" t="s">
        <v>496</v>
      </c>
      <c r="N35" s="183" t="s">
        <v>236</v>
      </c>
      <c r="O35" s="354" t="s">
        <v>362</v>
      </c>
      <c r="P35" s="354" t="s">
        <v>366</v>
      </c>
      <c r="Q35" s="354"/>
      <c r="R35" s="354"/>
      <c r="S35" s="354"/>
      <c r="T35" s="354" t="s">
        <v>366</v>
      </c>
      <c r="U35" s="354"/>
      <c r="V35" s="354"/>
      <c r="W35" s="354">
        <v>74</v>
      </c>
      <c r="X35" s="354" t="s">
        <v>1085</v>
      </c>
      <c r="Y35" s="354">
        <v>70</v>
      </c>
      <c r="Z35" s="354">
        <v>70</v>
      </c>
      <c r="AA35" s="354">
        <v>65</v>
      </c>
      <c r="AB35" s="354">
        <v>65</v>
      </c>
      <c r="AC35" s="354"/>
      <c r="AD35" s="354">
        <v>55</v>
      </c>
      <c r="AE35" s="354">
        <v>90</v>
      </c>
      <c r="AF35" s="354">
        <v>74</v>
      </c>
      <c r="AG35" s="354" t="s">
        <v>491</v>
      </c>
      <c r="AH35" s="354">
        <v>74</v>
      </c>
      <c r="AI35" s="354"/>
      <c r="AJ35" s="354"/>
      <c r="AK35" s="354" t="s">
        <v>491</v>
      </c>
      <c r="AL35" s="354" t="s">
        <v>492</v>
      </c>
      <c r="AM35" s="354">
        <v>0</v>
      </c>
      <c r="AN35" s="354" t="s">
        <v>1087</v>
      </c>
      <c r="AO35" s="354"/>
      <c r="AP35" s="354"/>
      <c r="AQ35" s="354" t="s">
        <v>492</v>
      </c>
      <c r="AR35" s="354" t="s">
        <v>492</v>
      </c>
      <c r="AS35" s="354"/>
      <c r="AT35" s="354"/>
      <c r="AU35" s="354"/>
      <c r="AV35" s="354" t="s">
        <v>1087</v>
      </c>
      <c r="AW35" s="354"/>
      <c r="AX35" s="354">
        <v>220</v>
      </c>
      <c r="AY35" s="354">
        <v>2200</v>
      </c>
      <c r="AZ35" s="354"/>
      <c r="BA35" s="354"/>
      <c r="BB35" s="354">
        <v>0</v>
      </c>
      <c r="BC35" s="354">
        <v>1</v>
      </c>
      <c r="BD35" s="354"/>
      <c r="BE35" s="354"/>
      <c r="BF35" s="354"/>
      <c r="BG35" s="354" t="s">
        <v>1088</v>
      </c>
      <c r="BH35" s="354" t="s">
        <v>492</v>
      </c>
      <c r="BI35" s="354" t="s">
        <v>492</v>
      </c>
      <c r="BJ35" s="354" t="s">
        <v>492</v>
      </c>
      <c r="BK35" s="354" t="s">
        <v>492</v>
      </c>
      <c r="BL35" s="354" t="s">
        <v>492</v>
      </c>
      <c r="BM35" s="354" t="s">
        <v>492</v>
      </c>
      <c r="BN35" s="354"/>
      <c r="BO35" s="354">
        <v>0</v>
      </c>
      <c r="BP35" s="354">
        <v>0</v>
      </c>
      <c r="BQ35" s="354"/>
      <c r="BR35" s="354">
        <v>95</v>
      </c>
      <c r="BS35" s="354"/>
      <c r="BT35" s="354"/>
      <c r="BU35" s="354"/>
      <c r="BV35" s="354"/>
      <c r="BW35" s="354">
        <v>90</v>
      </c>
      <c r="BX35" s="354"/>
      <c r="BY35" s="211">
        <v>0</v>
      </c>
      <c r="BZ35" s="354">
        <v>0</v>
      </c>
      <c r="CA35" s="354">
        <v>20</v>
      </c>
      <c r="CB35" s="354"/>
      <c r="CC35" s="354"/>
      <c r="CD35" s="354"/>
      <c r="CE35" s="354"/>
      <c r="CF35" s="354"/>
      <c r="CG35" s="354"/>
      <c r="CH35" s="354">
        <v>10</v>
      </c>
      <c r="CI35" s="354">
        <v>1.2E-2</v>
      </c>
      <c r="CJ35" s="354">
        <v>0</v>
      </c>
      <c r="CK35" s="354">
        <v>0</v>
      </c>
      <c r="CL35" s="354">
        <v>0.25</v>
      </c>
      <c r="CM35" s="354">
        <v>1.7999999999999999E-2</v>
      </c>
      <c r="CN35" s="354">
        <v>0</v>
      </c>
      <c r="CO35" s="354">
        <v>50</v>
      </c>
      <c r="CP35" s="354">
        <v>0</v>
      </c>
      <c r="CQ35" s="354"/>
      <c r="CR35" s="354"/>
      <c r="CS35" s="354">
        <v>74</v>
      </c>
      <c r="CT35" s="354"/>
      <c r="CU35" s="354">
        <v>0</v>
      </c>
      <c r="CV35" s="354">
        <v>0</v>
      </c>
      <c r="CW35" s="354">
        <v>90</v>
      </c>
      <c r="CX35" s="354">
        <v>10</v>
      </c>
      <c r="CY35" s="354" t="s">
        <v>499</v>
      </c>
      <c r="CZ35" s="354"/>
      <c r="DA35" s="354"/>
      <c r="DB35" s="354" t="s">
        <v>491</v>
      </c>
      <c r="DC35" s="355" t="s">
        <v>496</v>
      </c>
      <c r="DD35" s="354">
        <v>10</v>
      </c>
      <c r="DE35" s="354"/>
      <c r="DF35" s="354">
        <v>0</v>
      </c>
      <c r="DG35" s="354">
        <v>74</v>
      </c>
      <c r="DH35" s="354">
        <v>0</v>
      </c>
      <c r="DI35" s="354" t="s">
        <v>491</v>
      </c>
      <c r="DJ35" s="354">
        <v>4</v>
      </c>
      <c r="DK35" s="354">
        <v>12</v>
      </c>
      <c r="DL35" s="354">
        <v>1</v>
      </c>
      <c r="DM35" s="354">
        <v>5</v>
      </c>
      <c r="DN35" s="354">
        <v>0</v>
      </c>
      <c r="DO35" s="354"/>
      <c r="DP35" s="354"/>
      <c r="DQ35" s="354"/>
      <c r="DR35" s="354"/>
      <c r="DS35" s="354"/>
      <c r="DT35" s="354"/>
      <c r="DU35" s="354"/>
      <c r="DV35" s="354"/>
      <c r="DW35" s="354"/>
      <c r="DX35" s="354"/>
      <c r="DY35" s="354"/>
      <c r="DZ35" s="354"/>
      <c r="EA35" s="354"/>
      <c r="EB35" s="354"/>
      <c r="EC35" s="354"/>
      <c r="ED35" s="354"/>
      <c r="EE35" s="354"/>
      <c r="EF35" s="354"/>
      <c r="EG35" s="354"/>
      <c r="EH35" s="354"/>
      <c r="EI35" s="354"/>
      <c r="EJ35" s="354"/>
      <c r="EK35" s="354"/>
      <c r="EL35" s="354"/>
      <c r="EM35" s="354"/>
      <c r="EN35" s="354"/>
      <c r="EO35" s="354"/>
      <c r="EP35" s="354"/>
    </row>
    <row r="36" spans="1:150" s="353" customFormat="1">
      <c r="A36" s="360" t="s">
        <v>216</v>
      </c>
      <c r="B36" s="350" t="s">
        <v>367</v>
      </c>
      <c r="C36" s="350" t="s">
        <v>368</v>
      </c>
      <c r="D36" s="353" t="s">
        <v>368</v>
      </c>
      <c r="E36" s="351"/>
      <c r="F36" s="352"/>
      <c r="G36" s="350" t="s">
        <v>795</v>
      </c>
      <c r="O36" s="354" t="s">
        <v>362</v>
      </c>
      <c r="P36" s="354" t="s">
        <v>366</v>
      </c>
      <c r="Q36" s="354"/>
      <c r="R36" s="354"/>
      <c r="S36" s="354"/>
      <c r="T36" s="354" t="s">
        <v>366</v>
      </c>
      <c r="U36" s="354"/>
      <c r="V36" s="354"/>
      <c r="W36" s="354">
        <v>74</v>
      </c>
      <c r="X36" s="354" t="s">
        <v>1085</v>
      </c>
      <c r="Y36" s="354">
        <v>70</v>
      </c>
      <c r="Z36" s="354">
        <v>70</v>
      </c>
      <c r="AA36" s="354">
        <v>65</v>
      </c>
      <c r="AB36" s="354">
        <v>65</v>
      </c>
      <c r="AC36" s="354"/>
      <c r="AD36" s="354">
        <v>55</v>
      </c>
      <c r="AE36" s="354">
        <v>90</v>
      </c>
      <c r="AF36" s="354">
        <v>74</v>
      </c>
      <c r="AG36" s="354" t="s">
        <v>491</v>
      </c>
      <c r="AH36" s="354">
        <v>74</v>
      </c>
      <c r="AI36" s="354"/>
      <c r="AJ36" s="354"/>
      <c r="AK36" s="354" t="s">
        <v>491</v>
      </c>
      <c r="AL36" s="354" t="s">
        <v>492</v>
      </c>
      <c r="AM36" s="354">
        <v>0</v>
      </c>
      <c r="AN36" s="354" t="s">
        <v>1087</v>
      </c>
      <c r="AO36" s="354"/>
      <c r="AP36" s="354"/>
      <c r="AQ36" s="354" t="s">
        <v>492</v>
      </c>
      <c r="AR36" s="354" t="s">
        <v>492</v>
      </c>
      <c r="AS36" s="354"/>
      <c r="AT36" s="354"/>
      <c r="AU36" s="354"/>
      <c r="AV36" s="354" t="s">
        <v>1087</v>
      </c>
      <c r="AW36" s="354"/>
      <c r="AX36" s="354">
        <v>220</v>
      </c>
      <c r="AY36" s="354">
        <v>2200</v>
      </c>
      <c r="AZ36" s="354"/>
      <c r="BA36" s="354"/>
      <c r="BB36" s="354">
        <v>0</v>
      </c>
      <c r="BC36" s="354">
        <v>1</v>
      </c>
      <c r="BD36" s="354"/>
      <c r="BE36" s="354"/>
      <c r="BF36" s="354"/>
      <c r="BG36" s="354" t="s">
        <v>1088</v>
      </c>
      <c r="BH36" s="354" t="s">
        <v>492</v>
      </c>
      <c r="BI36" s="354" t="s">
        <v>492</v>
      </c>
      <c r="BJ36" s="354" t="s">
        <v>492</v>
      </c>
      <c r="BK36" s="354" t="s">
        <v>492</v>
      </c>
      <c r="BL36" s="354" t="s">
        <v>492</v>
      </c>
      <c r="BM36" s="354" t="s">
        <v>492</v>
      </c>
      <c r="BN36" s="354"/>
      <c r="BO36" s="354">
        <v>0</v>
      </c>
      <c r="BP36" s="354">
        <v>0</v>
      </c>
      <c r="BQ36" s="354"/>
      <c r="BR36" s="354">
        <v>95</v>
      </c>
      <c r="BS36" s="354"/>
      <c r="BT36" s="354"/>
      <c r="BU36" s="354"/>
      <c r="BV36" s="354"/>
      <c r="BW36" s="354">
        <v>90</v>
      </c>
      <c r="BX36" s="354"/>
      <c r="BY36" s="211">
        <v>0</v>
      </c>
      <c r="BZ36" s="354">
        <v>0</v>
      </c>
      <c r="CA36" s="354">
        <v>20</v>
      </c>
      <c r="CB36" s="354"/>
      <c r="CC36" s="354"/>
      <c r="CD36" s="354"/>
      <c r="CE36" s="354"/>
      <c r="CF36" s="354"/>
      <c r="CG36" s="354"/>
      <c r="CH36" s="354">
        <v>10</v>
      </c>
      <c r="CI36" s="354">
        <v>1.2E-2</v>
      </c>
      <c r="CJ36" s="354">
        <v>0</v>
      </c>
      <c r="CK36" s="354">
        <v>0</v>
      </c>
      <c r="CL36" s="354">
        <v>0.25</v>
      </c>
      <c r="CM36" s="354">
        <v>1.7999999999999999E-2</v>
      </c>
      <c r="CN36" s="354">
        <v>0</v>
      </c>
      <c r="CO36" s="354">
        <v>50</v>
      </c>
      <c r="CP36" s="354">
        <v>0</v>
      </c>
      <c r="CQ36" s="354"/>
      <c r="CR36" s="354"/>
      <c r="CS36" s="354">
        <v>74</v>
      </c>
      <c r="CT36" s="354"/>
      <c r="CU36" s="354">
        <v>0</v>
      </c>
      <c r="CV36" s="354">
        <v>0</v>
      </c>
      <c r="CW36" s="354">
        <v>90</v>
      </c>
      <c r="CX36" s="354">
        <v>10</v>
      </c>
      <c r="CY36" s="354" t="s">
        <v>499</v>
      </c>
      <c r="CZ36" s="354"/>
      <c r="DA36" s="354"/>
      <c r="DB36" s="354" t="s">
        <v>491</v>
      </c>
      <c r="DC36" s="355" t="s">
        <v>496</v>
      </c>
      <c r="DD36" s="354">
        <v>10</v>
      </c>
      <c r="DE36" s="354"/>
      <c r="DF36" s="354">
        <v>0</v>
      </c>
      <c r="DG36" s="354">
        <v>74</v>
      </c>
      <c r="DH36" s="354">
        <v>0</v>
      </c>
      <c r="DI36" s="354" t="s">
        <v>491</v>
      </c>
      <c r="DJ36" s="354">
        <v>4</v>
      </c>
      <c r="DK36" s="354">
        <v>12</v>
      </c>
      <c r="DL36" s="354">
        <v>1</v>
      </c>
      <c r="DM36" s="354">
        <v>5</v>
      </c>
      <c r="DN36" s="354">
        <v>0</v>
      </c>
      <c r="DO36" s="354"/>
      <c r="DP36" s="354"/>
      <c r="DQ36" s="354"/>
      <c r="DR36" s="354"/>
      <c r="DS36" s="354"/>
      <c r="DT36" s="354"/>
      <c r="DU36" s="354"/>
      <c r="DV36" s="354"/>
      <c r="DW36" s="354"/>
      <c r="DX36" s="354"/>
      <c r="DY36" s="354"/>
      <c r="DZ36" s="354"/>
      <c r="EA36" s="354"/>
      <c r="EB36" s="354"/>
      <c r="EC36" s="354"/>
      <c r="ED36" s="354"/>
      <c r="EE36" s="354"/>
      <c r="EF36" s="354"/>
      <c r="EG36" s="354"/>
      <c r="EH36" s="354"/>
      <c r="EI36" s="354"/>
      <c r="EJ36" s="354"/>
      <c r="EK36" s="354"/>
      <c r="EL36" s="354"/>
      <c r="EM36" s="354"/>
      <c r="EN36" s="354"/>
      <c r="EO36" s="354"/>
      <c r="EP36" s="354"/>
    </row>
    <row r="37" spans="1:150" s="353" customFormat="1">
      <c r="A37" s="360" t="s">
        <v>216</v>
      </c>
      <c r="B37" s="350" t="s">
        <v>368</v>
      </c>
      <c r="C37" s="350" t="s">
        <v>368</v>
      </c>
      <c r="D37" s="353" t="s">
        <v>368</v>
      </c>
      <c r="E37" s="351"/>
      <c r="F37" s="352"/>
      <c r="G37" s="350" t="s">
        <v>496</v>
      </c>
      <c r="O37" s="354" t="s">
        <v>362</v>
      </c>
      <c r="P37" s="354" t="s">
        <v>366</v>
      </c>
      <c r="Q37" s="354"/>
      <c r="R37" s="354"/>
      <c r="S37" s="354"/>
      <c r="T37" s="354" t="s">
        <v>366</v>
      </c>
      <c r="U37" s="354"/>
      <c r="V37" s="354"/>
      <c r="W37" s="354">
        <v>74</v>
      </c>
      <c r="X37" s="354" t="s">
        <v>1085</v>
      </c>
      <c r="Y37" s="354">
        <v>70</v>
      </c>
      <c r="Z37" s="354">
        <v>70</v>
      </c>
      <c r="AA37" s="354">
        <v>65</v>
      </c>
      <c r="AB37" s="354">
        <v>65</v>
      </c>
      <c r="AC37" s="354"/>
      <c r="AD37" s="354">
        <v>55</v>
      </c>
      <c r="AE37" s="354">
        <v>90</v>
      </c>
      <c r="AF37" s="354">
        <v>74</v>
      </c>
      <c r="AG37" s="354" t="s">
        <v>491</v>
      </c>
      <c r="AH37" s="354">
        <v>74</v>
      </c>
      <c r="AI37" s="354"/>
      <c r="AJ37" s="354"/>
      <c r="AK37" s="354" t="s">
        <v>491</v>
      </c>
      <c r="AL37" s="354" t="s">
        <v>492</v>
      </c>
      <c r="AM37" s="354">
        <v>0</v>
      </c>
      <c r="AN37" s="354" t="s">
        <v>1087</v>
      </c>
      <c r="AO37" s="354"/>
      <c r="AP37" s="354"/>
      <c r="AQ37" s="354" t="s">
        <v>492</v>
      </c>
      <c r="AR37" s="354" t="s">
        <v>492</v>
      </c>
      <c r="AS37" s="354"/>
      <c r="AT37" s="354"/>
      <c r="AU37" s="354"/>
      <c r="AV37" s="354" t="s">
        <v>1087</v>
      </c>
      <c r="AW37" s="354"/>
      <c r="AX37" s="354">
        <v>220</v>
      </c>
      <c r="AY37" s="354">
        <v>2200</v>
      </c>
      <c r="AZ37" s="354"/>
      <c r="BA37" s="354"/>
      <c r="BB37" s="354">
        <v>0</v>
      </c>
      <c r="BC37" s="354">
        <v>1</v>
      </c>
      <c r="BD37" s="354"/>
      <c r="BE37" s="354"/>
      <c r="BF37" s="354"/>
      <c r="BG37" s="354" t="s">
        <v>1088</v>
      </c>
      <c r="BH37" s="354" t="s">
        <v>492</v>
      </c>
      <c r="BI37" s="354" t="s">
        <v>492</v>
      </c>
      <c r="BJ37" s="354" t="s">
        <v>492</v>
      </c>
      <c r="BK37" s="354" t="s">
        <v>492</v>
      </c>
      <c r="BL37" s="354" t="s">
        <v>492</v>
      </c>
      <c r="BM37" s="354" t="s">
        <v>492</v>
      </c>
      <c r="BN37" s="354"/>
      <c r="BO37" s="354">
        <v>0</v>
      </c>
      <c r="BP37" s="354">
        <v>0</v>
      </c>
      <c r="BQ37" s="354"/>
      <c r="BR37" s="354">
        <v>95</v>
      </c>
      <c r="BS37" s="354"/>
      <c r="BT37" s="354"/>
      <c r="BU37" s="354"/>
      <c r="BV37" s="354"/>
      <c r="BW37" s="354">
        <v>90</v>
      </c>
      <c r="BX37" s="354"/>
      <c r="BY37" s="211">
        <v>0</v>
      </c>
      <c r="BZ37" s="354">
        <v>0</v>
      </c>
      <c r="CA37" s="354">
        <v>20</v>
      </c>
      <c r="CB37" s="354"/>
      <c r="CC37" s="354"/>
      <c r="CD37" s="354"/>
      <c r="CE37" s="354"/>
      <c r="CF37" s="354"/>
      <c r="CG37" s="354"/>
      <c r="CH37" s="354">
        <v>10</v>
      </c>
      <c r="CI37" s="354">
        <v>1.2E-2</v>
      </c>
      <c r="CJ37" s="354">
        <v>0</v>
      </c>
      <c r="CK37" s="354">
        <v>0</v>
      </c>
      <c r="CL37" s="354">
        <v>0.25</v>
      </c>
      <c r="CM37" s="354">
        <v>1.7999999999999999E-2</v>
      </c>
      <c r="CN37" s="354">
        <v>0</v>
      </c>
      <c r="CO37" s="354">
        <v>50</v>
      </c>
      <c r="CP37" s="354">
        <v>0</v>
      </c>
      <c r="CQ37" s="354"/>
      <c r="CR37" s="354"/>
      <c r="CS37" s="354">
        <v>74</v>
      </c>
      <c r="CT37" s="354"/>
      <c r="CU37" s="354">
        <v>0</v>
      </c>
      <c r="CV37" s="354">
        <v>0</v>
      </c>
      <c r="CW37" s="354">
        <v>90</v>
      </c>
      <c r="CX37" s="354">
        <v>10</v>
      </c>
      <c r="CY37" s="354" t="s">
        <v>499</v>
      </c>
      <c r="CZ37" s="354"/>
      <c r="DA37" s="354"/>
      <c r="DB37" s="354" t="s">
        <v>491</v>
      </c>
      <c r="DC37" s="355" t="s">
        <v>496</v>
      </c>
      <c r="DD37" s="354">
        <v>10</v>
      </c>
      <c r="DE37" s="354"/>
      <c r="DF37" s="354">
        <v>0</v>
      </c>
      <c r="DG37" s="354">
        <v>74</v>
      </c>
      <c r="DH37" s="354">
        <v>0</v>
      </c>
      <c r="DI37" s="354" t="s">
        <v>491</v>
      </c>
      <c r="DJ37" s="354">
        <v>4</v>
      </c>
      <c r="DK37" s="354">
        <v>12</v>
      </c>
      <c r="DL37" s="354">
        <v>1</v>
      </c>
      <c r="DM37" s="354">
        <v>5</v>
      </c>
      <c r="DN37" s="354">
        <v>0</v>
      </c>
      <c r="DO37" s="354"/>
      <c r="DP37" s="354"/>
      <c r="DQ37" s="354"/>
      <c r="DR37" s="354"/>
      <c r="DS37" s="354"/>
      <c r="DT37" s="354"/>
      <c r="DU37" s="354"/>
      <c r="DV37" s="354"/>
      <c r="DW37" s="354"/>
      <c r="DX37" s="354"/>
      <c r="DY37" s="354"/>
      <c r="DZ37" s="354"/>
      <c r="EA37" s="354"/>
      <c r="EB37" s="354"/>
      <c r="EC37" s="354"/>
      <c r="ED37" s="354"/>
      <c r="EE37" s="354"/>
      <c r="EF37" s="354"/>
      <c r="EG37" s="354"/>
      <c r="EH37" s="354"/>
      <c r="EI37" s="354"/>
      <c r="EJ37" s="354"/>
      <c r="EK37" s="354"/>
      <c r="EL37" s="354"/>
      <c r="EM37" s="354"/>
      <c r="EN37" s="354"/>
      <c r="EO37" s="354"/>
      <c r="EP37" s="354"/>
    </row>
    <row r="38" spans="1:150" s="353" customFormat="1" ht="12.95" customHeight="1">
      <c r="A38" s="360" t="s">
        <v>216</v>
      </c>
      <c r="B38" s="350" t="s">
        <v>368</v>
      </c>
      <c r="C38" s="350" t="s">
        <v>368</v>
      </c>
      <c r="D38" s="353" t="s">
        <v>368</v>
      </c>
      <c r="E38" s="351"/>
      <c r="F38" s="352"/>
      <c r="G38" s="350" t="s">
        <v>795</v>
      </c>
      <c r="O38" s="354" t="s">
        <v>362</v>
      </c>
      <c r="P38" s="354" t="s">
        <v>366</v>
      </c>
      <c r="Q38" s="354"/>
      <c r="R38" s="354"/>
      <c r="S38" s="354"/>
      <c r="T38" s="354" t="s">
        <v>366</v>
      </c>
      <c r="U38" s="354"/>
      <c r="V38" s="354"/>
      <c r="W38" s="354">
        <v>74</v>
      </c>
      <c r="X38" s="354" t="s">
        <v>1085</v>
      </c>
      <c r="Y38" s="354">
        <v>70</v>
      </c>
      <c r="Z38" s="354">
        <v>70</v>
      </c>
      <c r="AA38" s="354">
        <v>65</v>
      </c>
      <c r="AB38" s="354">
        <v>65</v>
      </c>
      <c r="AC38" s="354"/>
      <c r="AD38" s="354">
        <v>55</v>
      </c>
      <c r="AE38" s="354">
        <v>90</v>
      </c>
      <c r="AF38" s="354">
        <v>74</v>
      </c>
      <c r="AG38" s="354" t="s">
        <v>491</v>
      </c>
      <c r="AH38" s="354">
        <v>74</v>
      </c>
      <c r="AI38" s="354"/>
      <c r="AJ38" s="354"/>
      <c r="AK38" s="354" t="s">
        <v>491</v>
      </c>
      <c r="AL38" s="354" t="s">
        <v>492</v>
      </c>
      <c r="AM38" s="354">
        <v>0</v>
      </c>
      <c r="AN38" s="354" t="s">
        <v>1087</v>
      </c>
      <c r="AO38" s="354"/>
      <c r="AP38" s="354"/>
      <c r="AQ38" s="354" t="s">
        <v>492</v>
      </c>
      <c r="AR38" s="354" t="s">
        <v>492</v>
      </c>
      <c r="AS38" s="354"/>
      <c r="AT38" s="354"/>
      <c r="AU38" s="354"/>
      <c r="AV38" s="354" t="s">
        <v>1087</v>
      </c>
      <c r="AW38" s="354"/>
      <c r="AX38" s="354">
        <v>220</v>
      </c>
      <c r="AY38" s="354">
        <v>2200</v>
      </c>
      <c r="AZ38" s="354"/>
      <c r="BA38" s="354"/>
      <c r="BB38" s="354">
        <v>0</v>
      </c>
      <c r="BC38" s="354">
        <v>1</v>
      </c>
      <c r="BD38" s="354"/>
      <c r="BE38" s="354"/>
      <c r="BF38" s="354"/>
      <c r="BG38" s="354" t="s">
        <v>1088</v>
      </c>
      <c r="BH38" s="354" t="s">
        <v>492</v>
      </c>
      <c r="BI38" s="354" t="s">
        <v>492</v>
      </c>
      <c r="BJ38" s="354" t="s">
        <v>492</v>
      </c>
      <c r="BK38" s="354" t="s">
        <v>492</v>
      </c>
      <c r="BL38" s="354" t="s">
        <v>492</v>
      </c>
      <c r="BM38" s="354" t="s">
        <v>492</v>
      </c>
      <c r="BN38" s="354"/>
      <c r="BO38" s="354">
        <v>0</v>
      </c>
      <c r="BP38" s="354">
        <v>0</v>
      </c>
      <c r="BQ38" s="354"/>
      <c r="BR38" s="354">
        <v>95</v>
      </c>
      <c r="BS38" s="354"/>
      <c r="BT38" s="354"/>
      <c r="BU38" s="354"/>
      <c r="BV38" s="354"/>
      <c r="BW38" s="354">
        <v>90</v>
      </c>
      <c r="BX38" s="354"/>
      <c r="BY38" s="211">
        <v>0</v>
      </c>
      <c r="BZ38" s="354">
        <v>0</v>
      </c>
      <c r="CA38" s="354">
        <v>20</v>
      </c>
      <c r="CB38" s="354"/>
      <c r="CC38" s="354"/>
      <c r="CD38" s="354"/>
      <c r="CE38" s="354"/>
      <c r="CF38" s="354"/>
      <c r="CG38" s="354"/>
      <c r="CH38" s="354">
        <v>10</v>
      </c>
      <c r="CI38" s="354">
        <v>1.2E-2</v>
      </c>
      <c r="CJ38" s="354">
        <v>0</v>
      </c>
      <c r="CK38" s="354">
        <v>0</v>
      </c>
      <c r="CL38" s="354">
        <v>0.25</v>
      </c>
      <c r="CM38" s="354">
        <v>1.7999999999999999E-2</v>
      </c>
      <c r="CN38" s="354">
        <v>0</v>
      </c>
      <c r="CO38" s="354">
        <v>50</v>
      </c>
      <c r="CP38" s="354">
        <v>0</v>
      </c>
      <c r="CQ38" s="354"/>
      <c r="CR38" s="354"/>
      <c r="CS38" s="354">
        <v>74</v>
      </c>
      <c r="CT38" s="354"/>
      <c r="CU38" s="354">
        <v>0</v>
      </c>
      <c r="CV38" s="354">
        <v>0</v>
      </c>
      <c r="CW38" s="354">
        <v>90</v>
      </c>
      <c r="CX38" s="354">
        <v>10</v>
      </c>
      <c r="CY38" s="354" t="s">
        <v>499</v>
      </c>
      <c r="CZ38" s="354"/>
      <c r="DA38" s="354"/>
      <c r="DB38" s="354" t="s">
        <v>491</v>
      </c>
      <c r="DC38" s="355" t="s">
        <v>795</v>
      </c>
      <c r="DD38" s="354">
        <v>10</v>
      </c>
      <c r="DE38" s="354"/>
      <c r="DF38" s="354">
        <v>0</v>
      </c>
      <c r="DG38" s="354">
        <v>74</v>
      </c>
      <c r="DH38" s="354">
        <v>0</v>
      </c>
      <c r="DI38" s="354" t="s">
        <v>491</v>
      </c>
      <c r="DJ38" s="354">
        <v>4</v>
      </c>
      <c r="DK38" s="354">
        <v>12</v>
      </c>
      <c r="DL38" s="354">
        <v>1</v>
      </c>
      <c r="DM38" s="354">
        <v>5</v>
      </c>
      <c r="DN38" s="354">
        <v>0</v>
      </c>
      <c r="DO38" s="354"/>
      <c r="DP38" s="354"/>
      <c r="DQ38" s="354"/>
      <c r="DR38" s="354"/>
      <c r="DS38" s="354"/>
      <c r="DT38" s="354"/>
      <c r="DU38" s="354"/>
      <c r="DV38" s="354"/>
      <c r="DW38" s="354"/>
      <c r="DX38" s="354"/>
      <c r="DY38" s="354"/>
      <c r="DZ38" s="354"/>
      <c r="EA38" s="354"/>
      <c r="EB38" s="354"/>
      <c r="EC38" s="354"/>
      <c r="ED38" s="354"/>
      <c r="EE38" s="354"/>
      <c r="EF38" s="354"/>
      <c r="EG38" s="354"/>
      <c r="EH38" s="354"/>
      <c r="EI38" s="354"/>
      <c r="EJ38" s="354"/>
      <c r="EK38" s="354"/>
      <c r="EL38" s="354"/>
      <c r="EM38" s="354"/>
      <c r="EN38" s="354"/>
      <c r="EO38" s="354"/>
      <c r="EP38" s="354"/>
    </row>
    <row r="39" spans="1:150" s="353" customFormat="1">
      <c r="A39" s="360" t="s">
        <v>216</v>
      </c>
      <c r="B39" s="350" t="s">
        <v>368</v>
      </c>
      <c r="C39" s="350" t="s">
        <v>367</v>
      </c>
      <c r="D39" s="353" t="s">
        <v>368</v>
      </c>
      <c r="E39" s="351"/>
      <c r="F39" s="352"/>
      <c r="G39" s="350" t="s">
        <v>496</v>
      </c>
      <c r="O39" s="354" t="s">
        <v>362</v>
      </c>
      <c r="P39" s="354" t="s">
        <v>366</v>
      </c>
      <c r="Q39" s="354"/>
      <c r="R39" s="354"/>
      <c r="S39" s="354"/>
      <c r="T39" s="354" t="s">
        <v>366</v>
      </c>
      <c r="U39" s="354"/>
      <c r="V39" s="354"/>
      <c r="W39" s="354">
        <v>74</v>
      </c>
      <c r="X39" s="354" t="s">
        <v>1085</v>
      </c>
      <c r="Y39" s="354">
        <v>70</v>
      </c>
      <c r="Z39" s="354">
        <v>70</v>
      </c>
      <c r="AA39" s="354">
        <v>65</v>
      </c>
      <c r="AB39" s="354">
        <v>65</v>
      </c>
      <c r="AC39" s="354"/>
      <c r="AD39" s="354">
        <v>55</v>
      </c>
      <c r="AE39" s="354">
        <v>90</v>
      </c>
      <c r="AF39" s="354">
        <v>74</v>
      </c>
      <c r="AG39" s="354" t="s">
        <v>491</v>
      </c>
      <c r="AH39" s="354">
        <v>74</v>
      </c>
      <c r="AI39" s="354"/>
      <c r="AJ39" s="354"/>
      <c r="AK39" s="354" t="s">
        <v>491</v>
      </c>
      <c r="AL39" s="354" t="s">
        <v>492</v>
      </c>
      <c r="AM39" s="354">
        <v>0</v>
      </c>
      <c r="AN39" s="354" t="s">
        <v>1087</v>
      </c>
      <c r="AO39" s="354"/>
      <c r="AP39" s="354"/>
      <c r="AQ39" s="354" t="s">
        <v>492</v>
      </c>
      <c r="AR39" s="354" t="s">
        <v>492</v>
      </c>
      <c r="AS39" s="354"/>
      <c r="AT39" s="354"/>
      <c r="AU39" s="354"/>
      <c r="AV39" s="354" t="s">
        <v>1087</v>
      </c>
      <c r="AW39" s="354"/>
      <c r="AX39" s="354">
        <v>220</v>
      </c>
      <c r="AY39" s="354">
        <v>2200</v>
      </c>
      <c r="AZ39" s="354"/>
      <c r="BA39" s="354"/>
      <c r="BB39" s="354">
        <v>0</v>
      </c>
      <c r="BC39" s="354">
        <v>1</v>
      </c>
      <c r="BD39" s="354"/>
      <c r="BE39" s="354"/>
      <c r="BF39" s="354"/>
      <c r="BG39" s="354" t="s">
        <v>1088</v>
      </c>
      <c r="BH39" s="354" t="s">
        <v>492</v>
      </c>
      <c r="BI39" s="354" t="s">
        <v>492</v>
      </c>
      <c r="BJ39" s="354" t="s">
        <v>492</v>
      </c>
      <c r="BK39" s="354" t="s">
        <v>492</v>
      </c>
      <c r="BL39" s="354" t="s">
        <v>492</v>
      </c>
      <c r="BM39" s="354" t="s">
        <v>492</v>
      </c>
      <c r="BN39" s="354"/>
      <c r="BO39" s="354">
        <v>0</v>
      </c>
      <c r="BP39" s="354">
        <v>0</v>
      </c>
      <c r="BQ39" s="354"/>
      <c r="BR39" s="354">
        <v>95</v>
      </c>
      <c r="BS39" s="354"/>
      <c r="BT39" s="354"/>
      <c r="BU39" s="354"/>
      <c r="BV39" s="354"/>
      <c r="BW39" s="354">
        <v>90</v>
      </c>
      <c r="BX39" s="354"/>
      <c r="BY39" s="211">
        <v>0</v>
      </c>
      <c r="BZ39" s="354">
        <v>0</v>
      </c>
      <c r="CA39" s="354">
        <v>20</v>
      </c>
      <c r="CB39" s="354"/>
      <c r="CC39" s="354"/>
      <c r="CD39" s="354"/>
      <c r="CE39" s="354"/>
      <c r="CF39" s="354"/>
      <c r="CG39" s="354"/>
      <c r="CH39" s="354">
        <v>10</v>
      </c>
      <c r="CI39" s="354">
        <v>1.2E-2</v>
      </c>
      <c r="CJ39" s="354">
        <v>0</v>
      </c>
      <c r="CK39" s="354">
        <v>0</v>
      </c>
      <c r="CL39" s="354">
        <v>0.25</v>
      </c>
      <c r="CM39" s="354">
        <v>1.7999999999999999E-2</v>
      </c>
      <c r="CN39" s="354">
        <v>0</v>
      </c>
      <c r="CO39" s="354">
        <v>50</v>
      </c>
      <c r="CP39" s="354">
        <v>0</v>
      </c>
      <c r="CQ39" s="354"/>
      <c r="CR39" s="354"/>
      <c r="CS39" s="354">
        <v>74</v>
      </c>
      <c r="CT39" s="354"/>
      <c r="CU39" s="354">
        <v>0</v>
      </c>
      <c r="CV39" s="354">
        <v>0</v>
      </c>
      <c r="CW39" s="354">
        <v>90</v>
      </c>
      <c r="CX39" s="354">
        <v>10</v>
      </c>
      <c r="CY39" s="354" t="s">
        <v>499</v>
      </c>
      <c r="CZ39" s="354"/>
      <c r="DA39" s="354"/>
      <c r="DB39" s="354" t="s">
        <v>491</v>
      </c>
      <c r="DC39" s="355" t="s">
        <v>496</v>
      </c>
      <c r="DD39" s="354">
        <v>10</v>
      </c>
      <c r="DE39" s="354"/>
      <c r="DF39" s="354">
        <v>0</v>
      </c>
      <c r="DG39" s="354">
        <v>74</v>
      </c>
      <c r="DH39" s="354">
        <v>0</v>
      </c>
      <c r="DI39" s="354" t="s">
        <v>491</v>
      </c>
      <c r="DJ39" s="354">
        <v>4</v>
      </c>
      <c r="DK39" s="354">
        <v>12</v>
      </c>
      <c r="DL39" s="354">
        <v>1</v>
      </c>
      <c r="DM39" s="354">
        <v>5</v>
      </c>
      <c r="DN39" s="354">
        <v>0</v>
      </c>
      <c r="DO39" s="354"/>
      <c r="DP39" s="354"/>
      <c r="DQ39" s="354"/>
      <c r="DR39" s="354"/>
      <c r="DS39" s="354"/>
      <c r="DT39" s="354"/>
      <c r="DU39" s="354"/>
      <c r="DV39" s="354"/>
      <c r="DW39" s="354"/>
      <c r="DX39" s="354"/>
      <c r="DY39" s="354"/>
      <c r="DZ39" s="354"/>
      <c r="EA39" s="354"/>
      <c r="EB39" s="354"/>
      <c r="EC39" s="354"/>
      <c r="ED39" s="354"/>
      <c r="EE39" s="354"/>
      <c r="EF39" s="354"/>
      <c r="EG39" s="354"/>
      <c r="EH39" s="354"/>
      <c r="EI39" s="354"/>
      <c r="EJ39" s="354"/>
      <c r="EK39" s="354"/>
      <c r="EL39" s="354"/>
      <c r="EM39" s="354"/>
      <c r="EN39" s="354"/>
      <c r="EO39" s="354"/>
      <c r="EP39" s="354"/>
    </row>
    <row r="40" spans="1:150" s="353" customFormat="1" ht="12.95" customHeight="1">
      <c r="A40" s="360" t="s">
        <v>216</v>
      </c>
      <c r="B40" s="350" t="s">
        <v>368</v>
      </c>
      <c r="C40" s="350" t="s">
        <v>367</v>
      </c>
      <c r="D40" s="353" t="s">
        <v>368</v>
      </c>
      <c r="E40" s="351"/>
      <c r="F40" s="352"/>
      <c r="G40" s="350" t="s">
        <v>795</v>
      </c>
      <c r="O40" s="354" t="s">
        <v>362</v>
      </c>
      <c r="P40" s="354" t="s">
        <v>366</v>
      </c>
      <c r="Q40" s="354"/>
      <c r="R40" s="354"/>
      <c r="S40" s="354"/>
      <c r="T40" s="354" t="s">
        <v>366</v>
      </c>
      <c r="U40" s="354"/>
      <c r="V40" s="354"/>
      <c r="W40" s="354">
        <v>74</v>
      </c>
      <c r="X40" s="354" t="s">
        <v>1085</v>
      </c>
      <c r="Y40" s="354">
        <v>70</v>
      </c>
      <c r="Z40" s="354">
        <v>70</v>
      </c>
      <c r="AA40" s="354">
        <v>65</v>
      </c>
      <c r="AB40" s="354">
        <v>65</v>
      </c>
      <c r="AC40" s="354"/>
      <c r="AD40" s="354">
        <v>55</v>
      </c>
      <c r="AE40" s="354">
        <v>90</v>
      </c>
      <c r="AF40" s="354">
        <v>74</v>
      </c>
      <c r="AG40" s="354" t="s">
        <v>491</v>
      </c>
      <c r="AH40" s="354">
        <v>74</v>
      </c>
      <c r="AI40" s="354"/>
      <c r="AJ40" s="354"/>
      <c r="AK40" s="354" t="s">
        <v>491</v>
      </c>
      <c r="AL40" s="354" t="s">
        <v>492</v>
      </c>
      <c r="AM40" s="354">
        <v>0</v>
      </c>
      <c r="AN40" s="354" t="s">
        <v>1087</v>
      </c>
      <c r="AO40" s="354"/>
      <c r="AP40" s="354"/>
      <c r="AQ40" s="354" t="s">
        <v>492</v>
      </c>
      <c r="AR40" s="354" t="s">
        <v>492</v>
      </c>
      <c r="AS40" s="354"/>
      <c r="AT40" s="354"/>
      <c r="AU40" s="354"/>
      <c r="AV40" s="354" t="s">
        <v>1087</v>
      </c>
      <c r="AW40" s="354"/>
      <c r="AX40" s="354">
        <v>220</v>
      </c>
      <c r="AY40" s="354">
        <v>2200</v>
      </c>
      <c r="AZ40" s="354"/>
      <c r="BA40" s="354"/>
      <c r="BB40" s="354">
        <v>0</v>
      </c>
      <c r="BC40" s="354">
        <v>1</v>
      </c>
      <c r="BD40" s="354"/>
      <c r="BE40" s="354"/>
      <c r="BF40" s="354"/>
      <c r="BG40" s="354" t="s">
        <v>1088</v>
      </c>
      <c r="BH40" s="354" t="s">
        <v>492</v>
      </c>
      <c r="BI40" s="354" t="s">
        <v>492</v>
      </c>
      <c r="BJ40" s="354" t="s">
        <v>492</v>
      </c>
      <c r="BK40" s="354" t="s">
        <v>492</v>
      </c>
      <c r="BL40" s="354" t="s">
        <v>492</v>
      </c>
      <c r="BM40" s="354" t="s">
        <v>492</v>
      </c>
      <c r="BN40" s="354"/>
      <c r="BO40" s="354">
        <v>0</v>
      </c>
      <c r="BP40" s="354">
        <v>0</v>
      </c>
      <c r="BQ40" s="354"/>
      <c r="BR40" s="354">
        <v>95</v>
      </c>
      <c r="BS40" s="354"/>
      <c r="BT40" s="354"/>
      <c r="BU40" s="354"/>
      <c r="BV40" s="354"/>
      <c r="BW40" s="354">
        <v>90</v>
      </c>
      <c r="BX40" s="354"/>
      <c r="BY40" s="211">
        <v>0</v>
      </c>
      <c r="BZ40" s="354">
        <v>0</v>
      </c>
      <c r="CA40" s="354">
        <v>20</v>
      </c>
      <c r="CB40" s="354"/>
      <c r="CC40" s="354"/>
      <c r="CD40" s="354"/>
      <c r="CE40" s="354"/>
      <c r="CF40" s="354"/>
      <c r="CG40" s="354"/>
      <c r="CH40" s="354">
        <v>10</v>
      </c>
      <c r="CI40" s="354">
        <v>1.2E-2</v>
      </c>
      <c r="CJ40" s="354">
        <v>0</v>
      </c>
      <c r="CK40" s="354">
        <v>0</v>
      </c>
      <c r="CL40" s="354">
        <v>0.25</v>
      </c>
      <c r="CM40" s="354">
        <v>1.7999999999999999E-2</v>
      </c>
      <c r="CN40" s="354">
        <v>0</v>
      </c>
      <c r="CO40" s="354">
        <v>50</v>
      </c>
      <c r="CP40" s="354">
        <v>0</v>
      </c>
      <c r="CQ40" s="354"/>
      <c r="CR40" s="354"/>
      <c r="CS40" s="354">
        <v>74</v>
      </c>
      <c r="CT40" s="354"/>
      <c r="CU40" s="354">
        <v>0</v>
      </c>
      <c r="CV40" s="354">
        <v>0</v>
      </c>
      <c r="CW40" s="354">
        <v>90</v>
      </c>
      <c r="CX40" s="354">
        <v>10</v>
      </c>
      <c r="CY40" s="354" t="s">
        <v>499</v>
      </c>
      <c r="CZ40" s="354"/>
      <c r="DA40" s="354"/>
      <c r="DB40" s="354" t="s">
        <v>491</v>
      </c>
      <c r="DC40" s="355" t="s">
        <v>795</v>
      </c>
      <c r="DD40" s="354">
        <v>10</v>
      </c>
      <c r="DE40" s="354"/>
      <c r="DF40" s="354">
        <v>0</v>
      </c>
      <c r="DG40" s="354">
        <v>74</v>
      </c>
      <c r="DH40" s="354">
        <v>0</v>
      </c>
      <c r="DI40" s="354" t="s">
        <v>491</v>
      </c>
      <c r="DJ40" s="354">
        <v>4</v>
      </c>
      <c r="DK40" s="354">
        <v>12</v>
      </c>
      <c r="DL40" s="354">
        <v>1</v>
      </c>
      <c r="DM40" s="354">
        <v>5</v>
      </c>
      <c r="DN40" s="354">
        <v>0</v>
      </c>
      <c r="DO40" s="354"/>
      <c r="DP40" s="354"/>
      <c r="DQ40" s="354"/>
      <c r="DR40" s="354"/>
      <c r="DS40" s="354"/>
      <c r="DT40" s="354"/>
      <c r="DU40" s="354"/>
      <c r="DV40" s="354"/>
      <c r="DW40" s="354"/>
      <c r="DX40" s="354"/>
      <c r="DY40" s="354"/>
      <c r="DZ40" s="354"/>
      <c r="EA40" s="354"/>
      <c r="EB40" s="354"/>
      <c r="EC40" s="354"/>
      <c r="ED40" s="354"/>
      <c r="EE40" s="354"/>
      <c r="EF40" s="354"/>
      <c r="EG40" s="354"/>
      <c r="EH40" s="354"/>
      <c r="EI40" s="354"/>
      <c r="EJ40" s="354"/>
      <c r="EK40" s="354"/>
      <c r="EL40" s="354"/>
      <c r="EM40" s="354"/>
      <c r="EN40" s="354"/>
      <c r="EO40" s="354"/>
      <c r="EP40" s="354"/>
    </row>
    <row r="41" spans="1:150" s="353" customFormat="1" ht="12.95" customHeight="1">
      <c r="A41" s="360" t="s">
        <v>216</v>
      </c>
      <c r="B41" s="350" t="s">
        <v>368</v>
      </c>
      <c r="C41" s="350" t="s">
        <v>368</v>
      </c>
      <c r="D41" s="353" t="s">
        <v>368</v>
      </c>
      <c r="E41" s="351"/>
      <c r="F41" s="352"/>
      <c r="G41" s="350" t="s">
        <v>884</v>
      </c>
      <c r="O41" s="354" t="s">
        <v>362</v>
      </c>
      <c r="P41" s="354" t="s">
        <v>366</v>
      </c>
      <c r="Q41" s="354"/>
      <c r="R41" s="354"/>
      <c r="S41" s="354"/>
      <c r="T41" s="354" t="s">
        <v>366</v>
      </c>
      <c r="U41" s="354"/>
      <c r="V41" s="354"/>
      <c r="W41" s="354">
        <v>74</v>
      </c>
      <c r="X41" s="354" t="s">
        <v>1085</v>
      </c>
      <c r="Y41" s="354">
        <v>70</v>
      </c>
      <c r="Z41" s="354">
        <v>70</v>
      </c>
      <c r="AA41" s="354">
        <v>65</v>
      </c>
      <c r="AB41" s="354">
        <v>65</v>
      </c>
      <c r="AC41" s="354"/>
      <c r="AD41" s="354">
        <v>55</v>
      </c>
      <c r="AE41" s="354">
        <v>90</v>
      </c>
      <c r="AF41" s="354">
        <v>74</v>
      </c>
      <c r="AG41" s="354" t="s">
        <v>491</v>
      </c>
      <c r="AH41" s="354">
        <v>74</v>
      </c>
      <c r="AI41" s="354"/>
      <c r="AJ41" s="354"/>
      <c r="AK41" s="354" t="s">
        <v>491</v>
      </c>
      <c r="AL41" s="354" t="s">
        <v>492</v>
      </c>
      <c r="AM41" s="354">
        <v>0</v>
      </c>
      <c r="AN41" s="354" t="s">
        <v>1087</v>
      </c>
      <c r="AO41" s="354"/>
      <c r="AP41" s="354"/>
      <c r="AQ41" s="354" t="s">
        <v>492</v>
      </c>
      <c r="AR41" s="354" t="s">
        <v>492</v>
      </c>
      <c r="AS41" s="354"/>
      <c r="AT41" s="354"/>
      <c r="AU41" s="354"/>
      <c r="AV41" s="354" t="s">
        <v>1087</v>
      </c>
      <c r="AW41" s="354"/>
      <c r="AX41" s="354">
        <v>220</v>
      </c>
      <c r="AY41" s="354">
        <v>2200</v>
      </c>
      <c r="AZ41" s="354"/>
      <c r="BA41" s="354"/>
      <c r="BB41" s="354">
        <v>0</v>
      </c>
      <c r="BC41" s="354">
        <v>1</v>
      </c>
      <c r="BD41" s="354"/>
      <c r="BE41" s="354"/>
      <c r="BF41" s="354"/>
      <c r="BG41" s="354" t="s">
        <v>1088</v>
      </c>
      <c r="BH41" s="354" t="s">
        <v>492</v>
      </c>
      <c r="BI41" s="354" t="s">
        <v>492</v>
      </c>
      <c r="BJ41" s="354" t="s">
        <v>492</v>
      </c>
      <c r="BK41" s="354" t="s">
        <v>492</v>
      </c>
      <c r="BL41" s="354" t="s">
        <v>492</v>
      </c>
      <c r="BM41" s="354" t="s">
        <v>492</v>
      </c>
      <c r="BN41" s="354"/>
      <c r="BO41" s="354">
        <v>0</v>
      </c>
      <c r="BP41" s="354">
        <v>0</v>
      </c>
      <c r="BQ41" s="354"/>
      <c r="BR41" s="354">
        <v>95</v>
      </c>
      <c r="BS41" s="354"/>
      <c r="BT41" s="354"/>
      <c r="BU41" s="354"/>
      <c r="BV41" s="354"/>
      <c r="BW41" s="354">
        <v>90</v>
      </c>
      <c r="BX41" s="354"/>
      <c r="BY41" s="211">
        <v>0</v>
      </c>
      <c r="BZ41" s="354">
        <v>0</v>
      </c>
      <c r="CA41" s="354">
        <v>20</v>
      </c>
      <c r="CB41" s="354"/>
      <c r="CC41" s="354"/>
      <c r="CD41" s="354"/>
      <c r="CE41" s="354"/>
      <c r="CF41" s="354"/>
      <c r="CG41" s="354"/>
      <c r="CH41" s="354">
        <v>10</v>
      </c>
      <c r="CI41" s="354">
        <v>1.2E-2</v>
      </c>
      <c r="CJ41" s="354">
        <v>0</v>
      </c>
      <c r="CK41" s="354">
        <v>0</v>
      </c>
      <c r="CL41" s="354">
        <v>0.25</v>
      </c>
      <c r="CM41" s="354">
        <v>1.7999999999999999E-2</v>
      </c>
      <c r="CN41" s="354">
        <v>0</v>
      </c>
      <c r="CO41" s="354">
        <v>50</v>
      </c>
      <c r="CP41" s="354">
        <v>0</v>
      </c>
      <c r="CQ41" s="354"/>
      <c r="CR41" s="354"/>
      <c r="CS41" s="354">
        <v>74</v>
      </c>
      <c r="CT41" s="354"/>
      <c r="CU41" s="354">
        <v>0</v>
      </c>
      <c r="CV41" s="354">
        <v>0</v>
      </c>
      <c r="CW41" s="354">
        <v>90</v>
      </c>
      <c r="CX41" s="354">
        <v>10</v>
      </c>
      <c r="CY41" s="354" t="s">
        <v>499</v>
      </c>
      <c r="CZ41" s="354"/>
      <c r="DA41" s="354"/>
      <c r="DB41" s="354" t="s">
        <v>491</v>
      </c>
      <c r="DC41" s="355">
        <v>3</v>
      </c>
      <c r="DD41" s="354">
        <v>10</v>
      </c>
      <c r="DE41" s="354"/>
      <c r="DF41" s="354">
        <v>0</v>
      </c>
      <c r="DG41" s="354">
        <v>74</v>
      </c>
      <c r="DH41" s="354">
        <v>0</v>
      </c>
      <c r="DI41" s="354" t="s">
        <v>491</v>
      </c>
      <c r="DJ41" s="354">
        <v>4</v>
      </c>
      <c r="DK41" s="354">
        <v>12</v>
      </c>
      <c r="DL41" s="354">
        <v>1</v>
      </c>
      <c r="DM41" s="354">
        <v>5</v>
      </c>
      <c r="DN41" s="354">
        <v>0</v>
      </c>
      <c r="DO41" s="354"/>
      <c r="DP41" s="354"/>
      <c r="DQ41" s="354"/>
      <c r="DR41" s="354"/>
      <c r="DS41" s="354"/>
      <c r="DT41" s="354"/>
      <c r="DU41" s="354"/>
      <c r="DV41" s="354"/>
      <c r="DW41" s="354"/>
      <c r="DX41" s="354"/>
      <c r="DY41" s="354"/>
      <c r="DZ41" s="354"/>
      <c r="EA41" s="354"/>
      <c r="EB41" s="354"/>
      <c r="EC41" s="354"/>
      <c r="ED41" s="354"/>
      <c r="EE41" s="354"/>
      <c r="EF41" s="354"/>
      <c r="EG41" s="354"/>
      <c r="EH41" s="354"/>
      <c r="EI41" s="354"/>
      <c r="EJ41" s="354"/>
      <c r="EK41" s="354"/>
      <c r="EL41" s="354"/>
      <c r="EM41" s="354"/>
      <c r="EN41" s="354"/>
      <c r="EO41" s="354"/>
      <c r="EP41" s="354"/>
    </row>
    <row r="42" spans="1:150" s="154" customFormat="1" ht="12.95" customHeight="1">
      <c r="A42" s="128">
        <v>2030</v>
      </c>
      <c r="B42" s="133" t="s">
        <v>367</v>
      </c>
      <c r="C42" s="133" t="s">
        <v>368</v>
      </c>
      <c r="D42" s="138" t="s">
        <v>368</v>
      </c>
      <c r="E42" s="138"/>
      <c r="F42" s="213"/>
      <c r="G42" s="213"/>
      <c r="H42" s="180"/>
      <c r="I42" s="180"/>
      <c r="J42" s="180"/>
      <c r="K42" s="180"/>
      <c r="L42" s="180"/>
      <c r="M42" s="180"/>
      <c r="N42" s="183" t="s">
        <v>50</v>
      </c>
      <c r="O42" s="135" t="s">
        <v>362</v>
      </c>
      <c r="P42" s="135" t="s">
        <v>366</v>
      </c>
      <c r="Q42" s="136"/>
      <c r="R42" s="136"/>
      <c r="S42" s="136"/>
      <c r="T42" s="135" t="s">
        <v>366</v>
      </c>
      <c r="U42" s="136"/>
      <c r="V42" s="136"/>
      <c r="W42" s="135" t="s">
        <v>488</v>
      </c>
      <c r="X42" s="136"/>
      <c r="Y42" s="136"/>
      <c r="Z42" s="136"/>
      <c r="AA42" s="136"/>
      <c r="AB42" s="136"/>
      <c r="AC42" s="136"/>
      <c r="AD42" s="211"/>
      <c r="AE42" s="211"/>
      <c r="AF42" s="136"/>
      <c r="AG42" s="136"/>
      <c r="AH42" s="135" t="s">
        <v>488</v>
      </c>
      <c r="AI42" s="136"/>
      <c r="AJ42" s="179">
        <f t="shared" ref="AJ42:AJ47" si="1">IF(AZ42=BA42,0,100)</f>
        <v>0</v>
      </c>
      <c r="AK42" s="135" t="s">
        <v>491</v>
      </c>
      <c r="AL42" s="135" t="s">
        <v>492</v>
      </c>
      <c r="AM42" s="135" t="s">
        <v>493</v>
      </c>
      <c r="AN42" s="135" t="s">
        <v>1087</v>
      </c>
      <c r="AO42" s="136"/>
      <c r="AP42" s="136"/>
      <c r="AQ42" s="135" t="s">
        <v>492</v>
      </c>
      <c r="AR42" s="135" t="s">
        <v>492</v>
      </c>
      <c r="AS42" s="136"/>
      <c r="AT42" s="136"/>
      <c r="AU42" s="136"/>
      <c r="AV42" s="135" t="s">
        <v>1087</v>
      </c>
      <c r="AW42" s="136"/>
      <c r="AX42" s="135">
        <f>'Box Schedule'!T15</f>
        <v>0</v>
      </c>
      <c r="AY42" s="135">
        <f>'Box Schedule'!U15</f>
        <v>0</v>
      </c>
      <c r="AZ42" s="135">
        <f>'Box Schedule'!V15</f>
        <v>0</v>
      </c>
      <c r="BA42" s="135">
        <f>'Box Schedule'!W15</f>
        <v>0</v>
      </c>
      <c r="BB42" s="135" t="s">
        <v>493</v>
      </c>
      <c r="BC42" s="135" t="s">
        <v>496</v>
      </c>
      <c r="BD42" s="136"/>
      <c r="BE42" s="136"/>
      <c r="BF42" s="136"/>
      <c r="BG42" s="135" t="s">
        <v>1088</v>
      </c>
      <c r="BH42" s="135" t="s">
        <v>492</v>
      </c>
      <c r="BI42" s="135" t="s">
        <v>492</v>
      </c>
      <c r="BJ42" s="135" t="s">
        <v>492</v>
      </c>
      <c r="BK42" s="135" t="s">
        <v>492</v>
      </c>
      <c r="BL42" s="135" t="s">
        <v>492</v>
      </c>
      <c r="BM42" s="135" t="s">
        <v>492</v>
      </c>
      <c r="BN42" s="136"/>
      <c r="BO42" s="135" t="s">
        <v>493</v>
      </c>
      <c r="BP42" s="135" t="s">
        <v>493</v>
      </c>
      <c r="BQ42" s="136"/>
      <c r="BR42" s="135">
        <v>90</v>
      </c>
      <c r="BS42" s="135" t="s">
        <v>493</v>
      </c>
      <c r="BT42" s="135" t="s">
        <v>493</v>
      </c>
      <c r="BU42" s="136"/>
      <c r="BV42" s="135" t="s">
        <v>497</v>
      </c>
      <c r="BW42" s="135" t="s">
        <v>490</v>
      </c>
      <c r="BX42" s="135" t="s">
        <v>490</v>
      </c>
      <c r="BY42" s="179">
        <v>1</v>
      </c>
      <c r="BZ42" s="135" t="s">
        <v>493</v>
      </c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  <c r="CK42" s="136"/>
      <c r="CL42" s="135" t="s">
        <v>1090</v>
      </c>
      <c r="CM42" s="135" t="s">
        <v>1091</v>
      </c>
      <c r="CN42" s="135" t="s">
        <v>493</v>
      </c>
      <c r="CO42" s="135" t="s">
        <v>498</v>
      </c>
      <c r="CP42" s="135" t="s">
        <v>493</v>
      </c>
      <c r="CQ42" s="136"/>
      <c r="CR42" s="136"/>
      <c r="CS42" s="135" t="s">
        <v>488</v>
      </c>
      <c r="CT42" s="136"/>
      <c r="CU42" s="136"/>
      <c r="CV42" s="136"/>
      <c r="CW42" s="136"/>
      <c r="CX42" s="136"/>
      <c r="CY42" s="135" t="s">
        <v>499</v>
      </c>
      <c r="CZ42" s="136"/>
      <c r="DA42" s="136"/>
      <c r="DB42" s="136" t="s">
        <v>1092</v>
      </c>
      <c r="DC42" s="210"/>
      <c r="DD42" s="136"/>
      <c r="DE42" s="136"/>
      <c r="DF42" s="135" t="s">
        <v>493</v>
      </c>
      <c r="DG42" s="136"/>
      <c r="DH42" s="135" t="s">
        <v>493</v>
      </c>
      <c r="DI42" s="135" t="s">
        <v>491</v>
      </c>
      <c r="DJ42" s="135" t="s">
        <v>500</v>
      </c>
      <c r="DK42" s="135" t="s">
        <v>501</v>
      </c>
      <c r="DL42" s="135">
        <f>3.14*'Box Schedule'!R15^2/596</f>
        <v>0</v>
      </c>
      <c r="DM42" s="135" t="s">
        <v>502</v>
      </c>
      <c r="DN42" s="135" t="s">
        <v>493</v>
      </c>
      <c r="DO42" s="136"/>
      <c r="DP42" s="136"/>
      <c r="DQ42" s="136"/>
      <c r="DR42" s="136"/>
      <c r="DS42" s="136"/>
      <c r="DT42" s="136"/>
      <c r="DU42" s="136"/>
      <c r="DV42" s="136"/>
      <c r="DW42" s="136"/>
      <c r="DX42" s="136"/>
      <c r="DY42" s="136"/>
      <c r="DZ42" s="136"/>
      <c r="EA42" s="136"/>
      <c r="EB42" s="136"/>
      <c r="EC42" s="136"/>
      <c r="ED42" s="136"/>
      <c r="EE42" s="136"/>
      <c r="EF42" s="136"/>
      <c r="EG42" s="136"/>
      <c r="EH42" s="136"/>
      <c r="EI42" s="136"/>
      <c r="EJ42" s="136"/>
      <c r="EK42" s="136"/>
      <c r="EL42" s="136"/>
      <c r="EM42" s="136"/>
      <c r="EN42" s="136"/>
      <c r="EO42" s="136"/>
      <c r="EP42" s="136"/>
      <c r="EQ42" s="136"/>
      <c r="ER42" s="134"/>
      <c r="ES42" s="134"/>
      <c r="ET42" s="134"/>
    </row>
    <row r="43" spans="1:150" s="154" customFormat="1" ht="12.95" customHeight="1">
      <c r="A43" s="128">
        <v>2030</v>
      </c>
      <c r="B43" s="133" t="s">
        <v>368</v>
      </c>
      <c r="C43" s="133" t="s">
        <v>368</v>
      </c>
      <c r="D43" s="138" t="s">
        <v>368</v>
      </c>
      <c r="E43" s="138"/>
      <c r="F43" s="213"/>
      <c r="G43" s="213"/>
      <c r="H43" s="180"/>
      <c r="I43" s="180"/>
      <c r="J43" s="180"/>
      <c r="K43" s="180"/>
      <c r="L43" s="180"/>
      <c r="M43" s="180"/>
      <c r="N43" s="180"/>
      <c r="O43" s="135" t="s">
        <v>362</v>
      </c>
      <c r="P43" s="135" t="s">
        <v>366</v>
      </c>
      <c r="Q43" s="136"/>
      <c r="R43" s="136"/>
      <c r="S43" s="136"/>
      <c r="T43" s="135" t="s">
        <v>366</v>
      </c>
      <c r="U43" s="136"/>
      <c r="V43" s="136"/>
      <c r="W43" s="135" t="s">
        <v>488</v>
      </c>
      <c r="X43" s="136"/>
      <c r="Y43" s="136"/>
      <c r="Z43" s="136"/>
      <c r="AA43" s="136"/>
      <c r="AB43" s="136"/>
      <c r="AC43" s="136"/>
      <c r="AD43" s="211"/>
      <c r="AE43" s="211"/>
      <c r="AF43" s="136"/>
      <c r="AG43" s="136"/>
      <c r="AH43" s="135" t="s">
        <v>488</v>
      </c>
      <c r="AI43" s="136"/>
      <c r="AJ43" s="179">
        <f t="shared" si="1"/>
        <v>0</v>
      </c>
      <c r="AK43" s="135" t="s">
        <v>491</v>
      </c>
      <c r="AL43" s="135" t="s">
        <v>492</v>
      </c>
      <c r="AM43" s="135" t="s">
        <v>493</v>
      </c>
      <c r="AN43" s="135" t="s">
        <v>1087</v>
      </c>
      <c r="AO43" s="136"/>
      <c r="AP43" s="136"/>
      <c r="AQ43" s="135" t="s">
        <v>492</v>
      </c>
      <c r="AR43" s="135" t="s">
        <v>492</v>
      </c>
      <c r="AS43" s="136"/>
      <c r="AT43" s="136"/>
      <c r="AU43" s="136"/>
      <c r="AV43" s="135" t="s">
        <v>1087</v>
      </c>
      <c r="AW43" s="136"/>
      <c r="AX43" s="135">
        <f>'Box Schedule'!T16</f>
        <v>0</v>
      </c>
      <c r="AY43" s="135">
        <f>'Box Schedule'!U16</f>
        <v>0</v>
      </c>
      <c r="AZ43" s="135">
        <f>'Box Schedule'!V16</f>
        <v>0</v>
      </c>
      <c r="BA43" s="135">
        <f>'Box Schedule'!W16</f>
        <v>0</v>
      </c>
      <c r="BB43" s="135" t="s">
        <v>493</v>
      </c>
      <c r="BC43" s="135" t="s">
        <v>496</v>
      </c>
      <c r="BD43" s="136"/>
      <c r="BE43" s="136"/>
      <c r="BF43" s="136"/>
      <c r="BG43" s="135" t="s">
        <v>1088</v>
      </c>
      <c r="BH43" s="135" t="s">
        <v>492</v>
      </c>
      <c r="BI43" s="135" t="s">
        <v>492</v>
      </c>
      <c r="BJ43" s="135" t="s">
        <v>492</v>
      </c>
      <c r="BK43" s="135" t="s">
        <v>492</v>
      </c>
      <c r="BL43" s="135" t="s">
        <v>492</v>
      </c>
      <c r="BM43" s="135" t="s">
        <v>492</v>
      </c>
      <c r="BN43" s="136"/>
      <c r="BO43" s="135" t="s">
        <v>493</v>
      </c>
      <c r="BP43" s="135" t="s">
        <v>493</v>
      </c>
      <c r="BQ43" s="136"/>
      <c r="BR43" s="135">
        <v>90</v>
      </c>
      <c r="BS43" s="135" t="s">
        <v>493</v>
      </c>
      <c r="BT43" s="135" t="s">
        <v>493</v>
      </c>
      <c r="BU43" s="136"/>
      <c r="BV43" s="135" t="s">
        <v>497</v>
      </c>
      <c r="BW43" s="135" t="s">
        <v>490</v>
      </c>
      <c r="BX43" s="135" t="s">
        <v>490</v>
      </c>
      <c r="BY43" s="179">
        <v>1</v>
      </c>
      <c r="BZ43" s="135" t="s">
        <v>493</v>
      </c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  <c r="CK43" s="136"/>
      <c r="CL43" s="135" t="s">
        <v>1090</v>
      </c>
      <c r="CM43" s="135" t="s">
        <v>1091</v>
      </c>
      <c r="CN43" s="135" t="s">
        <v>493</v>
      </c>
      <c r="CO43" s="135" t="s">
        <v>498</v>
      </c>
      <c r="CP43" s="135" t="s">
        <v>493</v>
      </c>
      <c r="CQ43" s="136"/>
      <c r="CR43" s="136"/>
      <c r="CS43" s="135" t="s">
        <v>488</v>
      </c>
      <c r="CT43" s="136"/>
      <c r="CU43" s="136"/>
      <c r="CV43" s="136"/>
      <c r="CW43" s="136"/>
      <c r="CX43" s="136"/>
      <c r="CY43" s="135" t="s">
        <v>499</v>
      </c>
      <c r="CZ43" s="136"/>
      <c r="DA43" s="136"/>
      <c r="DB43" s="136" t="s">
        <v>491</v>
      </c>
      <c r="DC43" s="210"/>
      <c r="DD43" s="136"/>
      <c r="DE43" s="136"/>
      <c r="DF43" s="135" t="s">
        <v>493</v>
      </c>
      <c r="DG43" s="136"/>
      <c r="DH43" s="135" t="s">
        <v>493</v>
      </c>
      <c r="DI43" s="135" t="s">
        <v>491</v>
      </c>
      <c r="DJ43" s="135" t="s">
        <v>500</v>
      </c>
      <c r="DK43" s="135" t="s">
        <v>501</v>
      </c>
      <c r="DL43" s="135">
        <f>3.14*'Box Schedule'!R16^2/596</f>
        <v>0</v>
      </c>
      <c r="DM43" s="135" t="s">
        <v>502</v>
      </c>
      <c r="DN43" s="135" t="s">
        <v>493</v>
      </c>
      <c r="DO43" s="136"/>
      <c r="DP43" s="136"/>
      <c r="DQ43" s="136"/>
      <c r="DR43" s="136"/>
      <c r="DS43" s="136"/>
      <c r="DT43" s="136"/>
      <c r="DU43" s="136"/>
      <c r="DV43" s="136"/>
      <c r="DW43" s="136"/>
      <c r="DX43" s="136"/>
      <c r="DY43" s="136"/>
      <c r="DZ43" s="136"/>
      <c r="EA43" s="136"/>
      <c r="EB43" s="136"/>
      <c r="EC43" s="136"/>
      <c r="ED43" s="136"/>
      <c r="EE43" s="136"/>
      <c r="EF43" s="136"/>
      <c r="EG43" s="136"/>
      <c r="EH43" s="136"/>
      <c r="EI43" s="136"/>
      <c r="EJ43" s="136"/>
      <c r="EK43" s="136"/>
      <c r="EL43" s="136"/>
      <c r="EM43" s="136"/>
      <c r="EN43" s="136"/>
      <c r="EO43" s="136"/>
      <c r="EP43" s="136"/>
      <c r="EQ43" s="136"/>
      <c r="ER43" s="134"/>
      <c r="ES43" s="134"/>
      <c r="ET43" s="134"/>
    </row>
    <row r="44" spans="1:150" s="154" customFormat="1" ht="12.95" customHeight="1">
      <c r="A44" s="128">
        <v>2033</v>
      </c>
      <c r="B44" s="133" t="s">
        <v>367</v>
      </c>
      <c r="C44" s="133" t="s">
        <v>368</v>
      </c>
      <c r="D44" s="138" t="s">
        <v>367</v>
      </c>
      <c r="E44" s="138"/>
      <c r="F44" s="213"/>
      <c r="G44" s="213"/>
      <c r="H44" s="180"/>
      <c r="I44" s="180"/>
      <c r="J44" s="180"/>
      <c r="K44" s="180"/>
      <c r="L44" s="180"/>
      <c r="M44" s="180"/>
      <c r="N44" s="183" t="s">
        <v>51</v>
      </c>
      <c r="O44" s="135" t="s">
        <v>362</v>
      </c>
      <c r="P44" s="135" t="s">
        <v>366</v>
      </c>
      <c r="Q44" s="136"/>
      <c r="R44" s="136"/>
      <c r="S44" s="136"/>
      <c r="T44" s="135" t="s">
        <v>366</v>
      </c>
      <c r="U44" s="136"/>
      <c r="V44" s="136"/>
      <c r="W44" s="135" t="s">
        <v>488</v>
      </c>
      <c r="X44" s="135" t="s">
        <v>1085</v>
      </c>
      <c r="Y44" s="135" t="s">
        <v>1094</v>
      </c>
      <c r="Z44" s="135" t="s">
        <v>1086</v>
      </c>
      <c r="AA44" s="135" t="s">
        <v>489</v>
      </c>
      <c r="AB44" s="135" t="s">
        <v>489</v>
      </c>
      <c r="AC44" s="136"/>
      <c r="AD44" s="179" t="s">
        <v>489</v>
      </c>
      <c r="AE44" s="179" t="s">
        <v>507</v>
      </c>
      <c r="AF44" s="135" t="s">
        <v>488</v>
      </c>
      <c r="AG44" s="136" t="s">
        <v>491</v>
      </c>
      <c r="AH44" s="135" t="s">
        <v>488</v>
      </c>
      <c r="AI44" s="136"/>
      <c r="AJ44" s="179">
        <f t="shared" si="1"/>
        <v>0</v>
      </c>
      <c r="AK44" s="135" t="s">
        <v>491</v>
      </c>
      <c r="AL44" s="135" t="s">
        <v>492</v>
      </c>
      <c r="AM44" s="135" t="s">
        <v>493</v>
      </c>
      <c r="AN44" s="135" t="s">
        <v>1087</v>
      </c>
      <c r="AO44" s="136"/>
      <c r="AP44" s="136"/>
      <c r="AQ44" s="135" t="s">
        <v>492</v>
      </c>
      <c r="AR44" s="135" t="s">
        <v>492</v>
      </c>
      <c r="AS44" s="136"/>
      <c r="AT44" s="136"/>
      <c r="AU44" s="136"/>
      <c r="AV44" s="135" t="s">
        <v>1087</v>
      </c>
      <c r="AW44" s="136"/>
      <c r="AX44" s="135">
        <f>'Box Schedule'!T17</f>
        <v>0</v>
      </c>
      <c r="AY44" s="135">
        <f>'Box Schedule'!U17</f>
        <v>0</v>
      </c>
      <c r="AZ44" s="135">
        <f>'Box Schedule'!V17</f>
        <v>0</v>
      </c>
      <c r="BA44" s="135">
        <f>'Box Schedule'!W17</f>
        <v>0</v>
      </c>
      <c r="BB44" s="135" t="s">
        <v>493</v>
      </c>
      <c r="BC44" s="135" t="s">
        <v>496</v>
      </c>
      <c r="BD44" s="136"/>
      <c r="BE44" s="136"/>
      <c r="BF44" s="136"/>
      <c r="BG44" s="135" t="s">
        <v>1088</v>
      </c>
      <c r="BH44" s="135" t="s">
        <v>492</v>
      </c>
      <c r="BI44" s="135" t="s">
        <v>492</v>
      </c>
      <c r="BJ44" s="135" t="s">
        <v>492</v>
      </c>
      <c r="BK44" s="135" t="s">
        <v>492</v>
      </c>
      <c r="BL44" s="135" t="s">
        <v>492</v>
      </c>
      <c r="BM44" s="135" t="s">
        <v>492</v>
      </c>
      <c r="BN44" s="136"/>
      <c r="BO44" s="135" t="s">
        <v>493</v>
      </c>
      <c r="BP44" s="135" t="s">
        <v>493</v>
      </c>
      <c r="BQ44" s="136"/>
      <c r="BR44" s="135">
        <v>90</v>
      </c>
      <c r="BS44" s="135" t="s">
        <v>493</v>
      </c>
      <c r="BT44" s="135" t="s">
        <v>493</v>
      </c>
      <c r="BU44" s="136"/>
      <c r="BV44" s="135" t="s">
        <v>497</v>
      </c>
      <c r="BW44" s="135" t="s">
        <v>490</v>
      </c>
      <c r="BX44" s="136"/>
      <c r="BY44" s="179">
        <v>5</v>
      </c>
      <c r="BZ44" s="135" t="s">
        <v>493</v>
      </c>
      <c r="CA44" s="136"/>
      <c r="CB44" s="136"/>
      <c r="CC44" s="136"/>
      <c r="CD44" s="136"/>
      <c r="CE44" s="136"/>
      <c r="CF44" s="136"/>
      <c r="CG44" s="136"/>
      <c r="CH44" s="135" t="s">
        <v>690</v>
      </c>
      <c r="CI44" s="135" t="s">
        <v>1089</v>
      </c>
      <c r="CJ44" s="135" t="s">
        <v>493</v>
      </c>
      <c r="CK44" s="135" t="s">
        <v>493</v>
      </c>
      <c r="CL44" s="135" t="s">
        <v>1090</v>
      </c>
      <c r="CM44" s="135" t="s">
        <v>1091</v>
      </c>
      <c r="CN44" s="135" t="s">
        <v>493</v>
      </c>
      <c r="CO44" s="135" t="s">
        <v>498</v>
      </c>
      <c r="CP44" s="135" t="s">
        <v>493</v>
      </c>
      <c r="CQ44" s="136"/>
      <c r="CR44" s="136"/>
      <c r="CS44" s="135" t="s">
        <v>488</v>
      </c>
      <c r="CT44" s="136"/>
      <c r="CU44" s="135" t="s">
        <v>493</v>
      </c>
      <c r="CV44" s="136"/>
      <c r="CW44" s="136"/>
      <c r="CX44" s="136"/>
      <c r="CY44" s="135" t="s">
        <v>499</v>
      </c>
      <c r="CZ44" s="136"/>
      <c r="DA44" s="136"/>
      <c r="DB44" s="135" t="s">
        <v>1092</v>
      </c>
      <c r="DC44" s="210"/>
      <c r="DD44" s="136"/>
      <c r="DE44" s="136"/>
      <c r="DF44" s="135" t="s">
        <v>493</v>
      </c>
      <c r="DG44" s="135" t="s">
        <v>488</v>
      </c>
      <c r="DH44" s="135" t="s">
        <v>493</v>
      </c>
      <c r="DI44" s="135" t="s">
        <v>491</v>
      </c>
      <c r="DJ44" s="135" t="s">
        <v>500</v>
      </c>
      <c r="DK44" s="135" t="s">
        <v>501</v>
      </c>
      <c r="DL44" s="135">
        <f>3.14*'Box Schedule'!R17^2/596</f>
        <v>0</v>
      </c>
      <c r="DM44" s="135" t="s">
        <v>502</v>
      </c>
      <c r="DN44" s="135" t="s">
        <v>493</v>
      </c>
      <c r="DO44" s="136"/>
      <c r="DP44" s="136"/>
      <c r="DQ44" s="136"/>
      <c r="DR44" s="136"/>
      <c r="DS44" s="136"/>
      <c r="DT44" s="136"/>
      <c r="DU44" s="136"/>
      <c r="DV44" s="136"/>
      <c r="DW44" s="136"/>
      <c r="DX44" s="136"/>
      <c r="DY44" s="136"/>
      <c r="DZ44" s="136"/>
      <c r="EA44" s="136"/>
      <c r="EB44" s="136"/>
      <c r="EC44" s="136"/>
      <c r="ED44" s="136"/>
      <c r="EE44" s="136"/>
      <c r="EF44" s="136"/>
      <c r="EG44" s="136"/>
      <c r="EH44" s="136"/>
      <c r="EI44" s="136"/>
      <c r="EJ44" s="136"/>
      <c r="EK44" s="136"/>
      <c r="EL44" s="136"/>
      <c r="EM44" s="136"/>
      <c r="EN44" s="136"/>
      <c r="EO44" s="136"/>
      <c r="EP44" s="136"/>
      <c r="EQ44" s="136"/>
      <c r="ER44" s="134"/>
      <c r="ES44" s="134"/>
      <c r="ET44" s="134"/>
    </row>
    <row r="45" spans="1:150" s="154" customFormat="1" ht="12.95" customHeight="1">
      <c r="A45" s="128">
        <v>2033</v>
      </c>
      <c r="B45" s="133" t="s">
        <v>367</v>
      </c>
      <c r="C45" s="133" t="s">
        <v>368</v>
      </c>
      <c r="D45" s="138" t="s">
        <v>368</v>
      </c>
      <c r="E45" s="138"/>
      <c r="F45" s="213"/>
      <c r="G45" s="213"/>
      <c r="H45" s="180"/>
      <c r="I45" s="180"/>
      <c r="J45" s="180"/>
      <c r="K45" s="180"/>
      <c r="L45" s="180"/>
      <c r="M45" s="180"/>
      <c r="N45" s="180"/>
      <c r="O45" s="135" t="s">
        <v>362</v>
      </c>
      <c r="P45" s="135" t="s">
        <v>366</v>
      </c>
      <c r="Q45" s="136"/>
      <c r="R45" s="136"/>
      <c r="S45" s="136"/>
      <c r="T45" s="135" t="s">
        <v>366</v>
      </c>
      <c r="U45" s="136"/>
      <c r="V45" s="136"/>
      <c r="W45" s="135" t="s">
        <v>488</v>
      </c>
      <c r="X45" s="135" t="s">
        <v>1085</v>
      </c>
      <c r="Y45" s="135" t="s">
        <v>1094</v>
      </c>
      <c r="Z45" s="135" t="s">
        <v>1086</v>
      </c>
      <c r="AA45" s="135" t="s">
        <v>489</v>
      </c>
      <c r="AB45" s="135" t="s">
        <v>489</v>
      </c>
      <c r="AC45" s="136"/>
      <c r="AD45" s="179" t="s">
        <v>489</v>
      </c>
      <c r="AE45" s="179" t="s">
        <v>507</v>
      </c>
      <c r="AF45" s="135" t="s">
        <v>488</v>
      </c>
      <c r="AG45" s="136" t="s">
        <v>491</v>
      </c>
      <c r="AH45" s="135" t="s">
        <v>488</v>
      </c>
      <c r="AI45" s="136"/>
      <c r="AJ45" s="179">
        <f t="shared" si="1"/>
        <v>100</v>
      </c>
      <c r="AK45" s="135" t="s">
        <v>491</v>
      </c>
      <c r="AL45" s="135" t="s">
        <v>492</v>
      </c>
      <c r="AM45" s="135" t="s">
        <v>493</v>
      </c>
      <c r="AN45" s="135" t="s">
        <v>1087</v>
      </c>
      <c r="AO45" s="136"/>
      <c r="AP45" s="136"/>
      <c r="AQ45" s="135" t="s">
        <v>492</v>
      </c>
      <c r="AR45" s="135" t="s">
        <v>492</v>
      </c>
      <c r="AS45" s="136"/>
      <c r="AT45" s="136"/>
      <c r="AU45" s="136"/>
      <c r="AV45" s="135" t="s">
        <v>1087</v>
      </c>
      <c r="AW45" s="136"/>
      <c r="AX45" s="354">
        <v>220</v>
      </c>
      <c r="AY45" s="354">
        <v>2200</v>
      </c>
      <c r="AZ45" s="354">
        <v>220</v>
      </c>
      <c r="BA45" s="354">
        <v>2200</v>
      </c>
      <c r="BB45" s="135" t="s">
        <v>493</v>
      </c>
      <c r="BC45" s="135" t="s">
        <v>496</v>
      </c>
      <c r="BD45" s="136"/>
      <c r="BE45" s="136"/>
      <c r="BF45" s="136"/>
      <c r="BG45" s="135" t="s">
        <v>1088</v>
      </c>
      <c r="BH45" s="135" t="s">
        <v>492</v>
      </c>
      <c r="BI45" s="135" t="s">
        <v>492</v>
      </c>
      <c r="BJ45" s="135" t="s">
        <v>492</v>
      </c>
      <c r="BK45" s="135" t="s">
        <v>492</v>
      </c>
      <c r="BL45" s="135" t="s">
        <v>492</v>
      </c>
      <c r="BM45" s="135" t="s">
        <v>492</v>
      </c>
      <c r="BN45" s="136"/>
      <c r="BO45" s="135" t="s">
        <v>493</v>
      </c>
      <c r="BP45" s="135" t="s">
        <v>493</v>
      </c>
      <c r="BQ45" s="136"/>
      <c r="BR45" s="135">
        <v>90</v>
      </c>
      <c r="BS45" s="135" t="s">
        <v>493</v>
      </c>
      <c r="BT45" s="135" t="s">
        <v>493</v>
      </c>
      <c r="BU45" s="136"/>
      <c r="BV45" s="135" t="s">
        <v>497</v>
      </c>
      <c r="BW45" s="135" t="s">
        <v>490</v>
      </c>
      <c r="BX45" s="136"/>
      <c r="BY45" s="179">
        <v>13</v>
      </c>
      <c r="BZ45" s="135" t="s">
        <v>493</v>
      </c>
      <c r="CA45" s="136"/>
      <c r="CB45" s="136"/>
      <c r="CC45" s="136"/>
      <c r="CD45" s="136"/>
      <c r="CE45" s="136"/>
      <c r="CF45" s="136"/>
      <c r="CG45" s="136"/>
      <c r="CH45" s="135" t="s">
        <v>690</v>
      </c>
      <c r="CI45" s="135" t="s">
        <v>1089</v>
      </c>
      <c r="CJ45" s="135" t="s">
        <v>493</v>
      </c>
      <c r="CK45" s="135" t="s">
        <v>493</v>
      </c>
      <c r="CL45" s="135" t="s">
        <v>1090</v>
      </c>
      <c r="CM45" s="135" t="s">
        <v>1091</v>
      </c>
      <c r="CN45" s="135" t="s">
        <v>493</v>
      </c>
      <c r="CO45" s="135" t="s">
        <v>498</v>
      </c>
      <c r="CP45" s="135" t="s">
        <v>493</v>
      </c>
      <c r="CQ45" s="136"/>
      <c r="CR45" s="136"/>
      <c r="CS45" s="135" t="s">
        <v>488</v>
      </c>
      <c r="CT45" s="136"/>
      <c r="CU45" s="135" t="s">
        <v>493</v>
      </c>
      <c r="CV45" s="136"/>
      <c r="CW45" s="136"/>
      <c r="CX45" s="136"/>
      <c r="CY45" s="135" t="s">
        <v>499</v>
      </c>
      <c r="CZ45" s="136"/>
      <c r="DA45" s="136"/>
      <c r="DB45" s="135" t="s">
        <v>1092</v>
      </c>
      <c r="DC45" s="210"/>
      <c r="DD45" s="136"/>
      <c r="DE45" s="136"/>
      <c r="DF45" s="135" t="s">
        <v>493</v>
      </c>
      <c r="DG45" s="135" t="s">
        <v>488</v>
      </c>
      <c r="DH45" s="135" t="s">
        <v>493</v>
      </c>
      <c r="DI45" s="135" t="s">
        <v>491</v>
      </c>
      <c r="DJ45" s="135" t="s">
        <v>500</v>
      </c>
      <c r="DK45" s="135" t="s">
        <v>501</v>
      </c>
      <c r="DL45" s="135">
        <v>1</v>
      </c>
      <c r="DM45" s="135" t="s">
        <v>502</v>
      </c>
      <c r="DN45" s="135" t="s">
        <v>493</v>
      </c>
      <c r="DO45" s="136"/>
      <c r="DP45" s="136"/>
      <c r="DQ45" s="136"/>
      <c r="DR45" s="136"/>
      <c r="DS45" s="136"/>
      <c r="DT45" s="136"/>
      <c r="DU45" s="136"/>
      <c r="DV45" s="136"/>
      <c r="DW45" s="136"/>
      <c r="DX45" s="136"/>
      <c r="DY45" s="136"/>
      <c r="DZ45" s="136"/>
      <c r="EA45" s="136"/>
      <c r="EB45" s="136"/>
      <c r="EC45" s="136"/>
      <c r="ED45" s="136"/>
      <c r="EE45" s="136"/>
      <c r="EF45" s="136"/>
      <c r="EG45" s="136"/>
      <c r="EH45" s="136"/>
      <c r="EI45" s="136"/>
      <c r="EJ45" s="136"/>
      <c r="EK45" s="136"/>
      <c r="EL45" s="136"/>
      <c r="EM45" s="136"/>
      <c r="EN45" s="136"/>
      <c r="EO45" s="136"/>
      <c r="EP45" s="136"/>
      <c r="EQ45" s="136"/>
      <c r="ER45" s="134"/>
      <c r="ES45" s="134"/>
      <c r="ET45" s="134"/>
    </row>
    <row r="46" spans="1:150" s="154" customFormat="1" ht="12.95" customHeight="1">
      <c r="A46" s="128">
        <v>2033</v>
      </c>
      <c r="B46" s="133" t="s">
        <v>368</v>
      </c>
      <c r="C46" s="133" t="s">
        <v>368</v>
      </c>
      <c r="D46" s="138" t="s">
        <v>367</v>
      </c>
      <c r="E46" s="138"/>
      <c r="F46" s="213"/>
      <c r="G46" s="213"/>
      <c r="H46" s="180"/>
      <c r="I46" s="180"/>
      <c r="J46" s="180"/>
      <c r="K46" s="180"/>
      <c r="L46" s="180"/>
      <c r="M46" s="180"/>
      <c r="N46" s="180"/>
      <c r="O46" s="135" t="s">
        <v>362</v>
      </c>
      <c r="P46" s="135" t="s">
        <v>366</v>
      </c>
      <c r="Q46" s="136"/>
      <c r="R46" s="136"/>
      <c r="S46" s="136"/>
      <c r="T46" s="135" t="s">
        <v>366</v>
      </c>
      <c r="U46" s="136"/>
      <c r="V46" s="136"/>
      <c r="W46" s="135" t="s">
        <v>488</v>
      </c>
      <c r="X46" s="135" t="s">
        <v>1085</v>
      </c>
      <c r="Y46" s="135" t="s">
        <v>1086</v>
      </c>
      <c r="Z46" s="135" t="s">
        <v>1086</v>
      </c>
      <c r="AA46" s="135" t="s">
        <v>489</v>
      </c>
      <c r="AB46" s="135" t="s">
        <v>489</v>
      </c>
      <c r="AC46" s="136"/>
      <c r="AD46" s="179" t="s">
        <v>489</v>
      </c>
      <c r="AE46" s="179" t="s">
        <v>507</v>
      </c>
      <c r="AF46" s="135" t="s">
        <v>488</v>
      </c>
      <c r="AG46" s="135" t="s">
        <v>491</v>
      </c>
      <c r="AH46" s="135" t="s">
        <v>488</v>
      </c>
      <c r="AI46" s="136"/>
      <c r="AJ46" s="179">
        <f t="shared" si="1"/>
        <v>0</v>
      </c>
      <c r="AK46" s="135" t="s">
        <v>491</v>
      </c>
      <c r="AL46" s="135" t="s">
        <v>492</v>
      </c>
      <c r="AM46" s="135" t="s">
        <v>493</v>
      </c>
      <c r="AN46" s="135" t="s">
        <v>1087</v>
      </c>
      <c r="AO46" s="136"/>
      <c r="AP46" s="136"/>
      <c r="AQ46" s="135" t="s">
        <v>492</v>
      </c>
      <c r="AR46" s="135" t="s">
        <v>492</v>
      </c>
      <c r="AS46" s="136"/>
      <c r="AT46" s="136"/>
      <c r="AU46" s="136"/>
      <c r="AV46" s="135" t="s">
        <v>1087</v>
      </c>
      <c r="AW46" s="136"/>
      <c r="AX46" s="135">
        <f>'Box Schedule'!T18</f>
        <v>0</v>
      </c>
      <c r="AY46" s="135">
        <f>'Box Schedule'!U18</f>
        <v>0</v>
      </c>
      <c r="AZ46" s="135">
        <f>'Box Schedule'!V18</f>
        <v>0</v>
      </c>
      <c r="BA46" s="135">
        <f>'Box Schedule'!W18</f>
        <v>0</v>
      </c>
      <c r="BB46" s="135" t="s">
        <v>493</v>
      </c>
      <c r="BC46" s="135" t="s">
        <v>496</v>
      </c>
      <c r="BD46" s="136"/>
      <c r="BE46" s="136"/>
      <c r="BF46" s="136"/>
      <c r="BG46" s="135" t="s">
        <v>1088</v>
      </c>
      <c r="BH46" s="135" t="s">
        <v>492</v>
      </c>
      <c r="BI46" s="135" t="s">
        <v>492</v>
      </c>
      <c r="BJ46" s="135" t="s">
        <v>492</v>
      </c>
      <c r="BK46" s="135" t="s">
        <v>492</v>
      </c>
      <c r="BL46" s="135" t="s">
        <v>492</v>
      </c>
      <c r="BM46" s="135" t="s">
        <v>492</v>
      </c>
      <c r="BN46" s="136"/>
      <c r="BO46" s="135" t="s">
        <v>493</v>
      </c>
      <c r="BP46" s="135" t="s">
        <v>493</v>
      </c>
      <c r="BQ46" s="136"/>
      <c r="BR46" s="135">
        <v>90</v>
      </c>
      <c r="BS46" s="135" t="s">
        <v>493</v>
      </c>
      <c r="BT46" s="135" t="s">
        <v>493</v>
      </c>
      <c r="BU46" s="136"/>
      <c r="BV46" s="135" t="s">
        <v>497</v>
      </c>
      <c r="BW46" s="135" t="s">
        <v>490</v>
      </c>
      <c r="BX46" s="136"/>
      <c r="BY46" s="179">
        <v>5</v>
      </c>
      <c r="BZ46" s="135" t="s">
        <v>493</v>
      </c>
      <c r="CA46" s="136"/>
      <c r="CB46" s="136"/>
      <c r="CC46" s="136"/>
      <c r="CD46" s="136"/>
      <c r="CE46" s="136"/>
      <c r="CF46" s="136"/>
      <c r="CG46" s="136"/>
      <c r="CH46" s="135" t="s">
        <v>690</v>
      </c>
      <c r="CI46" s="135" t="s">
        <v>1089</v>
      </c>
      <c r="CJ46" s="135" t="s">
        <v>493</v>
      </c>
      <c r="CK46" s="135" t="s">
        <v>493</v>
      </c>
      <c r="CL46" s="135" t="s">
        <v>1090</v>
      </c>
      <c r="CM46" s="135" t="s">
        <v>1091</v>
      </c>
      <c r="CN46" s="135" t="s">
        <v>493</v>
      </c>
      <c r="CO46" s="135" t="s">
        <v>498</v>
      </c>
      <c r="CP46" s="135" t="s">
        <v>493</v>
      </c>
      <c r="CQ46" s="136"/>
      <c r="CR46" s="136"/>
      <c r="CS46" s="135" t="s">
        <v>488</v>
      </c>
      <c r="CT46" s="136"/>
      <c r="CU46" s="135" t="s">
        <v>493</v>
      </c>
      <c r="CV46" s="136"/>
      <c r="CW46" s="136"/>
      <c r="CX46" s="136"/>
      <c r="CY46" s="135" t="s">
        <v>499</v>
      </c>
      <c r="CZ46" s="136"/>
      <c r="DA46" s="136"/>
      <c r="DB46" s="135" t="s">
        <v>491</v>
      </c>
      <c r="DC46" s="210"/>
      <c r="DD46" s="136"/>
      <c r="DE46" s="136"/>
      <c r="DF46" s="135" t="s">
        <v>493</v>
      </c>
      <c r="DG46" s="135" t="s">
        <v>488</v>
      </c>
      <c r="DH46" s="135" t="s">
        <v>493</v>
      </c>
      <c r="DI46" s="135" t="s">
        <v>491</v>
      </c>
      <c r="DJ46" s="135" t="s">
        <v>500</v>
      </c>
      <c r="DK46" s="135" t="s">
        <v>501</v>
      </c>
      <c r="DL46" s="135">
        <f>3.14*'Box Schedule'!R18^2/596</f>
        <v>0</v>
      </c>
      <c r="DM46" s="135" t="s">
        <v>502</v>
      </c>
      <c r="DN46" s="135" t="s">
        <v>493</v>
      </c>
      <c r="DO46" s="136"/>
      <c r="DP46" s="136"/>
      <c r="DQ46" s="136"/>
      <c r="DR46" s="136"/>
      <c r="DS46" s="136"/>
      <c r="DT46" s="136"/>
      <c r="DU46" s="136"/>
      <c r="DV46" s="136"/>
      <c r="DW46" s="136"/>
      <c r="DX46" s="136"/>
      <c r="DY46" s="136"/>
      <c r="DZ46" s="136"/>
      <c r="EA46" s="136"/>
      <c r="EB46" s="136"/>
      <c r="EC46" s="136"/>
      <c r="ED46" s="136"/>
      <c r="EE46" s="136"/>
      <c r="EF46" s="136"/>
      <c r="EG46" s="136"/>
      <c r="EH46" s="136"/>
      <c r="EI46" s="136"/>
      <c r="EJ46" s="136"/>
      <c r="EK46" s="136"/>
      <c r="EL46" s="136"/>
      <c r="EM46" s="136"/>
      <c r="EN46" s="136"/>
      <c r="EO46" s="136"/>
      <c r="EP46" s="136"/>
      <c r="EQ46" s="136"/>
      <c r="ER46" s="134"/>
      <c r="ES46" s="134"/>
      <c r="ET46" s="134"/>
    </row>
    <row r="47" spans="1:150" s="154" customFormat="1" ht="12.95" customHeight="1">
      <c r="A47" s="128">
        <v>2033</v>
      </c>
      <c r="B47" s="133" t="s">
        <v>368</v>
      </c>
      <c r="C47" s="133" t="s">
        <v>368</v>
      </c>
      <c r="D47" s="138" t="s">
        <v>368</v>
      </c>
      <c r="E47" s="138"/>
      <c r="F47" s="213"/>
      <c r="G47" s="213"/>
      <c r="H47" s="180"/>
      <c r="I47" s="180"/>
      <c r="J47" s="180"/>
      <c r="K47" s="180"/>
      <c r="L47" s="180"/>
      <c r="M47" s="180"/>
      <c r="N47" s="180"/>
      <c r="O47" s="135" t="s">
        <v>362</v>
      </c>
      <c r="P47" s="135" t="s">
        <v>366</v>
      </c>
      <c r="Q47" s="136"/>
      <c r="R47" s="136"/>
      <c r="S47" s="136"/>
      <c r="T47" s="135" t="s">
        <v>366</v>
      </c>
      <c r="U47" s="136"/>
      <c r="V47" s="136"/>
      <c r="W47" s="135" t="s">
        <v>488</v>
      </c>
      <c r="X47" s="135" t="s">
        <v>1085</v>
      </c>
      <c r="Y47" s="135" t="s">
        <v>1086</v>
      </c>
      <c r="Z47" s="135" t="s">
        <v>1086</v>
      </c>
      <c r="AA47" s="135" t="s">
        <v>489</v>
      </c>
      <c r="AB47" s="135" t="s">
        <v>489</v>
      </c>
      <c r="AC47" s="136"/>
      <c r="AD47" s="179" t="s">
        <v>489</v>
      </c>
      <c r="AE47" s="179" t="s">
        <v>507</v>
      </c>
      <c r="AF47" s="135" t="s">
        <v>488</v>
      </c>
      <c r="AG47" s="135" t="s">
        <v>491</v>
      </c>
      <c r="AH47" s="135" t="s">
        <v>488</v>
      </c>
      <c r="AI47" s="136"/>
      <c r="AJ47" s="179">
        <f t="shared" si="1"/>
        <v>0</v>
      </c>
      <c r="AK47" s="135" t="s">
        <v>491</v>
      </c>
      <c r="AL47" s="135" t="s">
        <v>492</v>
      </c>
      <c r="AM47" s="135" t="s">
        <v>493</v>
      </c>
      <c r="AN47" s="135" t="s">
        <v>1087</v>
      </c>
      <c r="AO47" s="136"/>
      <c r="AP47" s="136"/>
      <c r="AQ47" s="135" t="s">
        <v>492</v>
      </c>
      <c r="AR47" s="135" t="s">
        <v>492</v>
      </c>
      <c r="AS47" s="136"/>
      <c r="AT47" s="136"/>
      <c r="AU47" s="136"/>
      <c r="AV47" s="135" t="s">
        <v>1087</v>
      </c>
      <c r="AW47" s="136"/>
      <c r="AX47" s="135">
        <f>'Box Schedule'!T19</f>
        <v>0</v>
      </c>
      <c r="AY47" s="135">
        <f>'Box Schedule'!U19</f>
        <v>0</v>
      </c>
      <c r="AZ47" s="135">
        <f>'Box Schedule'!V19</f>
        <v>0</v>
      </c>
      <c r="BA47" s="135">
        <f>'Box Schedule'!W19</f>
        <v>0</v>
      </c>
      <c r="BB47" s="135" t="s">
        <v>493</v>
      </c>
      <c r="BC47" s="135" t="s">
        <v>496</v>
      </c>
      <c r="BD47" s="136"/>
      <c r="BE47" s="136"/>
      <c r="BF47" s="136"/>
      <c r="BG47" s="135" t="s">
        <v>1088</v>
      </c>
      <c r="BH47" s="135" t="s">
        <v>492</v>
      </c>
      <c r="BI47" s="135" t="s">
        <v>492</v>
      </c>
      <c r="BJ47" s="135" t="s">
        <v>492</v>
      </c>
      <c r="BK47" s="135" t="s">
        <v>492</v>
      </c>
      <c r="BL47" s="135" t="s">
        <v>492</v>
      </c>
      <c r="BM47" s="135" t="s">
        <v>492</v>
      </c>
      <c r="BN47" s="136"/>
      <c r="BO47" s="135" t="s">
        <v>493</v>
      </c>
      <c r="BP47" s="135" t="s">
        <v>493</v>
      </c>
      <c r="BQ47" s="136"/>
      <c r="BR47" s="135">
        <v>90</v>
      </c>
      <c r="BS47" s="135" t="s">
        <v>493</v>
      </c>
      <c r="BT47" s="135" t="s">
        <v>493</v>
      </c>
      <c r="BU47" s="136"/>
      <c r="BV47" s="135" t="s">
        <v>497</v>
      </c>
      <c r="BW47" s="135" t="s">
        <v>490</v>
      </c>
      <c r="BX47" s="136"/>
      <c r="BY47" s="179">
        <v>13</v>
      </c>
      <c r="BZ47" s="135" t="s">
        <v>493</v>
      </c>
      <c r="CA47" s="136"/>
      <c r="CB47" s="136"/>
      <c r="CC47" s="136"/>
      <c r="CD47" s="136"/>
      <c r="CE47" s="136"/>
      <c r="CF47" s="136"/>
      <c r="CG47" s="136"/>
      <c r="CH47" s="135" t="s">
        <v>690</v>
      </c>
      <c r="CI47" s="135" t="s">
        <v>1089</v>
      </c>
      <c r="CJ47" s="135" t="s">
        <v>493</v>
      </c>
      <c r="CK47" s="135" t="s">
        <v>493</v>
      </c>
      <c r="CL47" s="135" t="s">
        <v>1090</v>
      </c>
      <c r="CM47" s="135" t="s">
        <v>1091</v>
      </c>
      <c r="CN47" s="135" t="s">
        <v>493</v>
      </c>
      <c r="CO47" s="135" t="s">
        <v>498</v>
      </c>
      <c r="CP47" s="135" t="s">
        <v>493</v>
      </c>
      <c r="CQ47" s="136"/>
      <c r="CR47" s="136"/>
      <c r="CS47" s="135" t="s">
        <v>488</v>
      </c>
      <c r="CT47" s="136"/>
      <c r="CU47" s="135" t="s">
        <v>493</v>
      </c>
      <c r="CV47" s="136"/>
      <c r="CW47" s="136"/>
      <c r="CX47" s="136"/>
      <c r="CY47" s="135" t="s">
        <v>499</v>
      </c>
      <c r="CZ47" s="136"/>
      <c r="DA47" s="136"/>
      <c r="DB47" s="135" t="s">
        <v>491</v>
      </c>
      <c r="DC47" s="210"/>
      <c r="DD47" s="136"/>
      <c r="DE47" s="136"/>
      <c r="DF47" s="135" t="s">
        <v>493</v>
      </c>
      <c r="DG47" s="135" t="s">
        <v>488</v>
      </c>
      <c r="DH47" s="135" t="s">
        <v>493</v>
      </c>
      <c r="DI47" s="135" t="s">
        <v>491</v>
      </c>
      <c r="DJ47" s="135" t="s">
        <v>500</v>
      </c>
      <c r="DK47" s="135" t="s">
        <v>501</v>
      </c>
      <c r="DL47" s="135">
        <f>3.14*'Box Schedule'!R19^2/596</f>
        <v>0</v>
      </c>
      <c r="DM47" s="135" t="s">
        <v>502</v>
      </c>
      <c r="DN47" s="135" t="s">
        <v>493</v>
      </c>
      <c r="DO47" s="136"/>
      <c r="DP47" s="136"/>
      <c r="DQ47" s="136"/>
      <c r="DR47" s="136"/>
      <c r="DS47" s="136"/>
      <c r="DT47" s="136"/>
      <c r="DU47" s="136"/>
      <c r="DV47" s="136"/>
      <c r="DW47" s="136"/>
      <c r="DX47" s="136"/>
      <c r="DY47" s="136"/>
      <c r="DZ47" s="136"/>
      <c r="EA47" s="136"/>
      <c r="EB47" s="136"/>
      <c r="EC47" s="136"/>
      <c r="ED47" s="136"/>
      <c r="EE47" s="136"/>
      <c r="EF47" s="136"/>
      <c r="EG47" s="136"/>
      <c r="EH47" s="136"/>
      <c r="EI47" s="136"/>
      <c r="EJ47" s="136"/>
      <c r="EK47" s="136"/>
      <c r="EL47" s="136"/>
      <c r="EM47" s="136"/>
      <c r="EN47" s="136"/>
      <c r="EO47" s="136"/>
      <c r="EP47" s="136"/>
      <c r="EQ47" s="136"/>
      <c r="ER47" s="134"/>
      <c r="ES47" s="134"/>
      <c r="ET47" s="134"/>
    </row>
    <row r="48" spans="1:150" s="154" customFormat="1" ht="12.95" customHeight="1">
      <c r="A48" s="128">
        <v>2051</v>
      </c>
      <c r="B48" s="133" t="s">
        <v>368</v>
      </c>
      <c r="C48" s="133" t="s">
        <v>368</v>
      </c>
      <c r="D48" s="138" t="s">
        <v>368</v>
      </c>
      <c r="E48" s="138" t="s">
        <v>367</v>
      </c>
      <c r="F48" s="213" t="s">
        <v>367</v>
      </c>
      <c r="G48" s="213"/>
      <c r="H48" s="180"/>
      <c r="I48" s="180"/>
      <c r="J48" s="180"/>
      <c r="K48" s="180"/>
      <c r="L48" s="180"/>
      <c r="M48" s="180"/>
      <c r="N48" s="183" t="s">
        <v>54</v>
      </c>
      <c r="O48" s="135" t="s">
        <v>362</v>
      </c>
      <c r="P48" s="135" t="s">
        <v>366</v>
      </c>
      <c r="Q48" s="136"/>
      <c r="R48" s="136"/>
      <c r="S48" s="136"/>
      <c r="T48" s="135" t="s">
        <v>366</v>
      </c>
      <c r="U48" s="136"/>
      <c r="V48" s="136"/>
      <c r="W48" s="135" t="s">
        <v>488</v>
      </c>
      <c r="X48" s="135" t="s">
        <v>1085</v>
      </c>
      <c r="Y48" s="135" t="s">
        <v>488</v>
      </c>
      <c r="Z48" s="135" t="s">
        <v>1086</v>
      </c>
      <c r="AA48" s="135" t="s">
        <v>503</v>
      </c>
      <c r="AB48" s="135" t="s">
        <v>489</v>
      </c>
      <c r="AC48" s="136"/>
      <c r="AD48" s="179" t="s">
        <v>489</v>
      </c>
      <c r="AE48" s="179" t="s">
        <v>507</v>
      </c>
      <c r="AF48" s="135" t="s">
        <v>488</v>
      </c>
      <c r="AG48" s="136" t="s">
        <v>491</v>
      </c>
      <c r="AH48" s="135" t="s">
        <v>488</v>
      </c>
      <c r="AI48" s="136"/>
      <c r="AJ48" s="136"/>
      <c r="AK48" s="135" t="s">
        <v>491</v>
      </c>
      <c r="AL48" s="135" t="s">
        <v>492</v>
      </c>
      <c r="AM48" s="135" t="s">
        <v>493</v>
      </c>
      <c r="AN48" s="135" t="s">
        <v>504</v>
      </c>
      <c r="AO48" s="136"/>
      <c r="AP48" s="136"/>
      <c r="AQ48" s="135" t="s">
        <v>492</v>
      </c>
      <c r="AR48" s="135" t="s">
        <v>492</v>
      </c>
      <c r="AS48" s="136"/>
      <c r="AT48" s="136"/>
      <c r="AU48" s="136"/>
      <c r="AV48" s="135" t="s">
        <v>504</v>
      </c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5" t="s">
        <v>492</v>
      </c>
      <c r="BI48" s="135" t="s">
        <v>492</v>
      </c>
      <c r="BJ48" s="135" t="s">
        <v>492</v>
      </c>
      <c r="BK48" s="135" t="s">
        <v>492</v>
      </c>
      <c r="BL48" s="135" t="s">
        <v>492</v>
      </c>
      <c r="BM48" s="135" t="s">
        <v>492</v>
      </c>
      <c r="BN48" s="136"/>
      <c r="BO48" s="135" t="s">
        <v>493</v>
      </c>
      <c r="BP48" s="135" t="s">
        <v>493</v>
      </c>
      <c r="BQ48" s="136"/>
      <c r="BR48" s="135" t="s">
        <v>497</v>
      </c>
      <c r="BS48" s="135" t="s">
        <v>493</v>
      </c>
      <c r="BT48" s="135" t="s">
        <v>493</v>
      </c>
      <c r="BU48" s="136"/>
      <c r="BV48" s="135">
        <v>130</v>
      </c>
      <c r="BW48" s="135" t="s">
        <v>490</v>
      </c>
      <c r="BX48" s="135" t="s">
        <v>490</v>
      </c>
      <c r="BY48" s="179">
        <v>15</v>
      </c>
      <c r="BZ48" s="135" t="s">
        <v>493</v>
      </c>
      <c r="CA48" s="136" t="s">
        <v>491</v>
      </c>
      <c r="CB48" s="136"/>
      <c r="CC48" s="136"/>
      <c r="CD48" s="135" t="s">
        <v>505</v>
      </c>
      <c r="CE48" s="135" t="s">
        <v>506</v>
      </c>
      <c r="CF48" s="135" t="s">
        <v>493</v>
      </c>
      <c r="CG48" s="135" t="s">
        <v>493</v>
      </c>
      <c r="CH48" s="135" t="s">
        <v>690</v>
      </c>
      <c r="CI48" s="135" t="s">
        <v>506</v>
      </c>
      <c r="CJ48" s="135" t="s">
        <v>493</v>
      </c>
      <c r="CK48" s="135" t="s">
        <v>493</v>
      </c>
      <c r="CL48" s="136"/>
      <c r="CM48" s="136"/>
      <c r="CN48" s="136"/>
      <c r="CO48" s="136"/>
      <c r="CP48" s="136"/>
      <c r="CQ48" s="136"/>
      <c r="CR48" s="136"/>
      <c r="CS48" s="135" t="s">
        <v>488</v>
      </c>
      <c r="CT48" s="135" t="s">
        <v>493</v>
      </c>
      <c r="CU48" s="135" t="s">
        <v>493</v>
      </c>
      <c r="CV48" s="136"/>
      <c r="CW48" s="136"/>
      <c r="CX48" s="136"/>
      <c r="CY48" s="135" t="s">
        <v>505</v>
      </c>
      <c r="CZ48" s="135" t="s">
        <v>1093</v>
      </c>
      <c r="DA48" s="135" t="s">
        <v>690</v>
      </c>
      <c r="DB48" s="136"/>
      <c r="DC48" s="210"/>
      <c r="DD48" s="136"/>
      <c r="DE48" s="135" t="s">
        <v>496</v>
      </c>
      <c r="DF48" s="136"/>
      <c r="DG48" s="135" t="s">
        <v>488</v>
      </c>
      <c r="DH48" s="136"/>
      <c r="DI48" s="136"/>
      <c r="DJ48" s="136"/>
      <c r="DK48" s="135" t="s">
        <v>501</v>
      </c>
      <c r="DL48" s="136">
        <v>1</v>
      </c>
      <c r="DM48" s="135" t="s">
        <v>502</v>
      </c>
      <c r="DN48" s="135" t="s">
        <v>493</v>
      </c>
      <c r="DO48" s="136"/>
      <c r="DP48" s="136"/>
      <c r="DQ48" s="136"/>
      <c r="DR48" s="136"/>
      <c r="DS48" s="136"/>
      <c r="DT48" s="136"/>
      <c r="DU48" s="136"/>
      <c r="DV48" s="136"/>
      <c r="DW48" s="136"/>
      <c r="DX48" s="136"/>
      <c r="DY48" s="136"/>
      <c r="DZ48" s="136"/>
      <c r="EA48" s="136"/>
      <c r="EB48" s="136"/>
      <c r="EC48" s="136"/>
      <c r="ED48" s="136"/>
      <c r="EE48" s="136"/>
      <c r="EF48" s="136"/>
      <c r="EG48" s="136"/>
      <c r="EH48" s="136"/>
      <c r="EI48" s="136"/>
      <c r="EJ48" s="136"/>
      <c r="EK48" s="136"/>
      <c r="EL48" s="136"/>
      <c r="EM48" s="136"/>
      <c r="EN48" s="136"/>
      <c r="EO48" s="136"/>
      <c r="EP48" s="136"/>
      <c r="EQ48" s="136"/>
      <c r="ER48" s="134"/>
      <c r="ES48" s="134"/>
      <c r="ET48" s="134"/>
    </row>
    <row r="49" spans="1:150" s="154" customFormat="1" ht="12.95" customHeight="1">
      <c r="A49" s="333">
        <v>2051</v>
      </c>
      <c r="B49" s="334" t="s">
        <v>368</v>
      </c>
      <c r="C49" s="334" t="s">
        <v>368</v>
      </c>
      <c r="D49" s="335" t="s">
        <v>368</v>
      </c>
      <c r="E49" s="335" t="s">
        <v>367</v>
      </c>
      <c r="F49" s="336" t="s">
        <v>368</v>
      </c>
      <c r="G49" s="337"/>
      <c r="H49" s="338"/>
      <c r="I49" s="338"/>
      <c r="J49" s="338"/>
      <c r="K49" s="338"/>
      <c r="L49" s="338"/>
      <c r="M49" s="338"/>
      <c r="N49" s="338"/>
      <c r="O49" s="135" t="s">
        <v>362</v>
      </c>
      <c r="P49" s="135" t="s">
        <v>366</v>
      </c>
      <c r="Q49" s="136"/>
      <c r="R49" s="136"/>
      <c r="S49" s="136"/>
      <c r="T49" s="135" t="s">
        <v>366</v>
      </c>
      <c r="U49" s="136"/>
      <c r="V49" s="136"/>
      <c r="W49" s="135" t="s">
        <v>488</v>
      </c>
      <c r="X49" s="135" t="s">
        <v>1085</v>
      </c>
      <c r="Y49" s="135" t="s">
        <v>488</v>
      </c>
      <c r="Z49" s="135" t="s">
        <v>1086</v>
      </c>
      <c r="AA49" s="135" t="s">
        <v>503</v>
      </c>
      <c r="AB49" s="135" t="s">
        <v>489</v>
      </c>
      <c r="AC49" s="136"/>
      <c r="AD49" s="179" t="s">
        <v>489</v>
      </c>
      <c r="AE49" s="179" t="s">
        <v>507</v>
      </c>
      <c r="AF49" s="135" t="s">
        <v>488</v>
      </c>
      <c r="AG49" s="136" t="s">
        <v>491</v>
      </c>
      <c r="AH49" s="135" t="s">
        <v>488</v>
      </c>
      <c r="AI49" s="136"/>
      <c r="AJ49" s="136"/>
      <c r="AK49" s="135" t="s">
        <v>491</v>
      </c>
      <c r="AL49" s="135" t="s">
        <v>492</v>
      </c>
      <c r="AM49" s="135" t="s">
        <v>493</v>
      </c>
      <c r="AN49" s="135" t="s">
        <v>504</v>
      </c>
      <c r="AO49" s="136"/>
      <c r="AP49" s="136"/>
      <c r="AQ49" s="135" t="s">
        <v>492</v>
      </c>
      <c r="AR49" s="135" t="s">
        <v>492</v>
      </c>
      <c r="AS49" s="136"/>
      <c r="AT49" s="136"/>
      <c r="AU49" s="136"/>
      <c r="AV49" s="135" t="s">
        <v>504</v>
      </c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5" t="s">
        <v>492</v>
      </c>
      <c r="BI49" s="135" t="s">
        <v>492</v>
      </c>
      <c r="BJ49" s="135" t="s">
        <v>492</v>
      </c>
      <c r="BK49" s="135" t="s">
        <v>492</v>
      </c>
      <c r="BL49" s="135" t="s">
        <v>492</v>
      </c>
      <c r="BM49" s="135" t="s">
        <v>492</v>
      </c>
      <c r="BN49" s="136"/>
      <c r="BO49" s="135" t="s">
        <v>493</v>
      </c>
      <c r="BP49" s="135" t="s">
        <v>493</v>
      </c>
      <c r="BQ49" s="136"/>
      <c r="BR49" s="135" t="s">
        <v>497</v>
      </c>
      <c r="BS49" s="135" t="s">
        <v>493</v>
      </c>
      <c r="BT49" s="135" t="s">
        <v>493</v>
      </c>
      <c r="BU49" s="136"/>
      <c r="BV49" s="135">
        <v>130</v>
      </c>
      <c r="BW49" s="135" t="s">
        <v>490</v>
      </c>
      <c r="BX49" s="135" t="s">
        <v>490</v>
      </c>
      <c r="BY49" s="179">
        <v>12</v>
      </c>
      <c r="BZ49" s="135" t="s">
        <v>493</v>
      </c>
      <c r="CA49" s="136" t="s">
        <v>491</v>
      </c>
      <c r="CB49" s="136"/>
      <c r="CC49" s="136"/>
      <c r="CD49" s="135" t="s">
        <v>505</v>
      </c>
      <c r="CE49" s="135" t="s">
        <v>506</v>
      </c>
      <c r="CF49" s="135" t="s">
        <v>493</v>
      </c>
      <c r="CG49" s="135" t="s">
        <v>493</v>
      </c>
      <c r="CH49" s="135" t="s">
        <v>690</v>
      </c>
      <c r="CI49" s="135" t="s">
        <v>506</v>
      </c>
      <c r="CJ49" s="135" t="s">
        <v>493</v>
      </c>
      <c r="CK49" s="135" t="s">
        <v>493</v>
      </c>
      <c r="CL49" s="136"/>
      <c r="CM49" s="136"/>
      <c r="CN49" s="136"/>
      <c r="CO49" s="136"/>
      <c r="CP49" s="136"/>
      <c r="CQ49" s="136"/>
      <c r="CR49" s="136"/>
      <c r="CS49" s="135" t="s">
        <v>488</v>
      </c>
      <c r="CT49" s="135" t="s">
        <v>493</v>
      </c>
      <c r="CU49" s="135" t="s">
        <v>493</v>
      </c>
      <c r="CV49" s="136"/>
      <c r="CW49" s="136"/>
      <c r="CX49" s="136"/>
      <c r="CY49" s="135" t="s">
        <v>505</v>
      </c>
      <c r="CZ49" s="135" t="s">
        <v>1093</v>
      </c>
      <c r="DA49" s="135" t="s">
        <v>690</v>
      </c>
      <c r="DB49" s="136"/>
      <c r="DC49" s="210"/>
      <c r="DD49" s="136"/>
      <c r="DE49" s="135" t="s">
        <v>496</v>
      </c>
      <c r="DF49" s="136"/>
      <c r="DG49" s="135" t="s">
        <v>488</v>
      </c>
      <c r="DH49" s="136"/>
      <c r="DI49" s="136"/>
      <c r="DJ49" s="136"/>
      <c r="DK49" s="135" t="s">
        <v>501</v>
      </c>
      <c r="DL49" s="136">
        <v>1</v>
      </c>
      <c r="DM49" s="135" t="s">
        <v>502</v>
      </c>
      <c r="DN49" s="135" t="s">
        <v>493</v>
      </c>
      <c r="DO49" s="136"/>
      <c r="DP49" s="136"/>
      <c r="DQ49" s="136"/>
      <c r="DR49" s="136"/>
      <c r="DS49" s="136"/>
      <c r="DT49" s="136"/>
      <c r="DU49" s="136"/>
      <c r="DV49" s="136"/>
      <c r="DW49" s="136"/>
      <c r="DX49" s="136"/>
      <c r="DY49" s="136"/>
      <c r="DZ49" s="136"/>
      <c r="EA49" s="136"/>
      <c r="EB49" s="136"/>
      <c r="EC49" s="136"/>
      <c r="ED49" s="136"/>
      <c r="EE49" s="136"/>
      <c r="EF49" s="136"/>
      <c r="EG49" s="136"/>
      <c r="EH49" s="136"/>
      <c r="EI49" s="136"/>
      <c r="EJ49" s="136"/>
      <c r="EK49" s="136"/>
      <c r="EL49" s="136"/>
      <c r="EM49" s="136"/>
      <c r="EN49" s="136"/>
      <c r="EO49" s="136"/>
      <c r="EP49" s="136"/>
      <c r="EQ49" s="136"/>
      <c r="ER49" s="134"/>
      <c r="ES49" s="134"/>
      <c r="ET49" s="134"/>
    </row>
    <row r="50" spans="1:150" s="154" customFormat="1" ht="12.95" customHeight="1">
      <c r="A50" s="333">
        <v>2051</v>
      </c>
      <c r="B50" s="334" t="s">
        <v>368</v>
      </c>
      <c r="C50" s="334" t="s">
        <v>368</v>
      </c>
      <c r="D50" s="335" t="s">
        <v>368</v>
      </c>
      <c r="E50" s="335" t="s">
        <v>368</v>
      </c>
      <c r="F50" s="336" t="s">
        <v>367</v>
      </c>
      <c r="G50" s="337"/>
      <c r="H50" s="338"/>
      <c r="I50" s="338"/>
      <c r="J50" s="338"/>
      <c r="K50" s="338"/>
      <c r="L50" s="338"/>
      <c r="M50" s="338"/>
      <c r="N50" s="338"/>
      <c r="O50" s="135" t="s">
        <v>362</v>
      </c>
      <c r="P50" s="135" t="s">
        <v>366</v>
      </c>
      <c r="Q50" s="136"/>
      <c r="R50" s="136"/>
      <c r="S50" s="136"/>
      <c r="T50" s="135" t="s">
        <v>366</v>
      </c>
      <c r="U50" s="136"/>
      <c r="V50" s="136"/>
      <c r="W50" s="135" t="s">
        <v>488</v>
      </c>
      <c r="X50" s="135" t="s">
        <v>1085</v>
      </c>
      <c r="Y50" s="135" t="s">
        <v>488</v>
      </c>
      <c r="Z50" s="135" t="s">
        <v>1086</v>
      </c>
      <c r="AA50" s="135" t="s">
        <v>503</v>
      </c>
      <c r="AB50" s="135" t="s">
        <v>489</v>
      </c>
      <c r="AC50" s="136"/>
      <c r="AD50" s="179" t="s">
        <v>489</v>
      </c>
      <c r="AE50" s="179" t="s">
        <v>507</v>
      </c>
      <c r="AF50" s="135" t="s">
        <v>488</v>
      </c>
      <c r="AG50" s="136" t="s">
        <v>491</v>
      </c>
      <c r="AH50" s="135" t="s">
        <v>488</v>
      </c>
      <c r="AI50" s="136"/>
      <c r="AJ50" s="136"/>
      <c r="AK50" s="135" t="s">
        <v>491</v>
      </c>
      <c r="AL50" s="135" t="s">
        <v>492</v>
      </c>
      <c r="AM50" s="135" t="s">
        <v>493</v>
      </c>
      <c r="AN50" s="135" t="s">
        <v>504</v>
      </c>
      <c r="AO50" s="136"/>
      <c r="AP50" s="136"/>
      <c r="AQ50" s="135" t="s">
        <v>492</v>
      </c>
      <c r="AR50" s="135" t="s">
        <v>492</v>
      </c>
      <c r="AS50" s="136"/>
      <c r="AT50" s="136"/>
      <c r="AU50" s="136"/>
      <c r="AV50" s="135" t="s">
        <v>504</v>
      </c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5" t="s">
        <v>492</v>
      </c>
      <c r="BI50" s="135" t="s">
        <v>492</v>
      </c>
      <c r="BJ50" s="135" t="s">
        <v>492</v>
      </c>
      <c r="BK50" s="135" t="s">
        <v>492</v>
      </c>
      <c r="BL50" s="135" t="s">
        <v>492</v>
      </c>
      <c r="BM50" s="135" t="s">
        <v>492</v>
      </c>
      <c r="BN50" s="136"/>
      <c r="BO50" s="135" t="s">
        <v>493</v>
      </c>
      <c r="BP50" s="135" t="s">
        <v>493</v>
      </c>
      <c r="BQ50" s="136"/>
      <c r="BR50" s="135" t="s">
        <v>497</v>
      </c>
      <c r="BS50" s="135" t="s">
        <v>493</v>
      </c>
      <c r="BT50" s="135" t="s">
        <v>493</v>
      </c>
      <c r="BU50" s="136"/>
      <c r="BV50" s="135">
        <v>130</v>
      </c>
      <c r="BW50" s="135" t="s">
        <v>490</v>
      </c>
      <c r="BX50" s="135" t="s">
        <v>490</v>
      </c>
      <c r="BY50" s="179">
        <v>3</v>
      </c>
      <c r="BZ50" s="135" t="s">
        <v>493</v>
      </c>
      <c r="CA50" s="136" t="s">
        <v>491</v>
      </c>
      <c r="CB50" s="136"/>
      <c r="CC50" s="136"/>
      <c r="CD50" s="135" t="s">
        <v>505</v>
      </c>
      <c r="CE50" s="135" t="s">
        <v>506</v>
      </c>
      <c r="CF50" s="135" t="s">
        <v>493</v>
      </c>
      <c r="CG50" s="135" t="s">
        <v>493</v>
      </c>
      <c r="CH50" s="135" t="s">
        <v>690</v>
      </c>
      <c r="CI50" s="135" t="s">
        <v>506</v>
      </c>
      <c r="CJ50" s="135" t="s">
        <v>493</v>
      </c>
      <c r="CK50" s="135" t="s">
        <v>493</v>
      </c>
      <c r="CL50" s="136"/>
      <c r="CM50" s="136"/>
      <c r="CN50" s="136"/>
      <c r="CO50" s="136"/>
      <c r="CP50" s="136"/>
      <c r="CQ50" s="136"/>
      <c r="CR50" s="136"/>
      <c r="CS50" s="135" t="s">
        <v>488</v>
      </c>
      <c r="CT50" s="135" t="s">
        <v>493</v>
      </c>
      <c r="CU50" s="135" t="s">
        <v>493</v>
      </c>
      <c r="CV50" s="136"/>
      <c r="CW50" s="136"/>
      <c r="CX50" s="136"/>
      <c r="CY50" s="135" t="s">
        <v>505</v>
      </c>
      <c r="CZ50" s="135" t="s">
        <v>1093</v>
      </c>
      <c r="DA50" s="135" t="s">
        <v>690</v>
      </c>
      <c r="DB50" s="136"/>
      <c r="DC50" s="210"/>
      <c r="DD50" s="136"/>
      <c r="DE50" s="135" t="s">
        <v>496</v>
      </c>
      <c r="DF50" s="136"/>
      <c r="DG50" s="135" t="s">
        <v>488</v>
      </c>
      <c r="DH50" s="136"/>
      <c r="DI50" s="136"/>
      <c r="DJ50" s="136"/>
      <c r="DK50" s="135" t="s">
        <v>501</v>
      </c>
      <c r="DL50" s="136">
        <v>1</v>
      </c>
      <c r="DM50" s="135" t="s">
        <v>502</v>
      </c>
      <c r="DN50" s="135" t="s">
        <v>493</v>
      </c>
      <c r="DO50" s="136"/>
      <c r="DP50" s="136"/>
      <c r="DQ50" s="136"/>
      <c r="DR50" s="136"/>
      <c r="DS50" s="136"/>
      <c r="DT50" s="136"/>
      <c r="DU50" s="136"/>
      <c r="DV50" s="136"/>
      <c r="DW50" s="136"/>
      <c r="DX50" s="136"/>
      <c r="DY50" s="136"/>
      <c r="DZ50" s="136"/>
      <c r="EA50" s="136"/>
      <c r="EB50" s="136"/>
      <c r="EC50" s="136"/>
      <c r="ED50" s="136"/>
      <c r="EE50" s="136"/>
      <c r="EF50" s="136"/>
      <c r="EG50" s="136"/>
      <c r="EH50" s="136"/>
      <c r="EI50" s="136"/>
      <c r="EJ50" s="136"/>
      <c r="EK50" s="136"/>
      <c r="EL50" s="136"/>
      <c r="EM50" s="136"/>
      <c r="EN50" s="136"/>
      <c r="EO50" s="136"/>
      <c r="EP50" s="136"/>
      <c r="EQ50" s="136"/>
      <c r="ER50" s="134"/>
      <c r="ES50" s="134"/>
      <c r="ET50" s="134"/>
    </row>
    <row r="51" spans="1:150" s="154" customFormat="1" ht="12.95" customHeight="1">
      <c r="A51" s="364">
        <v>2051</v>
      </c>
      <c r="B51" s="210" t="s">
        <v>368</v>
      </c>
      <c r="C51" s="210" t="s">
        <v>368</v>
      </c>
      <c r="D51" s="136" t="s">
        <v>368</v>
      </c>
      <c r="E51" s="138" t="s">
        <v>368</v>
      </c>
      <c r="F51" s="213" t="s">
        <v>368</v>
      </c>
      <c r="G51" s="213"/>
      <c r="H51" s="180"/>
      <c r="I51" s="180"/>
      <c r="J51" s="180"/>
      <c r="K51" s="180"/>
      <c r="L51" s="180"/>
      <c r="M51" s="180"/>
      <c r="N51" s="180"/>
      <c r="O51" s="135" t="s">
        <v>362</v>
      </c>
      <c r="P51" s="135" t="s">
        <v>366</v>
      </c>
      <c r="Q51" s="136"/>
      <c r="R51" s="136"/>
      <c r="S51" s="136"/>
      <c r="T51" s="135" t="s">
        <v>366</v>
      </c>
      <c r="U51" s="136"/>
      <c r="V51" s="136"/>
      <c r="W51" s="135" t="s">
        <v>488</v>
      </c>
      <c r="X51" s="135" t="s">
        <v>1085</v>
      </c>
      <c r="Y51" s="135" t="s">
        <v>488</v>
      </c>
      <c r="Z51" s="135" t="s">
        <v>1086</v>
      </c>
      <c r="AA51" s="135" t="s">
        <v>503</v>
      </c>
      <c r="AB51" s="135" t="s">
        <v>489</v>
      </c>
      <c r="AC51" s="136"/>
      <c r="AD51" s="179" t="s">
        <v>489</v>
      </c>
      <c r="AE51" s="179" t="s">
        <v>507</v>
      </c>
      <c r="AF51" s="135" t="s">
        <v>488</v>
      </c>
      <c r="AG51" s="136" t="s">
        <v>491</v>
      </c>
      <c r="AH51" s="135" t="s">
        <v>488</v>
      </c>
      <c r="AI51" s="136"/>
      <c r="AJ51" s="136"/>
      <c r="AK51" s="135" t="s">
        <v>491</v>
      </c>
      <c r="AL51" s="135" t="s">
        <v>492</v>
      </c>
      <c r="AM51" s="135" t="s">
        <v>493</v>
      </c>
      <c r="AN51" s="135" t="s">
        <v>504</v>
      </c>
      <c r="AO51" s="136"/>
      <c r="AP51" s="136"/>
      <c r="AQ51" s="135" t="s">
        <v>492</v>
      </c>
      <c r="AR51" s="135" t="s">
        <v>492</v>
      </c>
      <c r="AS51" s="136"/>
      <c r="AT51" s="136"/>
      <c r="AU51" s="136"/>
      <c r="AV51" s="135" t="s">
        <v>504</v>
      </c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5" t="s">
        <v>492</v>
      </c>
      <c r="BI51" s="135" t="s">
        <v>492</v>
      </c>
      <c r="BJ51" s="135" t="s">
        <v>492</v>
      </c>
      <c r="BK51" s="135" t="s">
        <v>492</v>
      </c>
      <c r="BL51" s="135" t="s">
        <v>492</v>
      </c>
      <c r="BM51" s="135" t="s">
        <v>492</v>
      </c>
      <c r="BN51" s="136"/>
      <c r="BO51" s="135" t="s">
        <v>493</v>
      </c>
      <c r="BP51" s="135" t="s">
        <v>493</v>
      </c>
      <c r="BQ51" s="136"/>
      <c r="BR51" s="135" t="s">
        <v>497</v>
      </c>
      <c r="BS51" s="135" t="s">
        <v>493</v>
      </c>
      <c r="BT51" s="135" t="s">
        <v>493</v>
      </c>
      <c r="BU51" s="136"/>
      <c r="BV51" s="135">
        <v>130</v>
      </c>
      <c r="BW51" s="135" t="s">
        <v>490</v>
      </c>
      <c r="BX51" s="135" t="s">
        <v>490</v>
      </c>
      <c r="BY51" s="179">
        <v>15</v>
      </c>
      <c r="BZ51" s="135" t="s">
        <v>493</v>
      </c>
      <c r="CA51" s="136" t="s">
        <v>491</v>
      </c>
      <c r="CB51" s="136"/>
      <c r="CC51" s="136"/>
      <c r="CD51" s="135" t="s">
        <v>505</v>
      </c>
      <c r="CE51" s="135" t="s">
        <v>506</v>
      </c>
      <c r="CF51" s="135" t="s">
        <v>493</v>
      </c>
      <c r="CG51" s="135" t="s">
        <v>493</v>
      </c>
      <c r="CH51" s="135" t="s">
        <v>690</v>
      </c>
      <c r="CI51" s="135" t="s">
        <v>506</v>
      </c>
      <c r="CJ51" s="135" t="s">
        <v>493</v>
      </c>
      <c r="CK51" s="135" t="s">
        <v>493</v>
      </c>
      <c r="CL51" s="136"/>
      <c r="CM51" s="136"/>
      <c r="CN51" s="136"/>
      <c r="CO51" s="136"/>
      <c r="CP51" s="136"/>
      <c r="CQ51" s="136"/>
      <c r="CR51" s="136"/>
      <c r="CS51" s="135" t="s">
        <v>488</v>
      </c>
      <c r="CT51" s="135" t="s">
        <v>493</v>
      </c>
      <c r="CU51" s="135" t="s">
        <v>493</v>
      </c>
      <c r="CV51" s="136"/>
      <c r="CW51" s="136"/>
      <c r="CX51" s="136"/>
      <c r="CY51" s="135" t="s">
        <v>505</v>
      </c>
      <c r="CZ51" s="135" t="s">
        <v>1093</v>
      </c>
      <c r="DA51" s="135" t="s">
        <v>690</v>
      </c>
      <c r="DB51" s="136"/>
      <c r="DC51" s="210"/>
      <c r="DD51" s="136"/>
      <c r="DE51" s="135" t="s">
        <v>496</v>
      </c>
      <c r="DF51" s="136"/>
      <c r="DG51" s="135" t="s">
        <v>488</v>
      </c>
      <c r="DH51" s="136"/>
      <c r="DI51" s="136"/>
      <c r="DJ51" s="136"/>
      <c r="DK51" s="135" t="s">
        <v>501</v>
      </c>
      <c r="DL51" s="136">
        <v>1</v>
      </c>
      <c r="DM51" s="135" t="s">
        <v>502</v>
      </c>
      <c r="DN51" s="135" t="s">
        <v>493</v>
      </c>
      <c r="DO51" s="136"/>
      <c r="DP51" s="136"/>
      <c r="DQ51" s="136"/>
      <c r="DR51" s="136"/>
      <c r="DS51" s="136"/>
      <c r="DT51" s="136"/>
      <c r="DU51" s="136"/>
      <c r="DV51" s="136"/>
      <c r="DW51" s="136"/>
      <c r="DX51" s="136"/>
      <c r="DY51" s="136"/>
      <c r="DZ51" s="136"/>
      <c r="EA51" s="136"/>
      <c r="EB51" s="136"/>
      <c r="EC51" s="136"/>
      <c r="ED51" s="136"/>
      <c r="EE51" s="136"/>
      <c r="EF51" s="136"/>
      <c r="EG51" s="136"/>
      <c r="EH51" s="136"/>
      <c r="EI51" s="136"/>
      <c r="EJ51" s="136"/>
      <c r="EK51" s="136"/>
      <c r="EL51" s="136"/>
      <c r="EM51" s="136"/>
      <c r="EN51" s="136"/>
      <c r="EO51" s="136"/>
      <c r="EP51" s="136"/>
      <c r="EQ51" s="136"/>
      <c r="ER51" s="134"/>
      <c r="ES51" s="134"/>
      <c r="ET51" s="134"/>
    </row>
    <row r="52" spans="1:150" s="154" customFormat="1" ht="12.95" customHeight="1">
      <c r="A52" s="364">
        <v>2051</v>
      </c>
      <c r="B52" s="210" t="s">
        <v>368</v>
      </c>
      <c r="C52" s="210" t="s">
        <v>368</v>
      </c>
      <c r="D52" s="136" t="s">
        <v>367</v>
      </c>
      <c r="E52" s="138" t="s">
        <v>367</v>
      </c>
      <c r="F52" s="213" t="s">
        <v>367</v>
      </c>
      <c r="G52" s="213"/>
      <c r="H52" s="180"/>
      <c r="I52" s="180"/>
      <c r="J52" s="180"/>
      <c r="K52" s="180"/>
      <c r="L52" s="180"/>
      <c r="M52" s="180"/>
      <c r="N52" s="180"/>
      <c r="O52" s="135" t="s">
        <v>362</v>
      </c>
      <c r="P52" s="135" t="s">
        <v>366</v>
      </c>
      <c r="Q52" s="136"/>
      <c r="R52" s="136"/>
      <c r="S52" s="136"/>
      <c r="T52" s="135" t="s">
        <v>366</v>
      </c>
      <c r="U52" s="136"/>
      <c r="V52" s="136"/>
      <c r="W52" s="135" t="s">
        <v>488</v>
      </c>
      <c r="X52" s="135" t="s">
        <v>1085</v>
      </c>
      <c r="Y52" s="135" t="s">
        <v>488</v>
      </c>
      <c r="Z52" s="135" t="s">
        <v>1086</v>
      </c>
      <c r="AA52" s="135" t="s">
        <v>503</v>
      </c>
      <c r="AB52" s="135" t="s">
        <v>489</v>
      </c>
      <c r="AC52" s="136"/>
      <c r="AD52" s="179" t="s">
        <v>489</v>
      </c>
      <c r="AE52" s="179" t="s">
        <v>507</v>
      </c>
      <c r="AF52" s="135" t="s">
        <v>488</v>
      </c>
      <c r="AG52" s="136" t="s">
        <v>491</v>
      </c>
      <c r="AH52" s="135" t="s">
        <v>488</v>
      </c>
      <c r="AI52" s="136"/>
      <c r="AJ52" s="136"/>
      <c r="AK52" s="135" t="s">
        <v>491</v>
      </c>
      <c r="AL52" s="135" t="s">
        <v>492</v>
      </c>
      <c r="AM52" s="135" t="s">
        <v>493</v>
      </c>
      <c r="AN52" s="135" t="s">
        <v>504</v>
      </c>
      <c r="AO52" s="136"/>
      <c r="AP52" s="136"/>
      <c r="AQ52" s="135" t="s">
        <v>492</v>
      </c>
      <c r="AR52" s="135" t="s">
        <v>492</v>
      </c>
      <c r="AS52" s="136"/>
      <c r="AT52" s="136"/>
      <c r="AU52" s="136"/>
      <c r="AV52" s="135" t="s">
        <v>504</v>
      </c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5" t="s">
        <v>492</v>
      </c>
      <c r="BI52" s="135" t="s">
        <v>492</v>
      </c>
      <c r="BJ52" s="135" t="s">
        <v>492</v>
      </c>
      <c r="BK52" s="135" t="s">
        <v>492</v>
      </c>
      <c r="BL52" s="135" t="s">
        <v>492</v>
      </c>
      <c r="BM52" s="135" t="s">
        <v>492</v>
      </c>
      <c r="BN52" s="136"/>
      <c r="BO52" s="135" t="s">
        <v>493</v>
      </c>
      <c r="BP52" s="135" t="s">
        <v>493</v>
      </c>
      <c r="BQ52" s="136"/>
      <c r="BR52" s="135" t="s">
        <v>497</v>
      </c>
      <c r="BS52" s="135" t="s">
        <v>493</v>
      </c>
      <c r="BT52" s="135" t="s">
        <v>493</v>
      </c>
      <c r="BU52" s="136"/>
      <c r="BV52" s="135">
        <v>130</v>
      </c>
      <c r="BW52" s="135" t="s">
        <v>490</v>
      </c>
      <c r="BX52" s="135" t="s">
        <v>490</v>
      </c>
      <c r="BY52" s="179">
        <v>15</v>
      </c>
      <c r="BZ52" s="135" t="s">
        <v>493</v>
      </c>
      <c r="CA52" s="136" t="s">
        <v>491</v>
      </c>
      <c r="CB52" s="136"/>
      <c r="CC52" s="136"/>
      <c r="CD52" s="135" t="s">
        <v>505</v>
      </c>
      <c r="CE52" s="135" t="s">
        <v>506</v>
      </c>
      <c r="CF52" s="135" t="s">
        <v>493</v>
      </c>
      <c r="CG52" s="135" t="s">
        <v>493</v>
      </c>
      <c r="CH52" s="135" t="s">
        <v>690</v>
      </c>
      <c r="CI52" s="135" t="s">
        <v>506</v>
      </c>
      <c r="CJ52" s="135" t="s">
        <v>493</v>
      </c>
      <c r="CK52" s="135" t="s">
        <v>493</v>
      </c>
      <c r="CL52" s="136"/>
      <c r="CM52" s="136"/>
      <c r="CN52" s="136"/>
      <c r="CO52" s="136"/>
      <c r="CP52" s="136"/>
      <c r="CQ52" s="136"/>
      <c r="CR52" s="136"/>
      <c r="CS52" s="135" t="s">
        <v>488</v>
      </c>
      <c r="CT52" s="135" t="s">
        <v>493</v>
      </c>
      <c r="CU52" s="135" t="s">
        <v>493</v>
      </c>
      <c r="CV52" s="136"/>
      <c r="CW52" s="136"/>
      <c r="CX52" s="136"/>
      <c r="CY52" s="135" t="s">
        <v>505</v>
      </c>
      <c r="CZ52" s="135" t="s">
        <v>1093</v>
      </c>
      <c r="DA52" s="135" t="s">
        <v>690</v>
      </c>
      <c r="DB52" s="136"/>
      <c r="DC52" s="210"/>
      <c r="DD52" s="136"/>
      <c r="DE52" s="135" t="s">
        <v>496</v>
      </c>
      <c r="DF52" s="136"/>
      <c r="DG52" s="135" t="s">
        <v>488</v>
      </c>
      <c r="DH52" s="136"/>
      <c r="DI52" s="136"/>
      <c r="DJ52" s="136"/>
      <c r="DK52" s="135" t="s">
        <v>501</v>
      </c>
      <c r="DL52" s="136">
        <v>1</v>
      </c>
      <c r="DM52" s="135" t="s">
        <v>502</v>
      </c>
      <c r="DN52" s="135" t="s">
        <v>493</v>
      </c>
      <c r="DO52" s="136"/>
      <c r="DP52" s="136"/>
      <c r="DQ52" s="136"/>
      <c r="DR52" s="136"/>
      <c r="DS52" s="136"/>
      <c r="DT52" s="136"/>
      <c r="DU52" s="136"/>
      <c r="DV52" s="136"/>
      <c r="DW52" s="136"/>
      <c r="DX52" s="136"/>
      <c r="DY52" s="136"/>
      <c r="DZ52" s="136"/>
      <c r="EA52" s="136"/>
      <c r="EB52" s="136"/>
      <c r="EC52" s="136"/>
      <c r="ED52" s="136"/>
      <c r="EE52" s="136"/>
      <c r="EF52" s="136"/>
      <c r="EG52" s="136"/>
      <c r="EH52" s="136"/>
      <c r="EI52" s="136"/>
      <c r="EJ52" s="136"/>
      <c r="EK52" s="136"/>
      <c r="EL52" s="136"/>
      <c r="EM52" s="136"/>
      <c r="EN52" s="136"/>
      <c r="EO52" s="136"/>
      <c r="EP52" s="136"/>
      <c r="EQ52" s="136"/>
      <c r="ER52" s="134"/>
      <c r="ES52" s="134"/>
      <c r="ET52" s="134"/>
    </row>
    <row r="53" spans="1:150" s="154" customFormat="1" ht="12.95" customHeight="1">
      <c r="A53" s="364">
        <v>2051</v>
      </c>
      <c r="B53" s="210" t="s">
        <v>368</v>
      </c>
      <c r="C53" s="210" t="s">
        <v>368</v>
      </c>
      <c r="D53" s="136" t="s">
        <v>367</v>
      </c>
      <c r="E53" s="138" t="s">
        <v>367</v>
      </c>
      <c r="F53" s="213" t="s">
        <v>368</v>
      </c>
      <c r="G53" s="213"/>
      <c r="H53" s="180"/>
      <c r="I53" s="180"/>
      <c r="J53" s="180"/>
      <c r="K53" s="180"/>
      <c r="L53" s="180"/>
      <c r="M53" s="180"/>
      <c r="N53" s="180"/>
      <c r="O53" s="135" t="s">
        <v>362</v>
      </c>
      <c r="P53" s="135" t="s">
        <v>366</v>
      </c>
      <c r="Q53" s="136"/>
      <c r="R53" s="136"/>
      <c r="S53" s="136"/>
      <c r="T53" s="135" t="s">
        <v>366</v>
      </c>
      <c r="U53" s="136"/>
      <c r="V53" s="136"/>
      <c r="W53" s="135" t="s">
        <v>488</v>
      </c>
      <c r="X53" s="135" t="s">
        <v>1085</v>
      </c>
      <c r="Y53" s="135" t="s">
        <v>488</v>
      </c>
      <c r="Z53" s="135" t="s">
        <v>1086</v>
      </c>
      <c r="AA53" s="135" t="s">
        <v>503</v>
      </c>
      <c r="AB53" s="135" t="s">
        <v>489</v>
      </c>
      <c r="AC53" s="136"/>
      <c r="AD53" s="179" t="s">
        <v>489</v>
      </c>
      <c r="AE53" s="179" t="s">
        <v>507</v>
      </c>
      <c r="AF53" s="135" t="s">
        <v>488</v>
      </c>
      <c r="AG53" s="136" t="s">
        <v>491</v>
      </c>
      <c r="AH53" s="135" t="s">
        <v>488</v>
      </c>
      <c r="AI53" s="136"/>
      <c r="AJ53" s="136"/>
      <c r="AK53" s="135" t="s">
        <v>491</v>
      </c>
      <c r="AL53" s="135" t="s">
        <v>492</v>
      </c>
      <c r="AM53" s="135" t="s">
        <v>493</v>
      </c>
      <c r="AN53" s="135" t="s">
        <v>504</v>
      </c>
      <c r="AO53" s="136"/>
      <c r="AP53" s="136"/>
      <c r="AQ53" s="135" t="s">
        <v>492</v>
      </c>
      <c r="AR53" s="135" t="s">
        <v>492</v>
      </c>
      <c r="AS53" s="136"/>
      <c r="AT53" s="136"/>
      <c r="AU53" s="136"/>
      <c r="AV53" s="135" t="s">
        <v>504</v>
      </c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5" t="s">
        <v>492</v>
      </c>
      <c r="BI53" s="135" t="s">
        <v>492</v>
      </c>
      <c r="BJ53" s="135" t="s">
        <v>492</v>
      </c>
      <c r="BK53" s="135" t="s">
        <v>492</v>
      </c>
      <c r="BL53" s="135" t="s">
        <v>492</v>
      </c>
      <c r="BM53" s="135" t="s">
        <v>492</v>
      </c>
      <c r="BN53" s="136"/>
      <c r="BO53" s="135" t="s">
        <v>493</v>
      </c>
      <c r="BP53" s="135" t="s">
        <v>493</v>
      </c>
      <c r="BQ53" s="136"/>
      <c r="BR53" s="135" t="s">
        <v>497</v>
      </c>
      <c r="BS53" s="135" t="s">
        <v>493</v>
      </c>
      <c r="BT53" s="135" t="s">
        <v>493</v>
      </c>
      <c r="BU53" s="136"/>
      <c r="BV53" s="135">
        <v>130</v>
      </c>
      <c r="BW53" s="135" t="s">
        <v>490</v>
      </c>
      <c r="BX53" s="135" t="s">
        <v>490</v>
      </c>
      <c r="BY53" s="179">
        <v>15</v>
      </c>
      <c r="BZ53" s="135" t="s">
        <v>493</v>
      </c>
      <c r="CA53" s="136" t="s">
        <v>491</v>
      </c>
      <c r="CB53" s="136"/>
      <c r="CC53" s="136"/>
      <c r="CD53" s="135" t="s">
        <v>505</v>
      </c>
      <c r="CE53" s="135" t="s">
        <v>506</v>
      </c>
      <c r="CF53" s="135" t="s">
        <v>493</v>
      </c>
      <c r="CG53" s="135" t="s">
        <v>493</v>
      </c>
      <c r="CH53" s="135" t="s">
        <v>690</v>
      </c>
      <c r="CI53" s="135" t="s">
        <v>506</v>
      </c>
      <c r="CJ53" s="135" t="s">
        <v>493</v>
      </c>
      <c r="CK53" s="135" t="s">
        <v>493</v>
      </c>
      <c r="CL53" s="136"/>
      <c r="CM53" s="136"/>
      <c r="CN53" s="136"/>
      <c r="CO53" s="136"/>
      <c r="CP53" s="136"/>
      <c r="CQ53" s="136"/>
      <c r="CR53" s="136"/>
      <c r="CS53" s="135" t="s">
        <v>488</v>
      </c>
      <c r="CT53" s="135" t="s">
        <v>493</v>
      </c>
      <c r="CU53" s="135" t="s">
        <v>493</v>
      </c>
      <c r="CV53" s="136"/>
      <c r="CW53" s="136"/>
      <c r="CX53" s="136"/>
      <c r="CY53" s="135" t="s">
        <v>505</v>
      </c>
      <c r="CZ53" s="135" t="s">
        <v>1093</v>
      </c>
      <c r="DA53" s="135" t="s">
        <v>690</v>
      </c>
      <c r="DB53" s="136"/>
      <c r="DC53" s="210"/>
      <c r="DD53" s="136"/>
      <c r="DE53" s="135" t="s">
        <v>496</v>
      </c>
      <c r="DF53" s="136"/>
      <c r="DG53" s="135" t="s">
        <v>488</v>
      </c>
      <c r="DH53" s="136"/>
      <c r="DI53" s="136"/>
      <c r="DJ53" s="136"/>
      <c r="DK53" s="135" t="s">
        <v>501</v>
      </c>
      <c r="DL53" s="136">
        <v>1</v>
      </c>
      <c r="DM53" s="135" t="s">
        <v>502</v>
      </c>
      <c r="DN53" s="135" t="s">
        <v>493</v>
      </c>
      <c r="DO53" s="136"/>
      <c r="DP53" s="136"/>
      <c r="DQ53" s="136"/>
      <c r="DR53" s="136"/>
      <c r="DS53" s="136"/>
      <c r="DT53" s="136"/>
      <c r="DU53" s="136"/>
      <c r="DV53" s="136"/>
      <c r="DW53" s="136"/>
      <c r="DX53" s="136"/>
      <c r="DY53" s="136"/>
      <c r="DZ53" s="136"/>
      <c r="EA53" s="136"/>
      <c r="EB53" s="136"/>
      <c r="EC53" s="136"/>
      <c r="ED53" s="136"/>
      <c r="EE53" s="136"/>
      <c r="EF53" s="136"/>
      <c r="EG53" s="136"/>
      <c r="EH53" s="136"/>
      <c r="EI53" s="136"/>
      <c r="EJ53" s="136"/>
      <c r="EK53" s="136"/>
      <c r="EL53" s="136"/>
      <c r="EM53" s="136"/>
      <c r="EN53" s="136"/>
      <c r="EO53" s="136"/>
      <c r="EP53" s="136"/>
      <c r="EQ53" s="136"/>
      <c r="ER53" s="134"/>
      <c r="ES53" s="134"/>
      <c r="ET53" s="134"/>
    </row>
    <row r="54" spans="1:150" s="154" customFormat="1" ht="12.95" customHeight="1">
      <c r="A54" s="364">
        <v>2051</v>
      </c>
      <c r="B54" s="210" t="s">
        <v>368</v>
      </c>
      <c r="C54" s="210" t="s">
        <v>368</v>
      </c>
      <c r="D54" s="136" t="s">
        <v>367</v>
      </c>
      <c r="E54" s="138" t="s">
        <v>368</v>
      </c>
      <c r="F54" s="213" t="s">
        <v>367</v>
      </c>
      <c r="G54" s="213"/>
      <c r="H54" s="180"/>
      <c r="I54" s="180"/>
      <c r="J54" s="180"/>
      <c r="K54" s="180"/>
      <c r="L54" s="180"/>
      <c r="M54" s="180"/>
      <c r="N54" s="180"/>
      <c r="O54" s="135" t="s">
        <v>362</v>
      </c>
      <c r="P54" s="135" t="s">
        <v>366</v>
      </c>
      <c r="Q54" s="136"/>
      <c r="R54" s="136"/>
      <c r="S54" s="136"/>
      <c r="T54" s="135" t="s">
        <v>366</v>
      </c>
      <c r="U54" s="136"/>
      <c r="V54" s="136"/>
      <c r="W54" s="135" t="s">
        <v>488</v>
      </c>
      <c r="X54" s="135" t="s">
        <v>1085</v>
      </c>
      <c r="Y54" s="135" t="s">
        <v>488</v>
      </c>
      <c r="Z54" s="135" t="s">
        <v>1086</v>
      </c>
      <c r="AA54" s="135" t="s">
        <v>503</v>
      </c>
      <c r="AB54" s="135" t="s">
        <v>489</v>
      </c>
      <c r="AC54" s="136"/>
      <c r="AD54" s="179" t="s">
        <v>489</v>
      </c>
      <c r="AE54" s="179" t="s">
        <v>507</v>
      </c>
      <c r="AF54" s="135" t="s">
        <v>488</v>
      </c>
      <c r="AG54" s="136" t="s">
        <v>491</v>
      </c>
      <c r="AH54" s="135" t="s">
        <v>488</v>
      </c>
      <c r="AI54" s="136"/>
      <c r="AJ54" s="136"/>
      <c r="AK54" s="135" t="s">
        <v>491</v>
      </c>
      <c r="AL54" s="135" t="s">
        <v>492</v>
      </c>
      <c r="AM54" s="135" t="s">
        <v>493</v>
      </c>
      <c r="AN54" s="135" t="s">
        <v>504</v>
      </c>
      <c r="AO54" s="136"/>
      <c r="AP54" s="136"/>
      <c r="AQ54" s="135" t="s">
        <v>492</v>
      </c>
      <c r="AR54" s="135" t="s">
        <v>492</v>
      </c>
      <c r="AS54" s="136"/>
      <c r="AT54" s="136"/>
      <c r="AU54" s="136"/>
      <c r="AV54" s="135" t="s">
        <v>504</v>
      </c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5" t="s">
        <v>492</v>
      </c>
      <c r="BI54" s="135" t="s">
        <v>492</v>
      </c>
      <c r="BJ54" s="135" t="s">
        <v>492</v>
      </c>
      <c r="BK54" s="135" t="s">
        <v>492</v>
      </c>
      <c r="BL54" s="135" t="s">
        <v>492</v>
      </c>
      <c r="BM54" s="135" t="s">
        <v>492</v>
      </c>
      <c r="BN54" s="136"/>
      <c r="BO54" s="135" t="s">
        <v>493</v>
      </c>
      <c r="BP54" s="135" t="s">
        <v>493</v>
      </c>
      <c r="BQ54" s="136"/>
      <c r="BR54" s="135" t="s">
        <v>497</v>
      </c>
      <c r="BS54" s="135" t="s">
        <v>493</v>
      </c>
      <c r="BT54" s="135" t="s">
        <v>493</v>
      </c>
      <c r="BU54" s="136"/>
      <c r="BV54" s="135">
        <v>130</v>
      </c>
      <c r="BW54" s="135" t="s">
        <v>490</v>
      </c>
      <c r="BX54" s="135" t="s">
        <v>490</v>
      </c>
      <c r="BY54" s="179">
        <v>15</v>
      </c>
      <c r="BZ54" s="135" t="s">
        <v>493</v>
      </c>
      <c r="CA54" s="136" t="s">
        <v>491</v>
      </c>
      <c r="CB54" s="136"/>
      <c r="CC54" s="136"/>
      <c r="CD54" s="135" t="s">
        <v>505</v>
      </c>
      <c r="CE54" s="135" t="s">
        <v>506</v>
      </c>
      <c r="CF54" s="135" t="s">
        <v>493</v>
      </c>
      <c r="CG54" s="135" t="s">
        <v>493</v>
      </c>
      <c r="CH54" s="135" t="s">
        <v>690</v>
      </c>
      <c r="CI54" s="135" t="s">
        <v>506</v>
      </c>
      <c r="CJ54" s="135" t="s">
        <v>493</v>
      </c>
      <c r="CK54" s="135" t="s">
        <v>493</v>
      </c>
      <c r="CL54" s="136"/>
      <c r="CM54" s="136"/>
      <c r="CN54" s="136"/>
      <c r="CO54" s="136"/>
      <c r="CP54" s="136"/>
      <c r="CQ54" s="136"/>
      <c r="CR54" s="136"/>
      <c r="CS54" s="135" t="s">
        <v>488</v>
      </c>
      <c r="CT54" s="135" t="s">
        <v>493</v>
      </c>
      <c r="CU54" s="135" t="s">
        <v>493</v>
      </c>
      <c r="CV54" s="136"/>
      <c r="CW54" s="136"/>
      <c r="CX54" s="136"/>
      <c r="CY54" s="135" t="s">
        <v>505</v>
      </c>
      <c r="CZ54" s="135" t="s">
        <v>1093</v>
      </c>
      <c r="DA54" s="135" t="s">
        <v>690</v>
      </c>
      <c r="DB54" s="136"/>
      <c r="DC54" s="210"/>
      <c r="DD54" s="136"/>
      <c r="DE54" s="135" t="s">
        <v>496</v>
      </c>
      <c r="DF54" s="136"/>
      <c r="DG54" s="135" t="s">
        <v>488</v>
      </c>
      <c r="DH54" s="136"/>
      <c r="DI54" s="136"/>
      <c r="DJ54" s="136"/>
      <c r="DK54" s="135" t="s">
        <v>501</v>
      </c>
      <c r="DL54" s="136">
        <v>1</v>
      </c>
      <c r="DM54" s="135" t="s">
        <v>502</v>
      </c>
      <c r="DN54" s="135" t="s">
        <v>493</v>
      </c>
      <c r="DO54" s="136"/>
      <c r="DP54" s="136"/>
      <c r="DQ54" s="136"/>
      <c r="DR54" s="136"/>
      <c r="DS54" s="136"/>
      <c r="DT54" s="136"/>
      <c r="DU54" s="136"/>
      <c r="DV54" s="136"/>
      <c r="DW54" s="136"/>
      <c r="DX54" s="136"/>
      <c r="DY54" s="136"/>
      <c r="DZ54" s="136"/>
      <c r="EA54" s="136"/>
      <c r="EB54" s="136"/>
      <c r="EC54" s="136"/>
      <c r="ED54" s="136"/>
      <c r="EE54" s="136"/>
      <c r="EF54" s="136"/>
      <c r="EG54" s="136"/>
      <c r="EH54" s="136"/>
      <c r="EI54" s="136"/>
      <c r="EJ54" s="136"/>
      <c r="EK54" s="136"/>
      <c r="EL54" s="136"/>
      <c r="EM54" s="136"/>
      <c r="EN54" s="136"/>
      <c r="EO54" s="136"/>
      <c r="EP54" s="136"/>
      <c r="EQ54" s="136"/>
      <c r="ER54" s="134"/>
      <c r="ES54" s="134"/>
      <c r="ET54" s="134"/>
    </row>
    <row r="55" spans="1:150" s="154" customFormat="1" ht="12.95" customHeight="1">
      <c r="A55" s="364">
        <v>2051</v>
      </c>
      <c r="B55" s="210" t="s">
        <v>368</v>
      </c>
      <c r="C55" s="210" t="s">
        <v>368</v>
      </c>
      <c r="D55" s="136" t="s">
        <v>367</v>
      </c>
      <c r="E55" s="138" t="s">
        <v>368</v>
      </c>
      <c r="F55" s="213" t="s">
        <v>368</v>
      </c>
      <c r="G55" s="213"/>
      <c r="H55" s="180"/>
      <c r="I55" s="180"/>
      <c r="J55" s="180"/>
      <c r="K55" s="180"/>
      <c r="L55" s="180"/>
      <c r="M55" s="180"/>
      <c r="N55" s="180"/>
      <c r="O55" s="135" t="s">
        <v>362</v>
      </c>
      <c r="P55" s="135" t="s">
        <v>366</v>
      </c>
      <c r="Q55" s="136"/>
      <c r="R55" s="136"/>
      <c r="S55" s="136"/>
      <c r="T55" s="135" t="s">
        <v>366</v>
      </c>
      <c r="U55" s="136"/>
      <c r="V55" s="136"/>
      <c r="W55" s="135" t="s">
        <v>488</v>
      </c>
      <c r="X55" s="135" t="s">
        <v>1085</v>
      </c>
      <c r="Y55" s="135" t="s">
        <v>488</v>
      </c>
      <c r="Z55" s="135" t="s">
        <v>1086</v>
      </c>
      <c r="AA55" s="135" t="s">
        <v>503</v>
      </c>
      <c r="AB55" s="135" t="s">
        <v>489</v>
      </c>
      <c r="AC55" s="136"/>
      <c r="AD55" s="179" t="s">
        <v>489</v>
      </c>
      <c r="AE55" s="179" t="s">
        <v>507</v>
      </c>
      <c r="AF55" s="135" t="s">
        <v>488</v>
      </c>
      <c r="AG55" s="136" t="s">
        <v>491</v>
      </c>
      <c r="AH55" s="135" t="s">
        <v>488</v>
      </c>
      <c r="AI55" s="136"/>
      <c r="AJ55" s="136"/>
      <c r="AK55" s="135" t="s">
        <v>491</v>
      </c>
      <c r="AL55" s="135" t="s">
        <v>492</v>
      </c>
      <c r="AM55" s="135" t="s">
        <v>493</v>
      </c>
      <c r="AN55" s="135" t="s">
        <v>504</v>
      </c>
      <c r="AO55" s="136"/>
      <c r="AP55" s="136"/>
      <c r="AQ55" s="135" t="s">
        <v>492</v>
      </c>
      <c r="AR55" s="135" t="s">
        <v>492</v>
      </c>
      <c r="AS55" s="136"/>
      <c r="AT55" s="136"/>
      <c r="AU55" s="136"/>
      <c r="AV55" s="135" t="s">
        <v>504</v>
      </c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5" t="s">
        <v>492</v>
      </c>
      <c r="BI55" s="135" t="s">
        <v>492</v>
      </c>
      <c r="BJ55" s="135" t="s">
        <v>492</v>
      </c>
      <c r="BK55" s="135" t="s">
        <v>492</v>
      </c>
      <c r="BL55" s="135" t="s">
        <v>492</v>
      </c>
      <c r="BM55" s="135" t="s">
        <v>492</v>
      </c>
      <c r="BN55" s="136"/>
      <c r="BO55" s="135" t="s">
        <v>493</v>
      </c>
      <c r="BP55" s="135" t="s">
        <v>493</v>
      </c>
      <c r="BQ55" s="136"/>
      <c r="BR55" s="135" t="s">
        <v>497</v>
      </c>
      <c r="BS55" s="135" t="s">
        <v>493</v>
      </c>
      <c r="BT55" s="135" t="s">
        <v>493</v>
      </c>
      <c r="BU55" s="136"/>
      <c r="BV55" s="135">
        <v>130</v>
      </c>
      <c r="BW55" s="135" t="s">
        <v>490</v>
      </c>
      <c r="BX55" s="135" t="s">
        <v>490</v>
      </c>
      <c r="BY55" s="179">
        <v>15</v>
      </c>
      <c r="BZ55" s="135" t="s">
        <v>493</v>
      </c>
      <c r="CA55" s="136" t="s">
        <v>491</v>
      </c>
      <c r="CB55" s="136"/>
      <c r="CC55" s="136"/>
      <c r="CD55" s="135" t="s">
        <v>505</v>
      </c>
      <c r="CE55" s="135" t="s">
        <v>506</v>
      </c>
      <c r="CF55" s="135" t="s">
        <v>493</v>
      </c>
      <c r="CG55" s="135" t="s">
        <v>493</v>
      </c>
      <c r="CH55" s="135" t="s">
        <v>690</v>
      </c>
      <c r="CI55" s="135" t="s">
        <v>506</v>
      </c>
      <c r="CJ55" s="135" t="s">
        <v>493</v>
      </c>
      <c r="CK55" s="135" t="s">
        <v>493</v>
      </c>
      <c r="CL55" s="136"/>
      <c r="CM55" s="136"/>
      <c r="CN55" s="136"/>
      <c r="CO55" s="136"/>
      <c r="CP55" s="136"/>
      <c r="CQ55" s="136"/>
      <c r="CR55" s="136"/>
      <c r="CS55" s="135" t="s">
        <v>488</v>
      </c>
      <c r="CT55" s="135" t="s">
        <v>493</v>
      </c>
      <c r="CU55" s="135" t="s">
        <v>493</v>
      </c>
      <c r="CV55" s="136"/>
      <c r="CW55" s="136"/>
      <c r="CX55" s="136"/>
      <c r="CY55" s="135" t="s">
        <v>505</v>
      </c>
      <c r="CZ55" s="135" t="s">
        <v>1093</v>
      </c>
      <c r="DA55" s="135" t="s">
        <v>690</v>
      </c>
      <c r="DB55" s="136"/>
      <c r="DC55" s="210"/>
      <c r="DD55" s="136"/>
      <c r="DE55" s="135" t="s">
        <v>496</v>
      </c>
      <c r="DF55" s="136"/>
      <c r="DG55" s="135" t="s">
        <v>488</v>
      </c>
      <c r="DH55" s="136"/>
      <c r="DI55" s="136"/>
      <c r="DJ55" s="136"/>
      <c r="DK55" s="135" t="s">
        <v>501</v>
      </c>
      <c r="DL55" s="136">
        <v>1</v>
      </c>
      <c r="DM55" s="135" t="s">
        <v>502</v>
      </c>
      <c r="DN55" s="135" t="s">
        <v>493</v>
      </c>
      <c r="DO55" s="136"/>
      <c r="DP55" s="136"/>
      <c r="DQ55" s="136"/>
      <c r="DR55" s="136"/>
      <c r="DS55" s="136"/>
      <c r="DT55" s="136"/>
      <c r="DU55" s="136"/>
      <c r="DV55" s="136"/>
      <c r="DW55" s="136"/>
      <c r="DX55" s="136"/>
      <c r="DY55" s="136"/>
      <c r="DZ55" s="136"/>
      <c r="EA55" s="136"/>
      <c r="EB55" s="136"/>
      <c r="EC55" s="136"/>
      <c r="ED55" s="136"/>
      <c r="EE55" s="136"/>
      <c r="EF55" s="136"/>
      <c r="EG55" s="136"/>
      <c r="EH55" s="136"/>
      <c r="EI55" s="136"/>
      <c r="EJ55" s="136"/>
      <c r="EK55" s="136"/>
      <c r="EL55" s="136"/>
      <c r="EM55" s="136"/>
      <c r="EN55" s="136"/>
      <c r="EO55" s="136"/>
      <c r="EP55" s="136"/>
      <c r="EQ55" s="136"/>
      <c r="ER55" s="134"/>
      <c r="ES55" s="134"/>
      <c r="ET55" s="134"/>
    </row>
    <row r="56" spans="1:150" s="154" customFormat="1" ht="12.95" customHeight="1">
      <c r="A56" s="128" t="s">
        <v>1193</v>
      </c>
      <c r="B56" s="133" t="s">
        <v>368</v>
      </c>
      <c r="C56" s="133" t="s">
        <v>368</v>
      </c>
      <c r="D56" s="138" t="s">
        <v>368</v>
      </c>
      <c r="E56" s="138"/>
      <c r="F56" s="210"/>
      <c r="G56" s="210"/>
      <c r="H56" s="136"/>
      <c r="I56" s="136"/>
      <c r="J56" s="136"/>
      <c r="K56" s="136"/>
      <c r="L56" s="136"/>
      <c r="M56" s="136"/>
      <c r="N56" s="184" t="s">
        <v>59</v>
      </c>
      <c r="O56" s="135" t="s">
        <v>362</v>
      </c>
      <c r="P56" s="135" t="s">
        <v>366</v>
      </c>
      <c r="Q56" s="136"/>
      <c r="R56" s="136"/>
      <c r="S56" s="136"/>
      <c r="T56" s="135" t="s">
        <v>366</v>
      </c>
      <c r="U56" s="136"/>
      <c r="V56" s="136"/>
      <c r="W56" s="135" t="s">
        <v>488</v>
      </c>
      <c r="X56" s="135" t="s">
        <v>1085</v>
      </c>
      <c r="Y56" s="135" t="s">
        <v>488</v>
      </c>
      <c r="Z56" s="135" t="s">
        <v>1086</v>
      </c>
      <c r="AA56" s="135" t="s">
        <v>503</v>
      </c>
      <c r="AB56" s="135" t="s">
        <v>489</v>
      </c>
      <c r="AC56" s="136"/>
      <c r="AD56" s="179">
        <v>65</v>
      </c>
      <c r="AE56" s="179">
        <v>75</v>
      </c>
      <c r="AF56" s="135" t="s">
        <v>488</v>
      </c>
      <c r="AG56" s="135" t="s">
        <v>491</v>
      </c>
      <c r="AH56" s="135" t="s">
        <v>488</v>
      </c>
      <c r="AI56" s="136"/>
      <c r="AJ56" s="136"/>
      <c r="AK56" s="135" t="s">
        <v>491</v>
      </c>
      <c r="AL56" s="135" t="s">
        <v>492</v>
      </c>
      <c r="AM56" s="135" t="s">
        <v>493</v>
      </c>
      <c r="AN56" s="135" t="s">
        <v>504</v>
      </c>
      <c r="AO56" s="136"/>
      <c r="AP56" s="136"/>
      <c r="AQ56" s="135" t="s">
        <v>492</v>
      </c>
      <c r="AR56" s="135" t="s">
        <v>492</v>
      </c>
      <c r="AS56" s="136"/>
      <c r="AT56" s="136"/>
      <c r="AU56" s="136"/>
      <c r="AV56" s="135" t="s">
        <v>504</v>
      </c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5" t="s">
        <v>492</v>
      </c>
      <c r="BI56" s="135" t="s">
        <v>492</v>
      </c>
      <c r="BJ56" s="135" t="s">
        <v>492</v>
      </c>
      <c r="BK56" s="135" t="s">
        <v>492</v>
      </c>
      <c r="BL56" s="135" t="s">
        <v>492</v>
      </c>
      <c r="BM56" s="135" t="s">
        <v>492</v>
      </c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79" t="s">
        <v>493</v>
      </c>
      <c r="BZ56" s="135" t="s">
        <v>493</v>
      </c>
      <c r="CA56" s="135" t="s">
        <v>491</v>
      </c>
      <c r="CB56" s="136"/>
      <c r="CC56" s="136"/>
      <c r="CD56" s="135" t="s">
        <v>505</v>
      </c>
      <c r="CE56" s="135" t="s">
        <v>506</v>
      </c>
      <c r="CF56" s="135" t="s">
        <v>493</v>
      </c>
      <c r="CG56" s="135" t="s">
        <v>493</v>
      </c>
      <c r="CH56" s="135" t="s">
        <v>690</v>
      </c>
      <c r="CI56" s="135" t="s">
        <v>506</v>
      </c>
      <c r="CJ56" s="135" t="s">
        <v>493</v>
      </c>
      <c r="CK56" s="135" t="s">
        <v>493</v>
      </c>
      <c r="CL56" s="135" t="s">
        <v>989</v>
      </c>
      <c r="CM56" s="135" t="s">
        <v>505</v>
      </c>
      <c r="CN56" s="135" t="s">
        <v>1120</v>
      </c>
      <c r="CO56" s="135" t="s">
        <v>1149</v>
      </c>
      <c r="CP56" s="135" t="s">
        <v>795</v>
      </c>
      <c r="CQ56" s="135" t="s">
        <v>1194</v>
      </c>
      <c r="CR56" s="135" t="s">
        <v>1194</v>
      </c>
      <c r="CS56" s="135" t="s">
        <v>488</v>
      </c>
      <c r="CT56" s="135" t="s">
        <v>493</v>
      </c>
      <c r="CU56" s="135" t="s">
        <v>493</v>
      </c>
      <c r="CV56" s="135" t="s">
        <v>493</v>
      </c>
      <c r="CW56" s="135" t="s">
        <v>490</v>
      </c>
      <c r="CX56" s="135" t="s">
        <v>690</v>
      </c>
      <c r="CY56" s="135" t="s">
        <v>690</v>
      </c>
      <c r="CZ56" s="135" t="s">
        <v>1093</v>
      </c>
      <c r="DA56" s="135" t="s">
        <v>690</v>
      </c>
      <c r="DB56" s="136"/>
      <c r="DC56" s="217" t="s">
        <v>496</v>
      </c>
      <c r="DD56" s="135" t="s">
        <v>690</v>
      </c>
      <c r="DE56" s="135" t="s">
        <v>496</v>
      </c>
      <c r="DF56" s="136"/>
      <c r="DG56" s="135" t="s">
        <v>488</v>
      </c>
      <c r="DH56" s="136"/>
      <c r="DI56" s="136"/>
      <c r="DJ56" s="136"/>
      <c r="DK56" s="136"/>
      <c r="DL56" s="136"/>
      <c r="DM56" s="135" t="s">
        <v>502</v>
      </c>
      <c r="DN56" s="135" t="s">
        <v>493</v>
      </c>
      <c r="DO56" s="136"/>
      <c r="DP56" s="136"/>
      <c r="DQ56" s="136"/>
      <c r="DR56" s="136"/>
      <c r="DS56" s="136"/>
      <c r="DT56" s="136"/>
      <c r="DU56" s="136"/>
      <c r="DV56" s="136"/>
      <c r="DW56" s="136"/>
      <c r="DX56" s="136"/>
      <c r="DY56" s="136"/>
      <c r="DZ56" s="136"/>
      <c r="EA56" s="136"/>
      <c r="EB56" s="136"/>
      <c r="EC56" s="136"/>
      <c r="ED56" s="136"/>
      <c r="EE56" s="136"/>
      <c r="EF56" s="136"/>
      <c r="EG56" s="136"/>
      <c r="EH56" s="136"/>
      <c r="EI56" s="136"/>
      <c r="EJ56" s="136"/>
      <c r="EK56" s="136"/>
      <c r="EL56" s="136"/>
      <c r="EM56" s="136"/>
      <c r="EN56" s="136"/>
      <c r="EO56" s="136"/>
      <c r="EP56" s="136"/>
      <c r="EQ56" s="136"/>
      <c r="ER56" s="134"/>
      <c r="ES56" s="134"/>
      <c r="ET56" s="134"/>
    </row>
    <row r="57" spans="1:150" s="154" customFormat="1" ht="12.95" customHeight="1">
      <c r="A57" s="365" t="s">
        <v>217</v>
      </c>
      <c r="B57" s="154" t="s">
        <v>368</v>
      </c>
      <c r="C57" s="154" t="s">
        <v>368</v>
      </c>
      <c r="D57" s="154" t="s">
        <v>368</v>
      </c>
      <c r="E57" s="180"/>
      <c r="F57" s="356"/>
      <c r="G57" s="357"/>
      <c r="H57" s="173"/>
      <c r="J57" s="173"/>
      <c r="K57" s="173"/>
      <c r="L57" s="173"/>
      <c r="N57" s="173"/>
      <c r="O57" s="193" t="s">
        <v>362</v>
      </c>
      <c r="P57" s="193" t="s">
        <v>366</v>
      </c>
      <c r="Q57" s="134"/>
      <c r="R57" s="134"/>
      <c r="S57" s="134"/>
      <c r="T57" s="193" t="s">
        <v>366</v>
      </c>
      <c r="U57" s="134"/>
      <c r="V57" s="193" t="s">
        <v>1144</v>
      </c>
      <c r="W57" s="193" t="s">
        <v>488</v>
      </c>
      <c r="X57" s="193" t="s">
        <v>1085</v>
      </c>
      <c r="Y57" s="193" t="s">
        <v>488</v>
      </c>
      <c r="Z57" s="193" t="s">
        <v>1086</v>
      </c>
      <c r="AA57" s="193" t="s">
        <v>503</v>
      </c>
      <c r="AB57" s="193" t="s">
        <v>489</v>
      </c>
      <c r="AC57" s="193" t="s">
        <v>1121</v>
      </c>
      <c r="AD57" s="193" t="s">
        <v>124</v>
      </c>
      <c r="AE57" s="193" t="s">
        <v>490</v>
      </c>
      <c r="AF57" s="193" t="s">
        <v>488</v>
      </c>
      <c r="AG57" s="193" t="s">
        <v>491</v>
      </c>
      <c r="AH57" s="193" t="s">
        <v>488</v>
      </c>
      <c r="AI57" s="193" t="s">
        <v>493</v>
      </c>
      <c r="AJ57" s="193" t="s">
        <v>493</v>
      </c>
      <c r="AK57" s="193" t="s">
        <v>491</v>
      </c>
      <c r="AL57" s="193" t="s">
        <v>492</v>
      </c>
      <c r="AM57" s="193" t="s">
        <v>496</v>
      </c>
      <c r="AN57" s="193" t="s">
        <v>504</v>
      </c>
      <c r="AO57" s="193" t="s">
        <v>493</v>
      </c>
      <c r="AP57" s="193" t="s">
        <v>990</v>
      </c>
      <c r="AQ57" s="193" t="s">
        <v>492</v>
      </c>
      <c r="AR57" s="193" t="s">
        <v>1123</v>
      </c>
      <c r="AS57" s="193" t="s">
        <v>493</v>
      </c>
      <c r="AT57" s="193" t="s">
        <v>506</v>
      </c>
      <c r="AU57" s="193" t="s">
        <v>493</v>
      </c>
      <c r="AV57" s="193" t="s">
        <v>504</v>
      </c>
      <c r="AW57" s="193" t="s">
        <v>493</v>
      </c>
      <c r="AX57" s="193" t="s">
        <v>494</v>
      </c>
      <c r="AY57" s="193" t="s">
        <v>495</v>
      </c>
      <c r="AZ57" s="193" t="s">
        <v>494</v>
      </c>
      <c r="BA57" s="193" t="s">
        <v>495</v>
      </c>
      <c r="BB57" s="193" t="s">
        <v>493</v>
      </c>
      <c r="BC57" s="193" t="s">
        <v>496</v>
      </c>
      <c r="BD57" s="193" t="s">
        <v>493</v>
      </c>
      <c r="BE57" s="193" t="s">
        <v>493</v>
      </c>
      <c r="BF57" s="193" t="s">
        <v>497</v>
      </c>
      <c r="BG57" s="193" t="s">
        <v>1088</v>
      </c>
      <c r="BH57" s="193" t="s">
        <v>492</v>
      </c>
      <c r="BI57" s="193" t="s">
        <v>492</v>
      </c>
      <c r="BJ57" s="193" t="s">
        <v>492</v>
      </c>
      <c r="BK57" s="193" t="s">
        <v>492</v>
      </c>
      <c r="BL57" s="193" t="s">
        <v>492</v>
      </c>
      <c r="BM57" s="193" t="s">
        <v>492</v>
      </c>
      <c r="BN57" s="193" t="s">
        <v>492</v>
      </c>
      <c r="BO57" s="193" t="s">
        <v>493</v>
      </c>
      <c r="BP57" s="193" t="s">
        <v>493</v>
      </c>
      <c r="BQ57" s="193" t="s">
        <v>492</v>
      </c>
      <c r="BR57" s="193" t="s">
        <v>1143</v>
      </c>
      <c r="BS57" s="193" t="s">
        <v>493</v>
      </c>
      <c r="BT57" s="193" t="s">
        <v>493</v>
      </c>
      <c r="BU57" s="193" t="s">
        <v>496</v>
      </c>
      <c r="BV57" s="193" t="s">
        <v>1143</v>
      </c>
      <c r="BW57" s="193" t="s">
        <v>490</v>
      </c>
      <c r="BX57" s="193" t="s">
        <v>490</v>
      </c>
      <c r="BY57" s="179">
        <v>53</v>
      </c>
      <c r="BZ57" s="193" t="s">
        <v>493</v>
      </c>
      <c r="CA57" s="193" t="s">
        <v>496</v>
      </c>
      <c r="CB57" s="193" t="s">
        <v>781</v>
      </c>
      <c r="CC57" s="193" t="s">
        <v>690</v>
      </c>
      <c r="CD57" s="193" t="s">
        <v>505</v>
      </c>
      <c r="CE57" s="193" t="s">
        <v>506</v>
      </c>
      <c r="CF57" s="193" t="s">
        <v>493</v>
      </c>
      <c r="CG57" s="193" t="s">
        <v>493</v>
      </c>
      <c r="CH57" s="193" t="s">
        <v>690</v>
      </c>
      <c r="CI57" s="193" t="s">
        <v>506</v>
      </c>
      <c r="CJ57" s="193" t="s">
        <v>493</v>
      </c>
      <c r="CK57" s="193" t="s">
        <v>493</v>
      </c>
      <c r="CL57" s="193" t="s">
        <v>493</v>
      </c>
      <c r="CM57" s="193" t="s">
        <v>506</v>
      </c>
      <c r="CN57" s="193" t="s">
        <v>493</v>
      </c>
      <c r="CO57" s="193" t="s">
        <v>493</v>
      </c>
      <c r="CP57" s="193" t="s">
        <v>493</v>
      </c>
      <c r="CQ57" s="193" t="s">
        <v>494</v>
      </c>
      <c r="CR57" s="193" t="s">
        <v>495</v>
      </c>
      <c r="CS57" s="193" t="s">
        <v>488</v>
      </c>
      <c r="CT57" s="193" t="s">
        <v>493</v>
      </c>
      <c r="CU57" s="193" t="s">
        <v>493</v>
      </c>
      <c r="CV57" s="193" t="s">
        <v>491</v>
      </c>
      <c r="CW57" s="193" t="s">
        <v>1142</v>
      </c>
      <c r="CX57" s="193" t="s">
        <v>493</v>
      </c>
      <c r="CY57" s="193" t="s">
        <v>499</v>
      </c>
      <c r="CZ57" s="193" t="s">
        <v>493</v>
      </c>
      <c r="DA57" s="193" t="s">
        <v>690</v>
      </c>
      <c r="DB57" s="193" t="s">
        <v>491</v>
      </c>
      <c r="DC57" s="348" t="s">
        <v>493</v>
      </c>
      <c r="DD57" s="193" t="s">
        <v>1124</v>
      </c>
      <c r="DE57" s="193" t="s">
        <v>496</v>
      </c>
      <c r="DF57" s="134"/>
      <c r="DG57" s="193" t="s">
        <v>488</v>
      </c>
      <c r="DH57" s="193" t="s">
        <v>493</v>
      </c>
      <c r="DI57" s="193" t="s">
        <v>491</v>
      </c>
      <c r="DJ57" s="193" t="s">
        <v>500</v>
      </c>
      <c r="DK57" s="193" t="s">
        <v>501</v>
      </c>
      <c r="DL57" s="193" t="s">
        <v>496</v>
      </c>
      <c r="DM57" s="193" t="s">
        <v>502</v>
      </c>
      <c r="DN57" s="193" t="s">
        <v>493</v>
      </c>
      <c r="DO57" s="134"/>
      <c r="DP57" s="134"/>
      <c r="DQ57" s="134"/>
      <c r="DR57" s="134"/>
      <c r="DS57" s="134"/>
      <c r="DT57" s="134"/>
      <c r="DU57" s="134"/>
      <c r="DV57" s="134"/>
      <c r="DW57" s="134"/>
      <c r="DX57" s="134"/>
      <c r="DY57" s="134"/>
      <c r="DZ57" s="134"/>
      <c r="EA57" s="134"/>
      <c r="EB57" s="134"/>
      <c r="EC57" s="134"/>
      <c r="ED57" s="134"/>
      <c r="EE57" s="134"/>
      <c r="EF57" s="134"/>
      <c r="EG57" s="134"/>
      <c r="EH57" s="134"/>
      <c r="EI57" s="134"/>
      <c r="EJ57" s="134"/>
      <c r="EK57" s="134"/>
      <c r="EL57" s="134"/>
      <c r="EM57" s="134"/>
      <c r="EN57" s="134"/>
      <c r="EO57" s="134"/>
      <c r="EP57" s="134"/>
    </row>
    <row r="58" spans="1:150" s="154" customFormat="1" ht="12.95" customHeight="1">
      <c r="A58" s="365" t="s">
        <v>217</v>
      </c>
      <c r="B58" s="154" t="s">
        <v>368</v>
      </c>
      <c r="C58" s="154" t="s">
        <v>367</v>
      </c>
      <c r="D58" s="154" t="s">
        <v>368</v>
      </c>
      <c r="E58" s="180"/>
      <c r="F58" s="356"/>
      <c r="G58" s="357"/>
      <c r="H58" s="173"/>
      <c r="J58" s="173"/>
      <c r="K58" s="173"/>
      <c r="L58" s="173"/>
      <c r="N58" s="173"/>
      <c r="O58" s="193" t="s">
        <v>362</v>
      </c>
      <c r="P58" s="193" t="s">
        <v>366</v>
      </c>
      <c r="Q58" s="134"/>
      <c r="R58" s="134"/>
      <c r="S58" s="134"/>
      <c r="T58" s="193" t="s">
        <v>366</v>
      </c>
      <c r="U58" s="134"/>
      <c r="V58" s="193" t="s">
        <v>1144</v>
      </c>
      <c r="W58" s="193" t="s">
        <v>488</v>
      </c>
      <c r="X58" s="193" t="s">
        <v>1085</v>
      </c>
      <c r="Y58" s="193" t="s">
        <v>488</v>
      </c>
      <c r="Z58" s="193" t="s">
        <v>1086</v>
      </c>
      <c r="AA58" s="193" t="s">
        <v>503</v>
      </c>
      <c r="AB58" s="193" t="s">
        <v>489</v>
      </c>
      <c r="AC58" s="193" t="s">
        <v>1121</v>
      </c>
      <c r="AD58" s="193" t="s">
        <v>124</v>
      </c>
      <c r="AE58" s="193" t="s">
        <v>490</v>
      </c>
      <c r="AF58" s="193" t="s">
        <v>488</v>
      </c>
      <c r="AG58" s="193" t="s">
        <v>491</v>
      </c>
      <c r="AH58" s="193" t="s">
        <v>488</v>
      </c>
      <c r="AI58" s="193" t="s">
        <v>493</v>
      </c>
      <c r="AJ58" s="193" t="s">
        <v>493</v>
      </c>
      <c r="AK58" s="193" t="s">
        <v>491</v>
      </c>
      <c r="AL58" s="193" t="s">
        <v>492</v>
      </c>
      <c r="AM58" s="193" t="s">
        <v>496</v>
      </c>
      <c r="AN58" s="193" t="s">
        <v>504</v>
      </c>
      <c r="AO58" s="193" t="s">
        <v>493</v>
      </c>
      <c r="AP58" s="193" t="s">
        <v>990</v>
      </c>
      <c r="AQ58" s="193" t="s">
        <v>492</v>
      </c>
      <c r="AR58" s="193" t="s">
        <v>1123</v>
      </c>
      <c r="AS58" s="193" t="s">
        <v>493</v>
      </c>
      <c r="AT58" s="193" t="s">
        <v>506</v>
      </c>
      <c r="AU58" s="193" t="s">
        <v>493</v>
      </c>
      <c r="AV58" s="193" t="s">
        <v>504</v>
      </c>
      <c r="AW58" s="193" t="s">
        <v>493</v>
      </c>
      <c r="AX58" s="193" t="s">
        <v>494</v>
      </c>
      <c r="AY58" s="193" t="s">
        <v>495</v>
      </c>
      <c r="AZ58" s="193" t="s">
        <v>494</v>
      </c>
      <c r="BA58" s="193" t="s">
        <v>495</v>
      </c>
      <c r="BB58" s="193" t="s">
        <v>493</v>
      </c>
      <c r="BC58" s="193" t="s">
        <v>496</v>
      </c>
      <c r="BD58" s="193" t="s">
        <v>493</v>
      </c>
      <c r="BE58" s="193" t="s">
        <v>493</v>
      </c>
      <c r="BF58" s="193" t="s">
        <v>497</v>
      </c>
      <c r="BG58" s="193" t="s">
        <v>1088</v>
      </c>
      <c r="BH58" s="193" t="s">
        <v>492</v>
      </c>
      <c r="BI58" s="193" t="s">
        <v>492</v>
      </c>
      <c r="BJ58" s="193" t="s">
        <v>492</v>
      </c>
      <c r="BK58" s="193" t="s">
        <v>492</v>
      </c>
      <c r="BL58" s="193" t="s">
        <v>492</v>
      </c>
      <c r="BM58" s="193" t="s">
        <v>492</v>
      </c>
      <c r="BN58" s="193" t="s">
        <v>492</v>
      </c>
      <c r="BO58" s="193" t="s">
        <v>493</v>
      </c>
      <c r="BP58" s="193" t="s">
        <v>493</v>
      </c>
      <c r="BQ58" s="193" t="s">
        <v>492</v>
      </c>
      <c r="BR58" s="193" t="s">
        <v>1143</v>
      </c>
      <c r="BS58" s="193" t="s">
        <v>493</v>
      </c>
      <c r="BT58" s="193" t="s">
        <v>493</v>
      </c>
      <c r="BU58" s="193" t="s">
        <v>496</v>
      </c>
      <c r="BV58" s="193" t="s">
        <v>1143</v>
      </c>
      <c r="BW58" s="193" t="s">
        <v>490</v>
      </c>
      <c r="BX58" s="193" t="s">
        <v>490</v>
      </c>
      <c r="BY58" s="179">
        <v>53</v>
      </c>
      <c r="BZ58" s="193" t="s">
        <v>493</v>
      </c>
      <c r="CA58" s="193" t="s">
        <v>496</v>
      </c>
      <c r="CB58" s="193" t="s">
        <v>781</v>
      </c>
      <c r="CC58" s="193" t="s">
        <v>690</v>
      </c>
      <c r="CD58" s="193" t="s">
        <v>505</v>
      </c>
      <c r="CE58" s="193" t="s">
        <v>506</v>
      </c>
      <c r="CF58" s="193" t="s">
        <v>493</v>
      </c>
      <c r="CG58" s="193" t="s">
        <v>493</v>
      </c>
      <c r="CH58" s="193" t="s">
        <v>690</v>
      </c>
      <c r="CI58" s="193" t="s">
        <v>506</v>
      </c>
      <c r="CJ58" s="193" t="s">
        <v>493</v>
      </c>
      <c r="CK58" s="193" t="s">
        <v>493</v>
      </c>
      <c r="CL58" s="193" t="s">
        <v>493</v>
      </c>
      <c r="CM58" s="193" t="s">
        <v>506</v>
      </c>
      <c r="CN58" s="193" t="s">
        <v>493</v>
      </c>
      <c r="CO58" s="193" t="s">
        <v>493</v>
      </c>
      <c r="CP58" s="193" t="s">
        <v>493</v>
      </c>
      <c r="CQ58" s="193" t="s">
        <v>494</v>
      </c>
      <c r="CR58" s="193" t="s">
        <v>495</v>
      </c>
      <c r="CS58" s="193" t="s">
        <v>488</v>
      </c>
      <c r="CT58" s="193" t="s">
        <v>493</v>
      </c>
      <c r="CU58" s="193" t="s">
        <v>493</v>
      </c>
      <c r="CV58" s="193" t="s">
        <v>491</v>
      </c>
      <c r="CW58" s="193" t="s">
        <v>1142</v>
      </c>
      <c r="CX58" s="193" t="s">
        <v>493</v>
      </c>
      <c r="CY58" s="193" t="s">
        <v>499</v>
      </c>
      <c r="CZ58" s="193" t="s">
        <v>493</v>
      </c>
      <c r="DA58" s="193" t="s">
        <v>690</v>
      </c>
      <c r="DB58" s="193" t="s">
        <v>491</v>
      </c>
      <c r="DC58" s="348" t="s">
        <v>493</v>
      </c>
      <c r="DD58" s="193" t="s">
        <v>1124</v>
      </c>
      <c r="DE58" s="193" t="s">
        <v>496</v>
      </c>
      <c r="DF58" s="134"/>
      <c r="DG58" s="193" t="s">
        <v>488</v>
      </c>
      <c r="DH58" s="193" t="s">
        <v>493</v>
      </c>
      <c r="DI58" s="193" t="s">
        <v>491</v>
      </c>
      <c r="DJ58" s="193" t="s">
        <v>500</v>
      </c>
      <c r="DK58" s="193" t="s">
        <v>501</v>
      </c>
      <c r="DL58" s="193" t="s">
        <v>496</v>
      </c>
      <c r="DM58" s="193" t="s">
        <v>502</v>
      </c>
      <c r="DN58" s="193" t="s">
        <v>493</v>
      </c>
      <c r="DO58" s="134"/>
      <c r="DP58" s="134"/>
      <c r="DQ58" s="134"/>
      <c r="DR58" s="134"/>
      <c r="DS58" s="134"/>
      <c r="DT58" s="134"/>
      <c r="DU58" s="134"/>
      <c r="DV58" s="134"/>
      <c r="DW58" s="134"/>
      <c r="DX58" s="134"/>
      <c r="DY58" s="134"/>
      <c r="DZ58" s="134"/>
      <c r="EA58" s="134"/>
      <c r="EB58" s="134"/>
      <c r="EC58" s="134"/>
      <c r="ED58" s="134"/>
      <c r="EE58" s="134"/>
      <c r="EF58" s="134"/>
      <c r="EG58" s="134"/>
      <c r="EH58" s="134"/>
      <c r="EI58" s="134"/>
      <c r="EJ58" s="134"/>
      <c r="EK58" s="134"/>
      <c r="EL58" s="134"/>
      <c r="EM58" s="134"/>
      <c r="EN58" s="134"/>
      <c r="EO58" s="134"/>
      <c r="EP58" s="134"/>
    </row>
    <row r="59" spans="1:150" s="154" customFormat="1" ht="12.95" customHeight="1">
      <c r="A59" s="365" t="s">
        <v>217</v>
      </c>
      <c r="B59" s="154" t="s">
        <v>368</v>
      </c>
      <c r="C59" s="154" t="s">
        <v>368</v>
      </c>
      <c r="D59" s="154" t="s">
        <v>367</v>
      </c>
      <c r="E59" s="180"/>
      <c r="F59" s="356"/>
      <c r="G59" s="357"/>
      <c r="H59" s="173"/>
      <c r="J59" s="173"/>
      <c r="K59" s="173"/>
      <c r="L59" s="173"/>
      <c r="N59" s="173"/>
      <c r="O59" s="193" t="s">
        <v>362</v>
      </c>
      <c r="P59" s="193" t="s">
        <v>366</v>
      </c>
      <c r="Q59" s="134"/>
      <c r="R59" s="134"/>
      <c r="S59" s="134"/>
      <c r="T59" s="193" t="s">
        <v>366</v>
      </c>
      <c r="U59" s="134"/>
      <c r="V59" s="193" t="s">
        <v>1144</v>
      </c>
      <c r="W59" s="193" t="s">
        <v>488</v>
      </c>
      <c r="X59" s="193" t="s">
        <v>1085</v>
      </c>
      <c r="Y59" s="193" t="s">
        <v>488</v>
      </c>
      <c r="Z59" s="193" t="s">
        <v>1086</v>
      </c>
      <c r="AA59" s="193" t="s">
        <v>503</v>
      </c>
      <c r="AB59" s="193" t="s">
        <v>489</v>
      </c>
      <c r="AC59" s="193" t="s">
        <v>1121</v>
      </c>
      <c r="AD59" s="193" t="s">
        <v>124</v>
      </c>
      <c r="AE59" s="193" t="s">
        <v>490</v>
      </c>
      <c r="AF59" s="193" t="s">
        <v>488</v>
      </c>
      <c r="AG59" s="193" t="s">
        <v>491</v>
      </c>
      <c r="AH59" s="193" t="s">
        <v>488</v>
      </c>
      <c r="AI59" s="193" t="s">
        <v>493</v>
      </c>
      <c r="AJ59" s="193" t="s">
        <v>493</v>
      </c>
      <c r="AK59" s="193" t="s">
        <v>491</v>
      </c>
      <c r="AL59" s="193" t="s">
        <v>492</v>
      </c>
      <c r="AM59" s="193" t="s">
        <v>496</v>
      </c>
      <c r="AN59" s="193" t="s">
        <v>504</v>
      </c>
      <c r="AO59" s="193" t="s">
        <v>493</v>
      </c>
      <c r="AP59" s="193" t="s">
        <v>990</v>
      </c>
      <c r="AQ59" s="193" t="s">
        <v>492</v>
      </c>
      <c r="AR59" s="193" t="s">
        <v>1123</v>
      </c>
      <c r="AS59" s="193" t="s">
        <v>493</v>
      </c>
      <c r="AT59" s="193" t="s">
        <v>506</v>
      </c>
      <c r="AU59" s="193" t="s">
        <v>493</v>
      </c>
      <c r="AV59" s="193" t="s">
        <v>504</v>
      </c>
      <c r="AW59" s="193" t="s">
        <v>493</v>
      </c>
      <c r="AX59" s="193" t="s">
        <v>494</v>
      </c>
      <c r="AY59" s="193" t="s">
        <v>495</v>
      </c>
      <c r="AZ59" s="193" t="s">
        <v>494</v>
      </c>
      <c r="BA59" s="193" t="s">
        <v>495</v>
      </c>
      <c r="BB59" s="193" t="s">
        <v>493</v>
      </c>
      <c r="BC59" s="193" t="s">
        <v>496</v>
      </c>
      <c r="BD59" s="193" t="s">
        <v>493</v>
      </c>
      <c r="BE59" s="193" t="s">
        <v>493</v>
      </c>
      <c r="BF59" s="193" t="s">
        <v>497</v>
      </c>
      <c r="BG59" s="193" t="s">
        <v>1088</v>
      </c>
      <c r="BH59" s="193" t="s">
        <v>492</v>
      </c>
      <c r="BI59" s="193" t="s">
        <v>492</v>
      </c>
      <c r="BJ59" s="193" t="s">
        <v>492</v>
      </c>
      <c r="BK59" s="193" t="s">
        <v>492</v>
      </c>
      <c r="BL59" s="193" t="s">
        <v>492</v>
      </c>
      <c r="BM59" s="193" t="s">
        <v>492</v>
      </c>
      <c r="BN59" s="193" t="s">
        <v>492</v>
      </c>
      <c r="BO59" s="193" t="s">
        <v>493</v>
      </c>
      <c r="BP59" s="193" t="s">
        <v>493</v>
      </c>
      <c r="BQ59" s="193" t="s">
        <v>492</v>
      </c>
      <c r="BR59" s="193" t="s">
        <v>1143</v>
      </c>
      <c r="BS59" s="193" t="s">
        <v>493</v>
      </c>
      <c r="BT59" s="193" t="s">
        <v>493</v>
      </c>
      <c r="BU59" s="193" t="s">
        <v>496</v>
      </c>
      <c r="BV59" s="193" t="s">
        <v>1143</v>
      </c>
      <c r="BW59" s="193" t="s">
        <v>490</v>
      </c>
      <c r="BX59" s="193" t="s">
        <v>490</v>
      </c>
      <c r="BY59" s="179">
        <v>53</v>
      </c>
      <c r="BZ59" s="193" t="s">
        <v>493</v>
      </c>
      <c r="CA59" s="193" t="s">
        <v>496</v>
      </c>
      <c r="CB59" s="193" t="s">
        <v>781</v>
      </c>
      <c r="CC59" s="193" t="s">
        <v>690</v>
      </c>
      <c r="CD59" s="193" t="s">
        <v>505</v>
      </c>
      <c r="CE59" s="193" t="s">
        <v>506</v>
      </c>
      <c r="CF59" s="193" t="s">
        <v>493</v>
      </c>
      <c r="CG59" s="193" t="s">
        <v>493</v>
      </c>
      <c r="CH59" s="193" t="s">
        <v>690</v>
      </c>
      <c r="CI59" s="193" t="s">
        <v>506</v>
      </c>
      <c r="CJ59" s="193" t="s">
        <v>493</v>
      </c>
      <c r="CK59" s="193" t="s">
        <v>493</v>
      </c>
      <c r="CL59" s="193" t="s">
        <v>493</v>
      </c>
      <c r="CM59" s="193" t="s">
        <v>506</v>
      </c>
      <c r="CN59" s="193" t="s">
        <v>493</v>
      </c>
      <c r="CO59" s="193" t="s">
        <v>493</v>
      </c>
      <c r="CP59" s="193" t="s">
        <v>493</v>
      </c>
      <c r="CQ59" s="193" t="s">
        <v>494</v>
      </c>
      <c r="CR59" s="193" t="s">
        <v>495</v>
      </c>
      <c r="CS59" s="193" t="s">
        <v>488</v>
      </c>
      <c r="CT59" s="193" t="s">
        <v>493</v>
      </c>
      <c r="CU59" s="193" t="s">
        <v>493</v>
      </c>
      <c r="CV59" s="193" t="s">
        <v>491</v>
      </c>
      <c r="CW59" s="193" t="s">
        <v>1142</v>
      </c>
      <c r="CX59" s="193" t="s">
        <v>493</v>
      </c>
      <c r="CY59" s="193" t="s">
        <v>499</v>
      </c>
      <c r="CZ59" s="193" t="s">
        <v>493</v>
      </c>
      <c r="DA59" s="193" t="s">
        <v>690</v>
      </c>
      <c r="DB59" s="193" t="s">
        <v>491</v>
      </c>
      <c r="DC59" s="348" t="s">
        <v>493</v>
      </c>
      <c r="DD59" s="193" t="s">
        <v>1124</v>
      </c>
      <c r="DE59" s="193" t="s">
        <v>496</v>
      </c>
      <c r="DF59" s="134"/>
      <c r="DG59" s="193" t="s">
        <v>488</v>
      </c>
      <c r="DH59" s="193" t="s">
        <v>493</v>
      </c>
      <c r="DI59" s="193" t="s">
        <v>491</v>
      </c>
      <c r="DJ59" s="193" t="s">
        <v>500</v>
      </c>
      <c r="DK59" s="193" t="s">
        <v>501</v>
      </c>
      <c r="DL59" s="193" t="s">
        <v>496</v>
      </c>
      <c r="DM59" s="193" t="s">
        <v>502</v>
      </c>
      <c r="DN59" s="193" t="s">
        <v>493</v>
      </c>
      <c r="DO59" s="134"/>
      <c r="DP59" s="134"/>
      <c r="DQ59" s="134"/>
      <c r="DR59" s="134"/>
      <c r="DS59" s="134"/>
      <c r="DT59" s="134"/>
      <c r="DU59" s="134"/>
      <c r="DV59" s="134"/>
      <c r="DW59" s="134"/>
      <c r="DX59" s="134"/>
      <c r="DY59" s="134"/>
      <c r="DZ59" s="134"/>
      <c r="EA59" s="134"/>
      <c r="EB59" s="134"/>
      <c r="EC59" s="134"/>
      <c r="ED59" s="134"/>
      <c r="EE59" s="134"/>
      <c r="EF59" s="134"/>
      <c r="EG59" s="134"/>
      <c r="EH59" s="134"/>
      <c r="EI59" s="134"/>
      <c r="EJ59" s="134"/>
      <c r="EK59" s="134"/>
      <c r="EL59" s="134"/>
      <c r="EM59" s="134"/>
      <c r="EN59" s="134"/>
      <c r="EO59" s="134"/>
      <c r="EP59" s="134"/>
    </row>
    <row r="60" spans="1:150" s="154" customFormat="1" ht="12.95" customHeight="1">
      <c r="A60" s="365" t="s">
        <v>217</v>
      </c>
      <c r="B60" s="154" t="s">
        <v>368</v>
      </c>
      <c r="C60" s="154" t="s">
        <v>367</v>
      </c>
      <c r="D60" s="154" t="s">
        <v>367</v>
      </c>
      <c r="E60" s="180"/>
      <c r="F60" s="356"/>
      <c r="G60" s="357"/>
      <c r="H60" s="173"/>
      <c r="J60" s="173"/>
      <c r="K60" s="173"/>
      <c r="L60" s="173"/>
      <c r="N60" s="173"/>
      <c r="O60" s="193" t="s">
        <v>362</v>
      </c>
      <c r="P60" s="193" t="s">
        <v>366</v>
      </c>
      <c r="Q60" s="134"/>
      <c r="R60" s="134"/>
      <c r="S60" s="134"/>
      <c r="T60" s="193" t="s">
        <v>366</v>
      </c>
      <c r="U60" s="134"/>
      <c r="V60" s="193" t="s">
        <v>1144</v>
      </c>
      <c r="W60" s="193" t="s">
        <v>488</v>
      </c>
      <c r="X60" s="193" t="s">
        <v>1085</v>
      </c>
      <c r="Y60" s="193" t="s">
        <v>488</v>
      </c>
      <c r="Z60" s="193" t="s">
        <v>1086</v>
      </c>
      <c r="AA60" s="193" t="s">
        <v>503</v>
      </c>
      <c r="AB60" s="193" t="s">
        <v>489</v>
      </c>
      <c r="AC60" s="193" t="s">
        <v>1121</v>
      </c>
      <c r="AD60" s="193" t="s">
        <v>124</v>
      </c>
      <c r="AE60" s="193" t="s">
        <v>490</v>
      </c>
      <c r="AF60" s="193" t="s">
        <v>488</v>
      </c>
      <c r="AG60" s="193" t="s">
        <v>491</v>
      </c>
      <c r="AH60" s="193" t="s">
        <v>488</v>
      </c>
      <c r="AI60" s="193" t="s">
        <v>493</v>
      </c>
      <c r="AJ60" s="193" t="s">
        <v>493</v>
      </c>
      <c r="AK60" s="193" t="s">
        <v>491</v>
      </c>
      <c r="AL60" s="193" t="s">
        <v>492</v>
      </c>
      <c r="AM60" s="193" t="s">
        <v>496</v>
      </c>
      <c r="AN60" s="193" t="s">
        <v>504</v>
      </c>
      <c r="AO60" s="193" t="s">
        <v>493</v>
      </c>
      <c r="AP60" s="193" t="s">
        <v>990</v>
      </c>
      <c r="AQ60" s="193" t="s">
        <v>492</v>
      </c>
      <c r="AR60" s="193" t="s">
        <v>1123</v>
      </c>
      <c r="AS60" s="193" t="s">
        <v>493</v>
      </c>
      <c r="AT60" s="193" t="s">
        <v>506</v>
      </c>
      <c r="AU60" s="193" t="s">
        <v>493</v>
      </c>
      <c r="AV60" s="193" t="s">
        <v>504</v>
      </c>
      <c r="AW60" s="193" t="s">
        <v>493</v>
      </c>
      <c r="AX60" s="193" t="s">
        <v>494</v>
      </c>
      <c r="AY60" s="193" t="s">
        <v>495</v>
      </c>
      <c r="AZ60" s="193" t="s">
        <v>494</v>
      </c>
      <c r="BA60" s="193" t="s">
        <v>495</v>
      </c>
      <c r="BB60" s="193" t="s">
        <v>493</v>
      </c>
      <c r="BC60" s="193" t="s">
        <v>496</v>
      </c>
      <c r="BD60" s="193" t="s">
        <v>493</v>
      </c>
      <c r="BE60" s="193" t="s">
        <v>493</v>
      </c>
      <c r="BF60" s="193" t="s">
        <v>497</v>
      </c>
      <c r="BG60" s="193" t="s">
        <v>1088</v>
      </c>
      <c r="BH60" s="193" t="s">
        <v>492</v>
      </c>
      <c r="BI60" s="193" t="s">
        <v>492</v>
      </c>
      <c r="BJ60" s="193" t="s">
        <v>492</v>
      </c>
      <c r="BK60" s="193" t="s">
        <v>492</v>
      </c>
      <c r="BL60" s="193" t="s">
        <v>492</v>
      </c>
      <c r="BM60" s="193" t="s">
        <v>492</v>
      </c>
      <c r="BN60" s="193" t="s">
        <v>492</v>
      </c>
      <c r="BO60" s="193" t="s">
        <v>493</v>
      </c>
      <c r="BP60" s="193" t="s">
        <v>493</v>
      </c>
      <c r="BQ60" s="193" t="s">
        <v>492</v>
      </c>
      <c r="BR60" s="193" t="s">
        <v>1143</v>
      </c>
      <c r="BS60" s="193" t="s">
        <v>493</v>
      </c>
      <c r="BT60" s="193" t="s">
        <v>493</v>
      </c>
      <c r="BU60" s="193" t="s">
        <v>496</v>
      </c>
      <c r="BV60" s="193" t="s">
        <v>1143</v>
      </c>
      <c r="BW60" s="193" t="s">
        <v>490</v>
      </c>
      <c r="BX60" s="193" t="s">
        <v>490</v>
      </c>
      <c r="BY60" s="179">
        <v>53</v>
      </c>
      <c r="BZ60" s="193" t="s">
        <v>493</v>
      </c>
      <c r="CA60" s="193" t="s">
        <v>496</v>
      </c>
      <c r="CB60" s="193" t="s">
        <v>781</v>
      </c>
      <c r="CC60" s="193" t="s">
        <v>690</v>
      </c>
      <c r="CD60" s="193" t="s">
        <v>505</v>
      </c>
      <c r="CE60" s="193" t="s">
        <v>506</v>
      </c>
      <c r="CF60" s="193" t="s">
        <v>493</v>
      </c>
      <c r="CG60" s="193" t="s">
        <v>493</v>
      </c>
      <c r="CH60" s="193" t="s">
        <v>690</v>
      </c>
      <c r="CI60" s="193" t="s">
        <v>506</v>
      </c>
      <c r="CJ60" s="193" t="s">
        <v>493</v>
      </c>
      <c r="CK60" s="193" t="s">
        <v>493</v>
      </c>
      <c r="CL60" s="193" t="s">
        <v>493</v>
      </c>
      <c r="CM60" s="193" t="s">
        <v>506</v>
      </c>
      <c r="CN60" s="193" t="s">
        <v>493</v>
      </c>
      <c r="CO60" s="193" t="s">
        <v>493</v>
      </c>
      <c r="CP60" s="193" t="s">
        <v>493</v>
      </c>
      <c r="CQ60" s="193" t="s">
        <v>494</v>
      </c>
      <c r="CR60" s="193" t="s">
        <v>495</v>
      </c>
      <c r="CS60" s="193" t="s">
        <v>488</v>
      </c>
      <c r="CT60" s="193" t="s">
        <v>493</v>
      </c>
      <c r="CU60" s="193" t="s">
        <v>493</v>
      </c>
      <c r="CV60" s="193" t="s">
        <v>491</v>
      </c>
      <c r="CW60" s="193" t="s">
        <v>1142</v>
      </c>
      <c r="CX60" s="193" t="s">
        <v>493</v>
      </c>
      <c r="CY60" s="193" t="s">
        <v>499</v>
      </c>
      <c r="CZ60" s="193" t="s">
        <v>493</v>
      </c>
      <c r="DA60" s="193" t="s">
        <v>690</v>
      </c>
      <c r="DB60" s="193" t="s">
        <v>491</v>
      </c>
      <c r="DC60" s="348" t="s">
        <v>493</v>
      </c>
      <c r="DD60" s="193" t="s">
        <v>1124</v>
      </c>
      <c r="DE60" s="193" t="s">
        <v>496</v>
      </c>
      <c r="DF60" s="134"/>
      <c r="DG60" s="193" t="s">
        <v>488</v>
      </c>
      <c r="DH60" s="193" t="s">
        <v>493</v>
      </c>
      <c r="DI60" s="193" t="s">
        <v>491</v>
      </c>
      <c r="DJ60" s="193" t="s">
        <v>500</v>
      </c>
      <c r="DK60" s="193" t="s">
        <v>501</v>
      </c>
      <c r="DL60" s="193" t="s">
        <v>496</v>
      </c>
      <c r="DM60" s="193" t="s">
        <v>502</v>
      </c>
      <c r="DN60" s="193" t="s">
        <v>493</v>
      </c>
      <c r="DO60" s="134"/>
      <c r="DP60" s="134"/>
      <c r="DQ60" s="134"/>
      <c r="DR60" s="134"/>
      <c r="DS60" s="134"/>
      <c r="DT60" s="134"/>
      <c r="DU60" s="134"/>
      <c r="DV60" s="134"/>
      <c r="DW60" s="134"/>
      <c r="DX60" s="134"/>
      <c r="DY60" s="134"/>
      <c r="DZ60" s="134"/>
      <c r="EA60" s="134"/>
      <c r="EB60" s="134"/>
      <c r="EC60" s="134"/>
      <c r="ED60" s="134"/>
      <c r="EE60" s="134"/>
      <c r="EF60" s="134"/>
      <c r="EG60" s="134"/>
      <c r="EH60" s="134"/>
      <c r="EI60" s="134"/>
      <c r="EJ60" s="134"/>
      <c r="EK60" s="134"/>
      <c r="EL60" s="134"/>
      <c r="EM60" s="134"/>
      <c r="EN60" s="134"/>
      <c r="EO60" s="134"/>
      <c r="EP60" s="134"/>
    </row>
    <row r="61" spans="1:150" s="136" customFormat="1" ht="12.95" customHeight="1">
      <c r="A61" s="128" t="s">
        <v>38</v>
      </c>
      <c r="B61" s="133" t="s">
        <v>368</v>
      </c>
      <c r="C61" s="133" t="s">
        <v>368</v>
      </c>
      <c r="D61" s="138" t="s">
        <v>368</v>
      </c>
      <c r="E61" s="138"/>
      <c r="F61" s="210"/>
      <c r="G61" s="210"/>
      <c r="N61" s="184" t="s">
        <v>58</v>
      </c>
      <c r="O61" s="177" t="s">
        <v>362</v>
      </c>
      <c r="P61" s="177" t="s">
        <v>366</v>
      </c>
      <c r="Q61" s="131"/>
      <c r="R61" s="131"/>
      <c r="S61" s="131"/>
      <c r="T61" s="177" t="s">
        <v>366</v>
      </c>
      <c r="U61" s="131"/>
      <c r="V61" s="131" t="s">
        <v>39</v>
      </c>
      <c r="W61" s="177" t="s">
        <v>488</v>
      </c>
      <c r="X61" s="177" t="s">
        <v>1085</v>
      </c>
      <c r="Y61" s="177" t="s">
        <v>488</v>
      </c>
      <c r="Z61" s="177" t="s">
        <v>1086</v>
      </c>
      <c r="AA61" s="177" t="s">
        <v>503</v>
      </c>
      <c r="AB61" s="177" t="s">
        <v>489</v>
      </c>
      <c r="AC61" s="131" t="s">
        <v>40</v>
      </c>
      <c r="AD61" s="178">
        <v>68</v>
      </c>
      <c r="AE61" s="178">
        <v>76</v>
      </c>
      <c r="AF61" s="177" t="s">
        <v>488</v>
      </c>
      <c r="AG61" s="131" t="s">
        <v>1092</v>
      </c>
      <c r="AH61" s="177" t="s">
        <v>488</v>
      </c>
      <c r="AI61" s="131"/>
      <c r="AJ61" s="131"/>
      <c r="AK61" s="177" t="s">
        <v>491</v>
      </c>
      <c r="AL61" s="177" t="s">
        <v>492</v>
      </c>
      <c r="AM61" s="177" t="s">
        <v>493</v>
      </c>
      <c r="AN61" s="177" t="s">
        <v>1087</v>
      </c>
      <c r="AO61" s="131"/>
      <c r="AP61" s="131"/>
      <c r="AQ61" s="177" t="s">
        <v>492</v>
      </c>
      <c r="AR61" s="177" t="s">
        <v>1123</v>
      </c>
      <c r="AS61" s="177" t="s">
        <v>493</v>
      </c>
      <c r="AT61" s="177" t="s">
        <v>506</v>
      </c>
      <c r="AU61" s="177" t="s">
        <v>493</v>
      </c>
      <c r="AV61" s="177" t="s">
        <v>1087</v>
      </c>
      <c r="AW61" s="177" t="s">
        <v>493</v>
      </c>
      <c r="AX61" s="177" t="s">
        <v>494</v>
      </c>
      <c r="AY61" s="177" t="s">
        <v>495</v>
      </c>
      <c r="AZ61" s="131"/>
      <c r="BA61" s="131"/>
      <c r="BB61" s="177" t="s">
        <v>493</v>
      </c>
      <c r="BC61" s="177" t="s">
        <v>496</v>
      </c>
      <c r="BD61" s="177" t="s">
        <v>493</v>
      </c>
      <c r="BE61" s="177" t="s">
        <v>493</v>
      </c>
      <c r="BF61" s="177" t="s">
        <v>497</v>
      </c>
      <c r="BG61" s="177" t="s">
        <v>1088</v>
      </c>
      <c r="BH61" s="177" t="s">
        <v>492</v>
      </c>
      <c r="BI61" s="177" t="s">
        <v>492</v>
      </c>
      <c r="BJ61" s="177" t="s">
        <v>492</v>
      </c>
      <c r="BK61" s="177" t="s">
        <v>492</v>
      </c>
      <c r="BL61" s="177" t="s">
        <v>492</v>
      </c>
      <c r="BM61" s="177" t="s">
        <v>492</v>
      </c>
      <c r="BN61" s="177" t="s">
        <v>492</v>
      </c>
      <c r="BO61" s="177" t="s">
        <v>493</v>
      </c>
      <c r="BP61" s="177" t="s">
        <v>493</v>
      </c>
      <c r="BQ61" s="177" t="s">
        <v>492</v>
      </c>
      <c r="BR61" s="177">
        <v>90</v>
      </c>
      <c r="BS61" s="177" t="s">
        <v>493</v>
      </c>
      <c r="BT61" s="177" t="s">
        <v>493</v>
      </c>
      <c r="BU61" s="177" t="s">
        <v>496</v>
      </c>
      <c r="BV61" s="177">
        <v>90</v>
      </c>
      <c r="BW61" s="177" t="s">
        <v>490</v>
      </c>
      <c r="BX61" s="177" t="s">
        <v>490</v>
      </c>
      <c r="BY61" s="178">
        <v>53</v>
      </c>
      <c r="BZ61" s="177" t="s">
        <v>493</v>
      </c>
      <c r="CA61" s="131">
        <f>3.14*8^2/576</f>
        <v>0.34888888888888892</v>
      </c>
      <c r="CB61" s="177" t="s">
        <v>781</v>
      </c>
      <c r="CC61" s="177" t="s">
        <v>690</v>
      </c>
      <c r="CD61" s="131"/>
      <c r="CE61" s="131"/>
      <c r="CF61" s="131"/>
      <c r="CG61" s="131"/>
      <c r="CH61" s="177" t="s">
        <v>690</v>
      </c>
      <c r="CI61" s="177" t="s">
        <v>506</v>
      </c>
      <c r="CJ61" s="177" t="s">
        <v>493</v>
      </c>
      <c r="CK61" s="177" t="s">
        <v>493</v>
      </c>
      <c r="CL61" s="177" t="s">
        <v>493</v>
      </c>
      <c r="CM61" s="177" t="s">
        <v>506</v>
      </c>
      <c r="CN61" s="177" t="s">
        <v>493</v>
      </c>
      <c r="CO61" s="177" t="s">
        <v>493</v>
      </c>
      <c r="CP61" s="177" t="s">
        <v>493</v>
      </c>
      <c r="CQ61" s="177" t="s">
        <v>494</v>
      </c>
      <c r="CR61" s="177" t="s">
        <v>495</v>
      </c>
      <c r="CS61" s="177" t="s">
        <v>488</v>
      </c>
      <c r="CT61" s="131"/>
      <c r="CU61" s="177" t="s">
        <v>493</v>
      </c>
      <c r="CV61" s="177" t="s">
        <v>491</v>
      </c>
      <c r="CW61" s="131" t="s">
        <v>508</v>
      </c>
      <c r="CX61" s="177" t="s">
        <v>493</v>
      </c>
      <c r="CY61" s="177" t="s">
        <v>499</v>
      </c>
      <c r="CZ61" s="177" t="s">
        <v>493</v>
      </c>
      <c r="DA61" s="131"/>
      <c r="DB61" s="131" t="s">
        <v>1092</v>
      </c>
      <c r="DC61" s="181">
        <v>150</v>
      </c>
      <c r="DD61" s="177" t="s">
        <v>1124</v>
      </c>
      <c r="DE61" s="131"/>
      <c r="DF61" s="131"/>
      <c r="DG61" s="177" t="s">
        <v>488</v>
      </c>
      <c r="DH61" s="177" t="s">
        <v>493</v>
      </c>
      <c r="DI61" s="177" t="s">
        <v>491</v>
      </c>
      <c r="DJ61" s="177" t="s">
        <v>500</v>
      </c>
      <c r="DK61" s="177" t="s">
        <v>501</v>
      </c>
      <c r="DL61" s="131">
        <f>3.14*6^2/576</f>
        <v>0.19625000000000001</v>
      </c>
      <c r="DM61" s="177" t="s">
        <v>502</v>
      </c>
      <c r="DN61" s="177" t="s">
        <v>493</v>
      </c>
    </row>
    <row r="62" spans="1:150" s="136" customFormat="1" ht="12.95" customHeight="1">
      <c r="A62" s="364" t="s">
        <v>38</v>
      </c>
      <c r="B62" s="210" t="s">
        <v>368</v>
      </c>
      <c r="C62" s="210" t="s">
        <v>368</v>
      </c>
      <c r="D62" s="136" t="s">
        <v>367</v>
      </c>
      <c r="E62" s="138"/>
      <c r="F62" s="210"/>
      <c r="G62" s="210"/>
      <c r="N62"/>
      <c r="O62" s="135" t="s">
        <v>362</v>
      </c>
      <c r="P62" s="135" t="s">
        <v>366</v>
      </c>
      <c r="T62" s="135" t="s">
        <v>366</v>
      </c>
      <c r="V62" s="136" t="s">
        <v>39</v>
      </c>
      <c r="W62" s="135" t="s">
        <v>488</v>
      </c>
      <c r="X62" s="135" t="s">
        <v>1085</v>
      </c>
      <c r="Y62" s="135" t="s">
        <v>488</v>
      </c>
      <c r="Z62" s="135" t="s">
        <v>1086</v>
      </c>
      <c r="AA62" s="135" t="s">
        <v>503</v>
      </c>
      <c r="AB62" s="135" t="s">
        <v>489</v>
      </c>
      <c r="AC62" s="136" t="s">
        <v>40</v>
      </c>
      <c r="AD62" s="179">
        <v>68</v>
      </c>
      <c r="AE62" s="179">
        <v>76</v>
      </c>
      <c r="AF62" s="135" t="s">
        <v>488</v>
      </c>
      <c r="AG62" s="136" t="s">
        <v>1092</v>
      </c>
      <c r="AH62" s="135" t="s">
        <v>488</v>
      </c>
      <c r="AK62" s="135" t="s">
        <v>491</v>
      </c>
      <c r="AL62" s="135" t="s">
        <v>492</v>
      </c>
      <c r="AM62" s="135" t="s">
        <v>493</v>
      </c>
      <c r="AN62" s="135" t="s">
        <v>1087</v>
      </c>
      <c r="AQ62" s="135" t="s">
        <v>492</v>
      </c>
      <c r="AR62" s="135" t="s">
        <v>1123</v>
      </c>
      <c r="AS62" s="135" t="s">
        <v>493</v>
      </c>
      <c r="AT62" s="135" t="s">
        <v>506</v>
      </c>
      <c r="AU62" s="135" t="s">
        <v>493</v>
      </c>
      <c r="AV62" s="135" t="s">
        <v>1087</v>
      </c>
      <c r="AW62" s="135" t="s">
        <v>493</v>
      </c>
      <c r="AX62" s="135" t="s">
        <v>494</v>
      </c>
      <c r="AY62" s="135" t="s">
        <v>495</v>
      </c>
      <c r="BB62" s="135" t="s">
        <v>493</v>
      </c>
      <c r="BC62" s="135" t="s">
        <v>496</v>
      </c>
      <c r="BD62" s="135" t="s">
        <v>493</v>
      </c>
      <c r="BE62" s="135" t="s">
        <v>493</v>
      </c>
      <c r="BF62" s="135" t="s">
        <v>497</v>
      </c>
      <c r="BG62" s="135" t="s">
        <v>1088</v>
      </c>
      <c r="BH62" s="135" t="s">
        <v>492</v>
      </c>
      <c r="BI62" s="135" t="s">
        <v>492</v>
      </c>
      <c r="BJ62" s="135" t="s">
        <v>492</v>
      </c>
      <c r="BK62" s="135" t="s">
        <v>492</v>
      </c>
      <c r="BL62" s="135" t="s">
        <v>492</v>
      </c>
      <c r="BM62" s="135" t="s">
        <v>492</v>
      </c>
      <c r="BN62" s="135" t="s">
        <v>492</v>
      </c>
      <c r="BO62" s="135" t="s">
        <v>493</v>
      </c>
      <c r="BP62" s="135" t="s">
        <v>493</v>
      </c>
      <c r="BQ62" s="135" t="s">
        <v>492</v>
      </c>
      <c r="BR62" s="135">
        <v>90</v>
      </c>
      <c r="BS62" s="135" t="s">
        <v>493</v>
      </c>
      <c r="BT62" s="135" t="s">
        <v>493</v>
      </c>
      <c r="BU62" s="135" t="s">
        <v>496</v>
      </c>
      <c r="BV62" s="135">
        <v>90</v>
      </c>
      <c r="BW62" s="135" t="s">
        <v>490</v>
      </c>
      <c r="BX62" s="135" t="s">
        <v>490</v>
      </c>
      <c r="BY62" s="179">
        <v>53</v>
      </c>
      <c r="BZ62" s="135" t="s">
        <v>493</v>
      </c>
      <c r="CA62" s="136">
        <f>3.14*8^2/576</f>
        <v>0.34888888888888892</v>
      </c>
      <c r="CB62" s="135" t="s">
        <v>781</v>
      </c>
      <c r="CC62" s="135" t="s">
        <v>690</v>
      </c>
      <c r="CH62" s="135" t="s">
        <v>690</v>
      </c>
      <c r="CI62" s="135" t="s">
        <v>506</v>
      </c>
      <c r="CJ62" s="135" t="s">
        <v>493</v>
      </c>
      <c r="CK62" s="135" t="s">
        <v>493</v>
      </c>
      <c r="CL62" s="135" t="s">
        <v>493</v>
      </c>
      <c r="CM62" s="135" t="s">
        <v>506</v>
      </c>
      <c r="CN62" s="135" t="s">
        <v>493</v>
      </c>
      <c r="CO62" s="135" t="s">
        <v>493</v>
      </c>
      <c r="CP62" s="135" t="s">
        <v>493</v>
      </c>
      <c r="CQ62" s="135" t="s">
        <v>494</v>
      </c>
      <c r="CR62" s="135" t="s">
        <v>495</v>
      </c>
      <c r="CS62" s="135" t="s">
        <v>488</v>
      </c>
      <c r="CU62" s="135" t="s">
        <v>493</v>
      </c>
      <c r="CV62" s="135" t="s">
        <v>491</v>
      </c>
      <c r="CW62" s="136" t="s">
        <v>508</v>
      </c>
      <c r="CX62" s="135" t="s">
        <v>493</v>
      </c>
      <c r="CY62" s="135" t="s">
        <v>499</v>
      </c>
      <c r="CZ62" s="135" t="s">
        <v>493</v>
      </c>
      <c r="DB62" s="136" t="s">
        <v>1092</v>
      </c>
      <c r="DC62" s="217">
        <v>150</v>
      </c>
      <c r="DD62" s="135" t="s">
        <v>1124</v>
      </c>
      <c r="DG62" s="135" t="s">
        <v>488</v>
      </c>
      <c r="DH62" s="135" t="s">
        <v>493</v>
      </c>
      <c r="DI62" s="135" t="s">
        <v>491</v>
      </c>
      <c r="DJ62" s="135" t="s">
        <v>500</v>
      </c>
      <c r="DK62" s="135" t="s">
        <v>501</v>
      </c>
      <c r="DL62" s="136">
        <f>3.14*6^2/576</f>
        <v>0.19625000000000001</v>
      </c>
      <c r="DM62" s="135" t="s">
        <v>502</v>
      </c>
      <c r="DN62" s="135" t="s">
        <v>493</v>
      </c>
    </row>
    <row r="63" spans="1:150" s="136" customFormat="1" ht="12.95" customHeight="1">
      <c r="A63" s="364" t="s">
        <v>38</v>
      </c>
      <c r="B63" s="210" t="s">
        <v>368</v>
      </c>
      <c r="C63" s="210" t="s">
        <v>367</v>
      </c>
      <c r="D63" s="136" t="s">
        <v>368</v>
      </c>
      <c r="E63" s="138"/>
      <c r="F63" s="210"/>
      <c r="G63" s="210"/>
      <c r="N63"/>
      <c r="O63" s="135" t="s">
        <v>362</v>
      </c>
      <c r="P63" s="135" t="s">
        <v>366</v>
      </c>
      <c r="T63" s="135" t="s">
        <v>366</v>
      </c>
      <c r="V63" s="136" t="s">
        <v>39</v>
      </c>
      <c r="W63" s="135" t="s">
        <v>488</v>
      </c>
      <c r="X63" s="135" t="s">
        <v>1085</v>
      </c>
      <c r="Y63" s="135" t="s">
        <v>488</v>
      </c>
      <c r="Z63" s="135" t="s">
        <v>1086</v>
      </c>
      <c r="AA63" s="135" t="s">
        <v>503</v>
      </c>
      <c r="AB63" s="135" t="s">
        <v>489</v>
      </c>
      <c r="AC63" s="136" t="s">
        <v>40</v>
      </c>
      <c r="AD63" s="179">
        <v>68</v>
      </c>
      <c r="AE63" s="179">
        <v>76</v>
      </c>
      <c r="AF63" s="135" t="s">
        <v>488</v>
      </c>
      <c r="AG63" s="136" t="s">
        <v>1092</v>
      </c>
      <c r="AH63" s="135" t="s">
        <v>488</v>
      </c>
      <c r="AK63" s="135" t="s">
        <v>491</v>
      </c>
      <c r="AL63" s="135" t="s">
        <v>492</v>
      </c>
      <c r="AM63" s="135" t="s">
        <v>493</v>
      </c>
      <c r="AN63" s="135" t="s">
        <v>1087</v>
      </c>
      <c r="AQ63" s="135" t="s">
        <v>492</v>
      </c>
      <c r="AR63" s="135" t="s">
        <v>1123</v>
      </c>
      <c r="AS63" s="135" t="s">
        <v>493</v>
      </c>
      <c r="AT63" s="135" t="s">
        <v>506</v>
      </c>
      <c r="AU63" s="135" t="s">
        <v>493</v>
      </c>
      <c r="AV63" s="135" t="s">
        <v>1087</v>
      </c>
      <c r="AW63" s="135" t="s">
        <v>493</v>
      </c>
      <c r="AX63" s="135" t="s">
        <v>494</v>
      </c>
      <c r="AY63" s="135" t="s">
        <v>495</v>
      </c>
      <c r="BB63" s="135" t="s">
        <v>493</v>
      </c>
      <c r="BC63" s="135" t="s">
        <v>496</v>
      </c>
      <c r="BD63" s="135" t="s">
        <v>493</v>
      </c>
      <c r="BE63" s="135" t="s">
        <v>493</v>
      </c>
      <c r="BF63" s="135" t="s">
        <v>497</v>
      </c>
      <c r="BG63" s="135" t="s">
        <v>1088</v>
      </c>
      <c r="BH63" s="135" t="s">
        <v>492</v>
      </c>
      <c r="BI63" s="135" t="s">
        <v>492</v>
      </c>
      <c r="BJ63" s="135" t="s">
        <v>492</v>
      </c>
      <c r="BK63" s="135" t="s">
        <v>492</v>
      </c>
      <c r="BL63" s="135" t="s">
        <v>492</v>
      </c>
      <c r="BM63" s="135" t="s">
        <v>492</v>
      </c>
      <c r="BN63" s="135" t="s">
        <v>492</v>
      </c>
      <c r="BO63" s="135" t="s">
        <v>493</v>
      </c>
      <c r="BP63" s="135" t="s">
        <v>493</v>
      </c>
      <c r="BQ63" s="135" t="s">
        <v>492</v>
      </c>
      <c r="BR63" s="135">
        <v>90</v>
      </c>
      <c r="BS63" s="135" t="s">
        <v>493</v>
      </c>
      <c r="BT63" s="135" t="s">
        <v>493</v>
      </c>
      <c r="BU63" s="135" t="s">
        <v>496</v>
      </c>
      <c r="BV63" s="135">
        <v>90</v>
      </c>
      <c r="BW63" s="135" t="s">
        <v>490</v>
      </c>
      <c r="BX63" s="135" t="s">
        <v>490</v>
      </c>
      <c r="BY63" s="179">
        <v>53</v>
      </c>
      <c r="BZ63" s="135" t="s">
        <v>493</v>
      </c>
      <c r="CA63" s="136">
        <f>3.14*8^2/576</f>
        <v>0.34888888888888892</v>
      </c>
      <c r="CB63" s="135" t="s">
        <v>781</v>
      </c>
      <c r="CC63" s="135" t="s">
        <v>690</v>
      </c>
      <c r="CH63" s="135" t="s">
        <v>690</v>
      </c>
      <c r="CI63" s="135" t="s">
        <v>506</v>
      </c>
      <c r="CJ63" s="135" t="s">
        <v>493</v>
      </c>
      <c r="CK63" s="135" t="s">
        <v>493</v>
      </c>
      <c r="CL63" s="135" t="s">
        <v>493</v>
      </c>
      <c r="CM63" s="135" t="s">
        <v>506</v>
      </c>
      <c r="CN63" s="135" t="s">
        <v>493</v>
      </c>
      <c r="CO63" s="135" t="s">
        <v>493</v>
      </c>
      <c r="CP63" s="135" t="s">
        <v>493</v>
      </c>
      <c r="CQ63" s="135" t="s">
        <v>494</v>
      </c>
      <c r="CR63" s="135" t="s">
        <v>495</v>
      </c>
      <c r="CS63" s="135" t="s">
        <v>488</v>
      </c>
      <c r="CU63" s="135" t="s">
        <v>493</v>
      </c>
      <c r="CV63" s="135" t="s">
        <v>491</v>
      </c>
      <c r="CW63" s="136" t="s">
        <v>508</v>
      </c>
      <c r="CX63" s="135" t="s">
        <v>493</v>
      </c>
      <c r="CY63" s="135" t="s">
        <v>499</v>
      </c>
      <c r="CZ63" s="135" t="s">
        <v>493</v>
      </c>
      <c r="DB63" s="136" t="s">
        <v>1092</v>
      </c>
      <c r="DC63" s="217">
        <v>150</v>
      </c>
      <c r="DD63" s="135" t="s">
        <v>1124</v>
      </c>
      <c r="DG63" s="135" t="s">
        <v>488</v>
      </c>
      <c r="DH63" s="135" t="s">
        <v>493</v>
      </c>
      <c r="DI63" s="135" t="s">
        <v>491</v>
      </c>
      <c r="DJ63" s="135" t="s">
        <v>500</v>
      </c>
      <c r="DK63" s="135" t="s">
        <v>501</v>
      </c>
      <c r="DL63" s="136">
        <f>3.14*6^2/576</f>
        <v>0.19625000000000001</v>
      </c>
      <c r="DM63" s="135" t="s">
        <v>502</v>
      </c>
      <c r="DN63" s="135" t="s">
        <v>493</v>
      </c>
    </row>
    <row r="64" spans="1:150" s="136" customFormat="1" ht="12.95" customHeight="1">
      <c r="A64" s="364" t="s">
        <v>38</v>
      </c>
      <c r="B64" s="210" t="s">
        <v>368</v>
      </c>
      <c r="C64" s="210" t="s">
        <v>367</v>
      </c>
      <c r="D64" s="136" t="s">
        <v>367</v>
      </c>
      <c r="E64" s="138"/>
      <c r="F64" s="210"/>
      <c r="G64" s="210"/>
      <c r="N64"/>
      <c r="O64" s="135" t="s">
        <v>362</v>
      </c>
      <c r="P64" s="135" t="s">
        <v>366</v>
      </c>
      <c r="T64" s="135" t="s">
        <v>366</v>
      </c>
      <c r="V64" s="136" t="s">
        <v>39</v>
      </c>
      <c r="W64" s="135" t="s">
        <v>488</v>
      </c>
      <c r="X64" s="135" t="s">
        <v>1085</v>
      </c>
      <c r="Y64" s="135" t="s">
        <v>488</v>
      </c>
      <c r="Z64" s="135" t="s">
        <v>1086</v>
      </c>
      <c r="AA64" s="135" t="s">
        <v>503</v>
      </c>
      <c r="AB64" s="135" t="s">
        <v>489</v>
      </c>
      <c r="AC64" s="136" t="s">
        <v>40</v>
      </c>
      <c r="AD64" s="179">
        <v>68</v>
      </c>
      <c r="AE64" s="179">
        <v>76</v>
      </c>
      <c r="AF64" s="135" t="s">
        <v>488</v>
      </c>
      <c r="AG64" s="136" t="s">
        <v>1092</v>
      </c>
      <c r="AH64" s="135" t="s">
        <v>488</v>
      </c>
      <c r="AK64" s="135" t="s">
        <v>491</v>
      </c>
      <c r="AL64" s="135" t="s">
        <v>492</v>
      </c>
      <c r="AM64" s="135" t="s">
        <v>493</v>
      </c>
      <c r="AN64" s="135" t="s">
        <v>1087</v>
      </c>
      <c r="AQ64" s="135" t="s">
        <v>492</v>
      </c>
      <c r="AR64" s="135" t="s">
        <v>1123</v>
      </c>
      <c r="AS64" s="135" t="s">
        <v>493</v>
      </c>
      <c r="AT64" s="135" t="s">
        <v>506</v>
      </c>
      <c r="AU64" s="135" t="s">
        <v>493</v>
      </c>
      <c r="AV64" s="135" t="s">
        <v>1087</v>
      </c>
      <c r="AW64" s="135" t="s">
        <v>493</v>
      </c>
      <c r="AX64" s="135" t="s">
        <v>494</v>
      </c>
      <c r="AY64" s="135" t="s">
        <v>495</v>
      </c>
      <c r="BB64" s="135" t="s">
        <v>493</v>
      </c>
      <c r="BC64" s="135" t="s">
        <v>496</v>
      </c>
      <c r="BD64" s="135" t="s">
        <v>493</v>
      </c>
      <c r="BE64" s="135" t="s">
        <v>493</v>
      </c>
      <c r="BF64" s="135" t="s">
        <v>497</v>
      </c>
      <c r="BG64" s="135" t="s">
        <v>1088</v>
      </c>
      <c r="BH64" s="135" t="s">
        <v>492</v>
      </c>
      <c r="BI64" s="135" t="s">
        <v>492</v>
      </c>
      <c r="BJ64" s="135" t="s">
        <v>492</v>
      </c>
      <c r="BK64" s="135" t="s">
        <v>492</v>
      </c>
      <c r="BL64" s="135" t="s">
        <v>492</v>
      </c>
      <c r="BM64" s="135" t="s">
        <v>492</v>
      </c>
      <c r="BN64" s="135" t="s">
        <v>492</v>
      </c>
      <c r="BO64" s="135" t="s">
        <v>493</v>
      </c>
      <c r="BP64" s="135" t="s">
        <v>493</v>
      </c>
      <c r="BQ64" s="135" t="s">
        <v>492</v>
      </c>
      <c r="BR64" s="135">
        <v>90</v>
      </c>
      <c r="BS64" s="135" t="s">
        <v>493</v>
      </c>
      <c r="BT64" s="135" t="s">
        <v>493</v>
      </c>
      <c r="BU64" s="135" t="s">
        <v>496</v>
      </c>
      <c r="BV64" s="135">
        <v>90</v>
      </c>
      <c r="BW64" s="135" t="s">
        <v>490</v>
      </c>
      <c r="BX64" s="135" t="s">
        <v>490</v>
      </c>
      <c r="BY64" s="179">
        <v>53</v>
      </c>
      <c r="BZ64" s="135" t="s">
        <v>493</v>
      </c>
      <c r="CA64" s="136">
        <f>3.14*8^2/576</f>
        <v>0.34888888888888892</v>
      </c>
      <c r="CB64" s="135" t="s">
        <v>781</v>
      </c>
      <c r="CC64" s="135" t="s">
        <v>690</v>
      </c>
      <c r="CH64" s="135" t="s">
        <v>690</v>
      </c>
      <c r="CI64" s="135" t="s">
        <v>506</v>
      </c>
      <c r="CJ64" s="135" t="s">
        <v>493</v>
      </c>
      <c r="CK64" s="135" t="s">
        <v>493</v>
      </c>
      <c r="CL64" s="135" t="s">
        <v>493</v>
      </c>
      <c r="CM64" s="135" t="s">
        <v>506</v>
      </c>
      <c r="CN64" s="135" t="s">
        <v>493</v>
      </c>
      <c r="CO64" s="135" t="s">
        <v>493</v>
      </c>
      <c r="CP64" s="135" t="s">
        <v>493</v>
      </c>
      <c r="CQ64" s="135" t="s">
        <v>494</v>
      </c>
      <c r="CR64" s="135" t="s">
        <v>495</v>
      </c>
      <c r="CS64" s="135" t="s">
        <v>488</v>
      </c>
      <c r="CU64" s="135" t="s">
        <v>493</v>
      </c>
      <c r="CV64" s="135" t="s">
        <v>491</v>
      </c>
      <c r="CW64" s="136" t="s">
        <v>508</v>
      </c>
      <c r="CX64" s="135" t="s">
        <v>493</v>
      </c>
      <c r="CY64" s="135" t="s">
        <v>499</v>
      </c>
      <c r="CZ64" s="135" t="s">
        <v>493</v>
      </c>
      <c r="DB64" s="136" t="s">
        <v>1092</v>
      </c>
      <c r="DC64" s="217">
        <v>150</v>
      </c>
      <c r="DD64" s="135" t="s">
        <v>1124</v>
      </c>
      <c r="DG64" s="135" t="s">
        <v>488</v>
      </c>
      <c r="DH64" s="135" t="s">
        <v>493</v>
      </c>
      <c r="DI64" s="135" t="s">
        <v>491</v>
      </c>
      <c r="DJ64" s="135" t="s">
        <v>500</v>
      </c>
      <c r="DK64" s="135" t="s">
        <v>501</v>
      </c>
      <c r="DL64" s="136">
        <f>3.14*6^2/576</f>
        <v>0.19625000000000001</v>
      </c>
      <c r="DM64" s="135" t="s">
        <v>502</v>
      </c>
      <c r="DN64" s="135" t="s">
        <v>493</v>
      </c>
    </row>
    <row r="65" spans="1:150" s="154" customFormat="1" ht="12.95" customHeight="1">
      <c r="A65" s="364" t="s">
        <v>62</v>
      </c>
      <c r="B65" s="347" t="s">
        <v>368</v>
      </c>
      <c r="C65" s="347" t="s">
        <v>368</v>
      </c>
      <c r="D65" s="136" t="s">
        <v>368</v>
      </c>
      <c r="E65" s="138"/>
      <c r="F65" s="213"/>
      <c r="G65" s="195"/>
      <c r="N65" s="183" t="s">
        <v>65</v>
      </c>
      <c r="O65" s="192" t="s">
        <v>362</v>
      </c>
      <c r="P65" s="192" t="s">
        <v>366</v>
      </c>
      <c r="Q65" s="132"/>
      <c r="R65" s="132"/>
      <c r="S65" s="132"/>
      <c r="T65" s="192" t="s">
        <v>366</v>
      </c>
      <c r="U65" s="132"/>
      <c r="V65" s="132"/>
      <c r="W65" s="192" t="s">
        <v>488</v>
      </c>
      <c r="X65" s="192" t="s">
        <v>1085</v>
      </c>
      <c r="Y65" s="192" t="s">
        <v>488</v>
      </c>
      <c r="Z65" s="192" t="s">
        <v>1086</v>
      </c>
      <c r="AA65" s="192" t="s">
        <v>503</v>
      </c>
      <c r="AB65" s="192" t="s">
        <v>489</v>
      </c>
      <c r="AC65" s="192" t="s">
        <v>60</v>
      </c>
      <c r="AD65" s="178">
        <v>65</v>
      </c>
      <c r="AE65" s="178">
        <v>75</v>
      </c>
      <c r="AF65" s="192" t="s">
        <v>488</v>
      </c>
      <c r="AG65" s="192" t="s">
        <v>491</v>
      </c>
      <c r="AH65" s="192" t="s">
        <v>488</v>
      </c>
      <c r="AI65" s="132"/>
      <c r="AJ65" s="132"/>
      <c r="AK65" s="192" t="s">
        <v>491</v>
      </c>
      <c r="AL65" s="192" t="s">
        <v>492</v>
      </c>
      <c r="AM65" s="192" t="s">
        <v>496</v>
      </c>
      <c r="AN65" s="192" t="s">
        <v>504</v>
      </c>
      <c r="AO65" s="132"/>
      <c r="AP65" s="192" t="s">
        <v>34</v>
      </c>
      <c r="AQ65" s="192" t="s">
        <v>492</v>
      </c>
      <c r="AR65" s="192" t="s">
        <v>492</v>
      </c>
      <c r="AS65" s="192" t="s">
        <v>1136</v>
      </c>
      <c r="AT65" s="192" t="s">
        <v>491</v>
      </c>
      <c r="AU65" s="132"/>
      <c r="AV65" s="192" t="s">
        <v>504</v>
      </c>
      <c r="AW65" s="192" t="s">
        <v>492</v>
      </c>
      <c r="AX65" s="192" t="s">
        <v>690</v>
      </c>
      <c r="AY65" s="192" t="s">
        <v>493</v>
      </c>
      <c r="AZ65" s="192" t="s">
        <v>690</v>
      </c>
      <c r="BA65" s="192" t="s">
        <v>493</v>
      </c>
      <c r="BB65" s="192" t="s">
        <v>690</v>
      </c>
      <c r="BC65" s="192" t="s">
        <v>493</v>
      </c>
      <c r="BD65" s="192" t="s">
        <v>493</v>
      </c>
      <c r="BE65" s="192" t="s">
        <v>493</v>
      </c>
      <c r="BF65" s="192" t="s">
        <v>493</v>
      </c>
      <c r="BG65" s="192" t="s">
        <v>493</v>
      </c>
      <c r="BH65" s="192" t="s">
        <v>492</v>
      </c>
      <c r="BI65" s="192" t="s">
        <v>492</v>
      </c>
      <c r="BJ65" s="192" t="s">
        <v>492</v>
      </c>
      <c r="BK65" s="192" t="s">
        <v>492</v>
      </c>
      <c r="BL65" s="192" t="s">
        <v>492</v>
      </c>
      <c r="BM65" s="192" t="s">
        <v>492</v>
      </c>
      <c r="BN65" s="192" t="s">
        <v>492</v>
      </c>
      <c r="BO65" s="132"/>
      <c r="BP65" s="132"/>
      <c r="BQ65" s="192" t="s">
        <v>492</v>
      </c>
      <c r="BR65" s="132"/>
      <c r="BS65" s="132"/>
      <c r="BT65" s="192" t="s">
        <v>491</v>
      </c>
      <c r="BU65" s="192" t="s">
        <v>491</v>
      </c>
      <c r="BV65" s="132"/>
      <c r="BW65" s="132"/>
      <c r="BX65" s="132"/>
      <c r="BY65" s="232"/>
      <c r="BZ65" s="192" t="s">
        <v>493</v>
      </c>
      <c r="CA65" s="192" t="s">
        <v>493</v>
      </c>
      <c r="CB65" s="192" t="s">
        <v>493</v>
      </c>
      <c r="CC65" s="192" t="s">
        <v>493</v>
      </c>
      <c r="CD65" s="192" t="s">
        <v>676</v>
      </c>
      <c r="CE65" s="192" t="s">
        <v>61</v>
      </c>
      <c r="CF65" s="192" t="s">
        <v>690</v>
      </c>
      <c r="CG65" s="192" t="s">
        <v>498</v>
      </c>
      <c r="CH65" s="192" t="s">
        <v>664</v>
      </c>
      <c r="CI65" s="192" t="s">
        <v>1145</v>
      </c>
      <c r="CJ65" s="192" t="s">
        <v>502</v>
      </c>
      <c r="CK65" s="192" t="s">
        <v>498</v>
      </c>
      <c r="CL65" s="132"/>
      <c r="CM65" s="132"/>
      <c r="CN65" s="132"/>
      <c r="CO65" s="132"/>
      <c r="CP65" s="192" t="s">
        <v>502</v>
      </c>
      <c r="CQ65" s="192" t="s">
        <v>502</v>
      </c>
      <c r="CR65" s="192" t="s">
        <v>493</v>
      </c>
      <c r="CS65" s="192" t="s">
        <v>488</v>
      </c>
      <c r="CT65" s="192" t="s">
        <v>493</v>
      </c>
      <c r="CU65" s="192" t="s">
        <v>493</v>
      </c>
      <c r="CV65" s="192" t="s">
        <v>63</v>
      </c>
      <c r="CW65" s="192" t="s">
        <v>64</v>
      </c>
      <c r="CX65" s="192" t="s">
        <v>1113</v>
      </c>
      <c r="CY65" s="192" t="s">
        <v>493</v>
      </c>
      <c r="CZ65" s="192" t="s">
        <v>37</v>
      </c>
      <c r="DA65" s="192" t="s">
        <v>690</v>
      </c>
      <c r="DB65" s="132"/>
      <c r="DC65" s="216" t="s">
        <v>884</v>
      </c>
      <c r="DD65" s="192" t="s">
        <v>795</v>
      </c>
      <c r="DE65" s="192" t="s">
        <v>795</v>
      </c>
      <c r="DF65" s="132"/>
      <c r="DG65" s="192" t="s">
        <v>488</v>
      </c>
      <c r="DH65" s="192" t="s">
        <v>488</v>
      </c>
      <c r="DI65" s="132"/>
      <c r="DJ65" s="132"/>
      <c r="DK65" s="132"/>
      <c r="DL65" s="132"/>
      <c r="DM65" s="192" t="s">
        <v>502</v>
      </c>
      <c r="DN65" s="192" t="s">
        <v>493</v>
      </c>
      <c r="DO65" s="134"/>
      <c r="DP65" s="134"/>
      <c r="DQ65" s="134"/>
      <c r="DR65" s="134"/>
      <c r="DS65" s="134"/>
      <c r="DT65" s="134"/>
      <c r="DU65" s="134"/>
      <c r="DV65" s="134"/>
      <c r="DW65" s="134"/>
      <c r="DX65" s="134"/>
      <c r="DY65" s="134"/>
      <c r="DZ65" s="134"/>
      <c r="EA65" s="134"/>
      <c r="EB65" s="134"/>
      <c r="EC65" s="134"/>
      <c r="ED65" s="134"/>
      <c r="EE65" s="134"/>
      <c r="EF65" s="134"/>
      <c r="EG65" s="134"/>
      <c r="EH65" s="134"/>
      <c r="EI65" s="134"/>
      <c r="EJ65" s="134"/>
      <c r="EK65" s="134"/>
      <c r="EL65" s="134"/>
      <c r="EM65" s="134"/>
      <c r="EN65" s="134"/>
      <c r="EO65" s="134"/>
      <c r="EP65" s="134"/>
      <c r="EQ65" s="134"/>
      <c r="ER65" s="134"/>
      <c r="ES65" s="134"/>
      <c r="ET65" s="134"/>
    </row>
    <row r="66" spans="1:150" ht="12.95" customHeight="1">
      <c r="A66" s="128" t="s">
        <v>1180</v>
      </c>
      <c r="B66" s="127" t="s">
        <v>368</v>
      </c>
      <c r="C66" s="127" t="s">
        <v>368</v>
      </c>
      <c r="D66" s="137" t="s">
        <v>368</v>
      </c>
      <c r="E66" s="137"/>
      <c r="F66" s="212"/>
      <c r="G66" s="212"/>
      <c r="H66" s="32"/>
      <c r="I66" s="32"/>
      <c r="J66" s="32"/>
      <c r="K66" s="32"/>
      <c r="L66" s="32"/>
      <c r="M66" s="32"/>
      <c r="N66" s="182" t="s">
        <v>52</v>
      </c>
      <c r="O66" s="177" t="s">
        <v>362</v>
      </c>
      <c r="P66" s="177" t="s">
        <v>366</v>
      </c>
      <c r="Q66" s="131"/>
      <c r="R66" s="131"/>
      <c r="S66" s="131"/>
      <c r="T66" s="177" t="s">
        <v>366</v>
      </c>
      <c r="U66" s="131"/>
      <c r="V66" s="131"/>
      <c r="W66" s="177" t="s">
        <v>488</v>
      </c>
      <c r="X66" s="177" t="s">
        <v>1085</v>
      </c>
      <c r="Y66" s="177" t="s">
        <v>1094</v>
      </c>
      <c r="Z66" s="177" t="s">
        <v>1086</v>
      </c>
      <c r="AA66" s="177" t="s">
        <v>489</v>
      </c>
      <c r="AB66" s="177" t="s">
        <v>489</v>
      </c>
      <c r="AC66" s="131"/>
      <c r="AD66" s="178" t="s">
        <v>489</v>
      </c>
      <c r="AE66" s="178" t="s">
        <v>507</v>
      </c>
      <c r="AF66" s="177" t="s">
        <v>488</v>
      </c>
      <c r="AG66" s="136" t="s">
        <v>491</v>
      </c>
      <c r="AH66" s="177">
        <v>29.2</v>
      </c>
      <c r="AI66" s="131">
        <v>0</v>
      </c>
      <c r="AJ66" s="178">
        <v>0</v>
      </c>
      <c r="AK66" s="177" t="s">
        <v>491</v>
      </c>
      <c r="AL66" s="177" t="s">
        <v>492</v>
      </c>
      <c r="AM66" s="177" t="s">
        <v>493</v>
      </c>
      <c r="AN66" s="131" t="s">
        <v>504</v>
      </c>
      <c r="AO66" s="131">
        <v>0</v>
      </c>
      <c r="AP66" s="131">
        <v>100</v>
      </c>
      <c r="AQ66" s="177" t="s">
        <v>492</v>
      </c>
      <c r="AR66" s="177" t="s">
        <v>492</v>
      </c>
      <c r="AS66" s="131">
        <v>0</v>
      </c>
      <c r="AT66" s="131">
        <v>50</v>
      </c>
      <c r="AU66" s="131">
        <v>50</v>
      </c>
      <c r="AV66" s="131" t="s">
        <v>504</v>
      </c>
      <c r="AW66" s="131">
        <v>220</v>
      </c>
      <c r="AX66" s="177">
        <v>220</v>
      </c>
      <c r="AY66" s="177">
        <v>2200</v>
      </c>
      <c r="AZ66" s="177">
        <v>220</v>
      </c>
      <c r="BA66" s="177">
        <v>2200</v>
      </c>
      <c r="BB66" s="177" t="s">
        <v>493</v>
      </c>
      <c r="BC66" s="177" t="s">
        <v>496</v>
      </c>
      <c r="BD66" s="131">
        <v>0</v>
      </c>
      <c r="BE66" s="131">
        <v>0</v>
      </c>
      <c r="BF66" s="131">
        <v>130</v>
      </c>
      <c r="BG66" s="177"/>
      <c r="BH66" s="177" t="s">
        <v>492</v>
      </c>
      <c r="BI66" s="177" t="s">
        <v>492</v>
      </c>
      <c r="BJ66" s="177" t="s">
        <v>492</v>
      </c>
      <c r="BK66" s="177" t="s">
        <v>492</v>
      </c>
      <c r="BL66" s="177" t="s">
        <v>492</v>
      </c>
      <c r="BM66" s="177" t="s">
        <v>492</v>
      </c>
      <c r="BN66" s="131" t="s">
        <v>492</v>
      </c>
      <c r="BO66" s="177" t="s">
        <v>493</v>
      </c>
      <c r="BP66" s="177" t="s">
        <v>493</v>
      </c>
      <c r="BQ66" s="131" t="s">
        <v>492</v>
      </c>
      <c r="BR66" s="177">
        <v>90</v>
      </c>
      <c r="BS66" s="177" t="s">
        <v>493</v>
      </c>
      <c r="BT66" s="177" t="s">
        <v>493</v>
      </c>
      <c r="BU66" s="131" t="s">
        <v>1181</v>
      </c>
      <c r="BV66" s="177" t="s">
        <v>497</v>
      </c>
      <c r="BW66" s="177" t="s">
        <v>490</v>
      </c>
      <c r="BX66" s="131"/>
      <c r="BY66" s="178">
        <v>29</v>
      </c>
      <c r="BZ66" s="177">
        <v>0</v>
      </c>
      <c r="CA66" s="131"/>
      <c r="CB66" s="131"/>
      <c r="CC66" s="131"/>
      <c r="CD66" s="131">
        <v>20</v>
      </c>
      <c r="CE66" s="131">
        <v>0.01</v>
      </c>
      <c r="CF66" s="131">
        <v>0</v>
      </c>
      <c r="CG66" s="131">
        <v>0</v>
      </c>
      <c r="CH66" s="177" t="s">
        <v>690</v>
      </c>
      <c r="CI66" s="177">
        <v>0.01</v>
      </c>
      <c r="CJ66" s="177" t="s">
        <v>493</v>
      </c>
      <c r="CK66" s="177" t="s">
        <v>493</v>
      </c>
      <c r="CL66" s="177" t="s">
        <v>1090</v>
      </c>
      <c r="CM66" s="177">
        <v>0.02</v>
      </c>
      <c r="CN66" s="177" t="s">
        <v>493</v>
      </c>
      <c r="CO66" s="177" t="s">
        <v>498</v>
      </c>
      <c r="CP66" s="177" t="s">
        <v>493</v>
      </c>
      <c r="CQ66" s="131">
        <v>220</v>
      </c>
      <c r="CR66" s="131">
        <v>2200</v>
      </c>
      <c r="CS66" s="177" t="s">
        <v>488</v>
      </c>
      <c r="CT66" s="131">
        <v>0</v>
      </c>
      <c r="CU66" s="177" t="s">
        <v>493</v>
      </c>
      <c r="CV66" s="131"/>
      <c r="CW66" s="131"/>
      <c r="CX66" s="131">
        <v>2</v>
      </c>
      <c r="CY66" s="177" t="s">
        <v>499</v>
      </c>
      <c r="CZ66" s="131">
        <v>5.2</v>
      </c>
      <c r="DA66" s="131">
        <v>10</v>
      </c>
      <c r="DB66" s="177">
        <v>5</v>
      </c>
      <c r="DC66" s="214">
        <v>5.0000000000000001E-3</v>
      </c>
      <c r="DD66" s="131">
        <v>0</v>
      </c>
      <c r="DE66" s="131">
        <v>1</v>
      </c>
      <c r="DF66" s="177" t="s">
        <v>493</v>
      </c>
      <c r="DG66" s="177" t="s">
        <v>488</v>
      </c>
      <c r="DH66" s="177" t="s">
        <v>493</v>
      </c>
      <c r="DI66" s="177" t="s">
        <v>491</v>
      </c>
      <c r="DJ66" s="177" t="s">
        <v>500</v>
      </c>
      <c r="DK66" s="177" t="s">
        <v>501</v>
      </c>
      <c r="DL66" s="177">
        <v>1</v>
      </c>
      <c r="DM66" s="177" t="s">
        <v>502</v>
      </c>
      <c r="DN66" s="177" t="s">
        <v>493</v>
      </c>
      <c r="DO66" s="131"/>
      <c r="DP66" s="131"/>
      <c r="DQ66" s="131"/>
      <c r="DR66" s="131"/>
      <c r="DS66" s="131"/>
      <c r="DT66" s="131"/>
      <c r="DU66" s="131"/>
      <c r="DV66" s="131"/>
      <c r="DW66" s="131"/>
      <c r="DX66" s="131"/>
      <c r="DY66" s="131"/>
      <c r="DZ66" s="131"/>
      <c r="EA66" s="131"/>
      <c r="EB66" s="131"/>
      <c r="EC66" s="131"/>
      <c r="ED66" s="131"/>
      <c r="EE66" s="131"/>
      <c r="EF66" s="131"/>
      <c r="EG66" s="131"/>
      <c r="EH66" s="131"/>
      <c r="EI66" s="131"/>
      <c r="EJ66" s="131"/>
      <c r="EK66" s="131"/>
      <c r="EL66" s="131"/>
      <c r="EM66" s="131"/>
      <c r="EN66" s="131"/>
      <c r="EO66" s="131"/>
      <c r="EP66" s="131"/>
      <c r="EQ66" s="131"/>
      <c r="ER66" s="132"/>
      <c r="ES66" s="132"/>
      <c r="ET66" s="132"/>
    </row>
    <row r="67" spans="1:150" s="136" customFormat="1" ht="12.95" customHeight="1">
      <c r="A67" s="128" t="s">
        <v>33</v>
      </c>
      <c r="B67" s="133" t="s">
        <v>368</v>
      </c>
      <c r="C67" s="133" t="s">
        <v>368</v>
      </c>
      <c r="D67" s="138" t="s">
        <v>368</v>
      </c>
      <c r="E67" s="138"/>
      <c r="F67" s="210"/>
      <c r="G67" s="210"/>
      <c r="N67" s="184" t="s">
        <v>57</v>
      </c>
      <c r="O67" s="136" t="s">
        <v>362</v>
      </c>
      <c r="P67" s="136" t="s">
        <v>366</v>
      </c>
      <c r="T67" s="136" t="s">
        <v>366</v>
      </c>
      <c r="V67" s="136">
        <v>55</v>
      </c>
      <c r="W67" s="135">
        <v>74</v>
      </c>
      <c r="X67" s="136" t="s">
        <v>1085</v>
      </c>
      <c r="Y67" s="135">
        <v>74</v>
      </c>
      <c r="Z67" s="135">
        <v>70</v>
      </c>
      <c r="AA67" s="135">
        <v>82</v>
      </c>
      <c r="AB67" s="135">
        <v>65</v>
      </c>
      <c r="AC67" s="136">
        <v>14.8</v>
      </c>
      <c r="AD67" s="179">
        <v>65</v>
      </c>
      <c r="AE67" s="179">
        <v>75</v>
      </c>
      <c r="AF67" s="135">
        <v>74</v>
      </c>
      <c r="AG67" s="136" t="s">
        <v>491</v>
      </c>
      <c r="AH67" s="135">
        <v>0</v>
      </c>
      <c r="AI67" s="136" t="s">
        <v>491</v>
      </c>
      <c r="AJ67" s="136" t="s">
        <v>1082</v>
      </c>
      <c r="AK67" s="136">
        <v>0</v>
      </c>
      <c r="AL67" s="136" t="s">
        <v>492</v>
      </c>
      <c r="AM67" s="135">
        <v>1</v>
      </c>
      <c r="AN67" s="136" t="s">
        <v>504</v>
      </c>
      <c r="AO67" s="136">
        <v>30</v>
      </c>
      <c r="AP67" s="136" t="s">
        <v>34</v>
      </c>
      <c r="AQ67" s="136" t="s">
        <v>492</v>
      </c>
      <c r="AR67" s="135">
        <v>0</v>
      </c>
      <c r="AS67" s="136" t="s">
        <v>492</v>
      </c>
      <c r="AU67" s="136" t="s">
        <v>34</v>
      </c>
      <c r="AV67" s="136" t="s">
        <v>504</v>
      </c>
      <c r="AW67" s="136" t="s">
        <v>1136</v>
      </c>
      <c r="AX67" s="135">
        <v>10</v>
      </c>
      <c r="AY67" s="135">
        <v>0</v>
      </c>
      <c r="AZ67" s="135">
        <v>10</v>
      </c>
      <c r="BA67" s="135">
        <v>0</v>
      </c>
      <c r="BB67" s="135">
        <v>10</v>
      </c>
      <c r="BC67" s="135">
        <v>0</v>
      </c>
      <c r="BD67" s="136">
        <v>0</v>
      </c>
      <c r="BE67" s="136">
        <v>0</v>
      </c>
      <c r="BF67" s="136">
        <v>0</v>
      </c>
      <c r="BG67" s="136">
        <v>0</v>
      </c>
      <c r="BH67" s="136" t="s">
        <v>492</v>
      </c>
      <c r="BI67" s="136" t="s">
        <v>492</v>
      </c>
      <c r="BJ67" s="136" t="s">
        <v>492</v>
      </c>
      <c r="BK67" s="136" t="s">
        <v>492</v>
      </c>
      <c r="BL67" s="136" t="s">
        <v>492</v>
      </c>
      <c r="BM67" s="136" t="s">
        <v>492</v>
      </c>
      <c r="BN67" s="136">
        <v>74</v>
      </c>
      <c r="BO67" s="135">
        <v>74</v>
      </c>
      <c r="BP67" s="135">
        <v>300</v>
      </c>
      <c r="BQ67" s="136" t="s">
        <v>35</v>
      </c>
      <c r="BR67" s="136" t="s">
        <v>491</v>
      </c>
      <c r="BS67" s="136" t="s">
        <v>492</v>
      </c>
      <c r="BT67" s="136" t="s">
        <v>1092</v>
      </c>
      <c r="BU67" s="136" t="s">
        <v>491</v>
      </c>
      <c r="BV67" s="135">
        <v>5</v>
      </c>
      <c r="BW67" s="135">
        <v>0.02</v>
      </c>
      <c r="BX67" s="136">
        <v>0</v>
      </c>
      <c r="BY67" s="179"/>
      <c r="BZ67" s="136">
        <v>0</v>
      </c>
      <c r="CA67" s="136">
        <v>0</v>
      </c>
      <c r="CB67" s="136">
        <v>0</v>
      </c>
      <c r="CC67" s="136">
        <v>0</v>
      </c>
      <c r="CD67" s="136">
        <v>1.6</v>
      </c>
      <c r="CE67" s="136">
        <v>0.05</v>
      </c>
      <c r="CF67" s="136">
        <v>10</v>
      </c>
      <c r="CG67" s="136" t="s">
        <v>492</v>
      </c>
      <c r="CH67" s="135">
        <v>0.4</v>
      </c>
      <c r="CI67" s="169">
        <v>1.4999999999999999E-2</v>
      </c>
      <c r="CJ67" s="135">
        <v>5</v>
      </c>
      <c r="CK67" s="135">
        <v>2.2999999999999998</v>
      </c>
      <c r="CL67" s="135">
        <v>5.0400000000000002E-3</v>
      </c>
      <c r="CM67" s="135">
        <v>76</v>
      </c>
      <c r="CN67" s="135"/>
      <c r="CO67" s="135"/>
      <c r="CP67" s="135"/>
      <c r="CR67" s="136" t="s">
        <v>492</v>
      </c>
      <c r="CS67" s="135">
        <v>74</v>
      </c>
      <c r="CT67" s="136">
        <v>0</v>
      </c>
      <c r="CU67" s="135">
        <v>0</v>
      </c>
      <c r="CV67" s="136">
        <v>70</v>
      </c>
      <c r="CW67" s="136">
        <v>55</v>
      </c>
      <c r="CX67" s="136">
        <v>70</v>
      </c>
      <c r="CY67" s="136">
        <v>40</v>
      </c>
      <c r="CZ67" s="136">
        <v>4.8</v>
      </c>
      <c r="DA67" s="136">
        <v>10</v>
      </c>
      <c r="DB67" s="136" t="s">
        <v>36</v>
      </c>
      <c r="DC67" s="210">
        <v>3</v>
      </c>
      <c r="DD67" s="136">
        <v>2</v>
      </c>
      <c r="DE67" s="136">
        <v>2</v>
      </c>
      <c r="DF67" s="136" t="s">
        <v>492</v>
      </c>
      <c r="DG67" s="135">
        <v>74</v>
      </c>
      <c r="DH67" s="135">
        <v>74</v>
      </c>
      <c r="DI67" s="136">
        <v>60</v>
      </c>
      <c r="DJ67" s="135">
        <v>110</v>
      </c>
      <c r="DK67" s="135">
        <v>52</v>
      </c>
      <c r="DL67" s="135">
        <v>50</v>
      </c>
      <c r="DM67" s="135">
        <v>5</v>
      </c>
      <c r="DN67" s="135">
        <v>0</v>
      </c>
    </row>
    <row r="68" spans="1:150" s="154" customFormat="1" ht="12.95" customHeight="1">
      <c r="A68" s="364" t="s">
        <v>1151</v>
      </c>
      <c r="B68" s="210" t="s">
        <v>367</v>
      </c>
      <c r="C68" s="210" t="s">
        <v>368</v>
      </c>
      <c r="D68" s="136" t="s">
        <v>368</v>
      </c>
      <c r="E68" s="138"/>
      <c r="F68" s="210"/>
      <c r="G68" s="210"/>
      <c r="H68" s="136"/>
      <c r="I68" s="136"/>
      <c r="J68" s="136"/>
      <c r="K68" s="136"/>
      <c r="L68" s="136"/>
      <c r="M68" s="136"/>
      <c r="N68" s="358" t="s">
        <v>56</v>
      </c>
      <c r="O68" s="135" t="s">
        <v>362</v>
      </c>
      <c r="P68" s="135" t="s">
        <v>366</v>
      </c>
      <c r="Q68" s="136"/>
      <c r="R68" s="136"/>
      <c r="S68" s="136"/>
      <c r="T68" s="135" t="s">
        <v>366</v>
      </c>
      <c r="U68" s="136"/>
      <c r="V68" s="135" t="s">
        <v>1144</v>
      </c>
      <c r="W68" s="135" t="s">
        <v>488</v>
      </c>
      <c r="X68" s="135" t="s">
        <v>1085</v>
      </c>
      <c r="Y68" s="135" t="s">
        <v>488</v>
      </c>
      <c r="Z68" s="135" t="s">
        <v>1086</v>
      </c>
      <c r="AA68" s="135" t="s">
        <v>503</v>
      </c>
      <c r="AB68" s="135" t="s">
        <v>489</v>
      </c>
      <c r="AC68" s="135" t="s">
        <v>492</v>
      </c>
      <c r="AD68" s="179">
        <v>65</v>
      </c>
      <c r="AE68" s="179">
        <v>75</v>
      </c>
      <c r="AF68" s="135" t="s">
        <v>488</v>
      </c>
      <c r="AG68" s="135" t="s">
        <v>491</v>
      </c>
      <c r="AH68" s="135" t="s">
        <v>795</v>
      </c>
      <c r="AI68" s="135" t="s">
        <v>493</v>
      </c>
      <c r="AJ68" s="135" t="s">
        <v>493</v>
      </c>
      <c r="AK68" s="135" t="s">
        <v>491</v>
      </c>
      <c r="AL68" s="135" t="s">
        <v>492</v>
      </c>
      <c r="AM68" s="135" t="s">
        <v>493</v>
      </c>
      <c r="AN68" s="135" t="s">
        <v>504</v>
      </c>
      <c r="AO68" s="135" t="s">
        <v>492</v>
      </c>
      <c r="AP68" s="135" t="s">
        <v>492</v>
      </c>
      <c r="AQ68" s="135" t="s">
        <v>492</v>
      </c>
      <c r="AR68" s="135" t="s">
        <v>493</v>
      </c>
      <c r="AS68" s="135" t="s">
        <v>1145</v>
      </c>
      <c r="AT68" s="135" t="s">
        <v>506</v>
      </c>
      <c r="AU68" s="135" t="s">
        <v>493</v>
      </c>
      <c r="AV68" s="135" t="s">
        <v>504</v>
      </c>
      <c r="AW68" s="135" t="s">
        <v>493</v>
      </c>
      <c r="AX68" s="135" t="s">
        <v>494</v>
      </c>
      <c r="AY68" s="135" t="s">
        <v>495</v>
      </c>
      <c r="AZ68" s="135" t="s">
        <v>494</v>
      </c>
      <c r="BA68" s="135" t="s">
        <v>495</v>
      </c>
      <c r="BB68" s="135" t="s">
        <v>493</v>
      </c>
      <c r="BC68" s="135" t="s">
        <v>1146</v>
      </c>
      <c r="BD68" s="135" t="s">
        <v>493</v>
      </c>
      <c r="BE68" s="135" t="s">
        <v>493</v>
      </c>
      <c r="BF68" s="135" t="s">
        <v>490</v>
      </c>
      <c r="BG68" s="135" t="s">
        <v>493</v>
      </c>
      <c r="BH68" s="135" t="s">
        <v>492</v>
      </c>
      <c r="BI68" s="135" t="s">
        <v>492</v>
      </c>
      <c r="BJ68" s="135" t="s">
        <v>492</v>
      </c>
      <c r="BK68" s="135" t="s">
        <v>492</v>
      </c>
      <c r="BL68" s="135" t="s">
        <v>492</v>
      </c>
      <c r="BM68" s="135" t="s">
        <v>492</v>
      </c>
      <c r="BN68" s="135" t="s">
        <v>492</v>
      </c>
      <c r="BO68" s="135" t="s">
        <v>493</v>
      </c>
      <c r="BP68" s="135" t="s">
        <v>493</v>
      </c>
      <c r="BQ68" s="135" t="s">
        <v>493</v>
      </c>
      <c r="BR68" s="135" t="s">
        <v>492</v>
      </c>
      <c r="BS68" s="135" t="s">
        <v>493</v>
      </c>
      <c r="BT68" s="135" t="s">
        <v>493</v>
      </c>
      <c r="BU68" s="135" t="s">
        <v>1147</v>
      </c>
      <c r="BV68" s="135" t="s">
        <v>493</v>
      </c>
      <c r="BW68" s="135" t="s">
        <v>990</v>
      </c>
      <c r="BX68" s="135" t="s">
        <v>1148</v>
      </c>
      <c r="BY68" s="179" t="s">
        <v>990</v>
      </c>
      <c r="BZ68" s="135" t="s">
        <v>493</v>
      </c>
      <c r="CA68" s="135" t="s">
        <v>496</v>
      </c>
      <c r="CB68" s="135" t="s">
        <v>493</v>
      </c>
      <c r="CC68" s="135" t="s">
        <v>493</v>
      </c>
      <c r="CD68" s="135" t="s">
        <v>505</v>
      </c>
      <c r="CE68" s="135" t="s">
        <v>488</v>
      </c>
      <c r="CF68" s="135" t="s">
        <v>498</v>
      </c>
      <c r="CG68" s="135" t="s">
        <v>493</v>
      </c>
      <c r="CH68" s="135" t="s">
        <v>690</v>
      </c>
      <c r="CI68" s="135" t="s">
        <v>492</v>
      </c>
      <c r="CJ68" s="135" t="s">
        <v>1149</v>
      </c>
      <c r="CK68" s="135" t="s">
        <v>493</v>
      </c>
      <c r="CL68" s="135" t="s">
        <v>1145</v>
      </c>
      <c r="CM68" s="135" t="s">
        <v>506</v>
      </c>
      <c r="CN68" s="135" t="s">
        <v>493</v>
      </c>
      <c r="CO68" s="135" t="s">
        <v>493</v>
      </c>
      <c r="CP68" s="135" t="s">
        <v>493</v>
      </c>
      <c r="CQ68" s="135" t="s">
        <v>493</v>
      </c>
      <c r="CR68" s="135" t="s">
        <v>1115</v>
      </c>
      <c r="CS68" s="135" t="s">
        <v>488</v>
      </c>
      <c r="CT68" s="135" t="s">
        <v>493</v>
      </c>
      <c r="CU68" s="135" t="s">
        <v>493</v>
      </c>
      <c r="CV68" s="135" t="s">
        <v>493</v>
      </c>
      <c r="CW68" s="135" t="s">
        <v>1142</v>
      </c>
      <c r="CX68" s="135" t="s">
        <v>1149</v>
      </c>
      <c r="CY68" s="135" t="s">
        <v>499</v>
      </c>
      <c r="CZ68" s="135" t="s">
        <v>493</v>
      </c>
      <c r="DA68" s="135" t="s">
        <v>1118</v>
      </c>
      <c r="DB68" s="135" t="s">
        <v>1103</v>
      </c>
      <c r="DC68" s="217" t="s">
        <v>990</v>
      </c>
      <c r="DD68" s="135" t="s">
        <v>493</v>
      </c>
      <c r="DE68" s="135" t="s">
        <v>496</v>
      </c>
      <c r="DF68" s="135" t="s">
        <v>884</v>
      </c>
      <c r="DG68" s="135" t="s">
        <v>488</v>
      </c>
      <c r="DH68" s="135" t="s">
        <v>493</v>
      </c>
      <c r="DI68" s="135" t="s">
        <v>491</v>
      </c>
      <c r="DJ68" s="135" t="s">
        <v>500</v>
      </c>
      <c r="DK68" s="135" t="s">
        <v>501</v>
      </c>
      <c r="DL68" s="135" t="s">
        <v>496</v>
      </c>
      <c r="DM68" s="135" t="s">
        <v>502</v>
      </c>
      <c r="DN68" s="135" t="s">
        <v>493</v>
      </c>
      <c r="DO68" s="136"/>
      <c r="DP68" s="135" t="s">
        <v>497</v>
      </c>
      <c r="DQ68" s="135" t="s">
        <v>490</v>
      </c>
      <c r="DR68" s="135" t="s">
        <v>690</v>
      </c>
      <c r="DS68" s="135" t="s">
        <v>491</v>
      </c>
      <c r="DT68" s="135" t="s">
        <v>493</v>
      </c>
      <c r="DU68" s="135" t="s">
        <v>690</v>
      </c>
      <c r="DV68" s="135" t="s">
        <v>493</v>
      </c>
      <c r="DW68" s="135" t="s">
        <v>690</v>
      </c>
      <c r="DX68" s="135" t="s">
        <v>490</v>
      </c>
      <c r="DY68" s="135" t="s">
        <v>490</v>
      </c>
      <c r="DZ68" s="135" t="s">
        <v>1093</v>
      </c>
      <c r="EA68" s="135" t="s">
        <v>1143</v>
      </c>
      <c r="EB68" s="135" t="s">
        <v>1143</v>
      </c>
      <c r="EC68" s="135" t="s">
        <v>989</v>
      </c>
      <c r="ED68" s="135" t="s">
        <v>1101</v>
      </c>
      <c r="EE68" s="136"/>
      <c r="EF68" s="136"/>
      <c r="EG68" s="135" t="s">
        <v>1115</v>
      </c>
      <c r="EH68" s="135" t="s">
        <v>989</v>
      </c>
      <c r="EI68" s="135" t="s">
        <v>989</v>
      </c>
      <c r="EJ68" s="135" t="s">
        <v>1149</v>
      </c>
      <c r="EK68" s="135" t="s">
        <v>493</v>
      </c>
      <c r="EL68" s="135">
        <v>53</v>
      </c>
      <c r="EM68" s="135" t="s">
        <v>493</v>
      </c>
      <c r="EN68" s="135" t="s">
        <v>1115</v>
      </c>
      <c r="EO68" s="135" t="s">
        <v>990</v>
      </c>
      <c r="EP68" s="135" t="s">
        <v>1150</v>
      </c>
      <c r="EQ68" s="136"/>
      <c r="ER68" s="134"/>
      <c r="ES68" s="134"/>
      <c r="ET68" s="134"/>
    </row>
    <row r="69" spans="1:150" s="154" customFormat="1" ht="12.95" customHeight="1">
      <c r="A69" s="364" t="s">
        <v>1151</v>
      </c>
      <c r="B69" s="210" t="s">
        <v>368</v>
      </c>
      <c r="C69" s="210" t="s">
        <v>368</v>
      </c>
      <c r="D69" s="136" t="s">
        <v>368</v>
      </c>
      <c r="E69" s="138"/>
      <c r="F69" s="210"/>
      <c r="G69" s="210"/>
      <c r="H69" s="136"/>
      <c r="I69" s="136"/>
      <c r="J69" s="136"/>
      <c r="K69" s="136"/>
      <c r="L69" s="136"/>
      <c r="M69" s="136"/>
      <c r="N69" s="136"/>
      <c r="O69" s="135" t="s">
        <v>362</v>
      </c>
      <c r="P69" s="135" t="s">
        <v>366</v>
      </c>
      <c r="Q69" s="136"/>
      <c r="R69" s="136"/>
      <c r="S69" s="136"/>
      <c r="T69" s="135" t="s">
        <v>366</v>
      </c>
      <c r="U69" s="136"/>
      <c r="V69" s="135" t="s">
        <v>1144</v>
      </c>
      <c r="W69" s="135" t="s">
        <v>488</v>
      </c>
      <c r="X69" s="135" t="s">
        <v>1085</v>
      </c>
      <c r="Y69" s="135" t="s">
        <v>488</v>
      </c>
      <c r="Z69" s="135" t="s">
        <v>1086</v>
      </c>
      <c r="AA69" s="135" t="s">
        <v>503</v>
      </c>
      <c r="AB69" s="135" t="s">
        <v>489</v>
      </c>
      <c r="AC69" s="135" t="s">
        <v>492</v>
      </c>
      <c r="AD69" s="179">
        <v>65</v>
      </c>
      <c r="AE69" s="179">
        <v>75</v>
      </c>
      <c r="AF69" s="135" t="s">
        <v>488</v>
      </c>
      <c r="AG69" s="135" t="s">
        <v>491</v>
      </c>
      <c r="AH69" s="135" t="s">
        <v>795</v>
      </c>
      <c r="AI69" s="135" t="s">
        <v>493</v>
      </c>
      <c r="AJ69" s="135" t="s">
        <v>493</v>
      </c>
      <c r="AK69" s="135" t="s">
        <v>491</v>
      </c>
      <c r="AL69" s="135" t="s">
        <v>492</v>
      </c>
      <c r="AM69" s="135" t="s">
        <v>493</v>
      </c>
      <c r="AN69" s="135" t="s">
        <v>504</v>
      </c>
      <c r="AO69" s="135" t="s">
        <v>492</v>
      </c>
      <c r="AP69" s="135" t="s">
        <v>492</v>
      </c>
      <c r="AQ69" s="135" t="s">
        <v>492</v>
      </c>
      <c r="AR69" s="135" t="s">
        <v>493</v>
      </c>
      <c r="AS69" s="135" t="s">
        <v>1145</v>
      </c>
      <c r="AT69" s="135" t="s">
        <v>506</v>
      </c>
      <c r="AU69" s="135" t="s">
        <v>493</v>
      </c>
      <c r="AV69" s="135" t="s">
        <v>504</v>
      </c>
      <c r="AW69" s="135" t="s">
        <v>493</v>
      </c>
      <c r="AX69" s="135" t="s">
        <v>494</v>
      </c>
      <c r="AY69" s="135" t="s">
        <v>495</v>
      </c>
      <c r="AZ69" s="135" t="s">
        <v>494</v>
      </c>
      <c r="BA69" s="135" t="s">
        <v>495</v>
      </c>
      <c r="BB69" s="135" t="s">
        <v>493</v>
      </c>
      <c r="BC69" s="135" t="s">
        <v>1146</v>
      </c>
      <c r="BD69" s="135" t="s">
        <v>493</v>
      </c>
      <c r="BE69" s="135" t="s">
        <v>493</v>
      </c>
      <c r="BF69" s="135" t="s">
        <v>490</v>
      </c>
      <c r="BG69" s="135" t="s">
        <v>493</v>
      </c>
      <c r="BH69" s="135" t="s">
        <v>492</v>
      </c>
      <c r="BI69" s="135" t="s">
        <v>492</v>
      </c>
      <c r="BJ69" s="135" t="s">
        <v>492</v>
      </c>
      <c r="BK69" s="135" t="s">
        <v>492</v>
      </c>
      <c r="BL69" s="135" t="s">
        <v>492</v>
      </c>
      <c r="BM69" s="135" t="s">
        <v>492</v>
      </c>
      <c r="BN69" s="135" t="s">
        <v>492</v>
      </c>
      <c r="BO69" s="135" t="s">
        <v>493</v>
      </c>
      <c r="BP69" s="135" t="s">
        <v>493</v>
      </c>
      <c r="BQ69" s="135" t="s">
        <v>493</v>
      </c>
      <c r="BR69" s="135" t="s">
        <v>492</v>
      </c>
      <c r="BS69" s="135" t="s">
        <v>493</v>
      </c>
      <c r="BT69" s="135" t="s">
        <v>493</v>
      </c>
      <c r="BU69" s="135" t="s">
        <v>1147</v>
      </c>
      <c r="BV69" s="135" t="s">
        <v>493</v>
      </c>
      <c r="BW69" s="135" t="s">
        <v>990</v>
      </c>
      <c r="BX69" s="135" t="s">
        <v>1148</v>
      </c>
      <c r="BY69" s="179" t="s">
        <v>990</v>
      </c>
      <c r="BZ69" s="135" t="s">
        <v>493</v>
      </c>
      <c r="CA69" s="135" t="s">
        <v>496</v>
      </c>
      <c r="CB69" s="135" t="s">
        <v>493</v>
      </c>
      <c r="CC69" s="135" t="s">
        <v>493</v>
      </c>
      <c r="CD69" s="135" t="s">
        <v>505</v>
      </c>
      <c r="CE69" s="135" t="s">
        <v>488</v>
      </c>
      <c r="CF69" s="135" t="s">
        <v>498</v>
      </c>
      <c r="CG69" s="135" t="s">
        <v>493</v>
      </c>
      <c r="CH69" s="135" t="s">
        <v>690</v>
      </c>
      <c r="CI69" s="135" t="s">
        <v>492</v>
      </c>
      <c r="CJ69" s="135" t="s">
        <v>1149</v>
      </c>
      <c r="CK69" s="135" t="s">
        <v>493</v>
      </c>
      <c r="CL69" s="135" t="s">
        <v>1145</v>
      </c>
      <c r="CM69" s="135" t="s">
        <v>506</v>
      </c>
      <c r="CN69" s="135" t="s">
        <v>493</v>
      </c>
      <c r="CO69" s="135" t="s">
        <v>493</v>
      </c>
      <c r="CP69" s="135" t="s">
        <v>493</v>
      </c>
      <c r="CQ69" s="135" t="s">
        <v>493</v>
      </c>
      <c r="CR69" s="135" t="s">
        <v>1115</v>
      </c>
      <c r="CS69" s="135" t="s">
        <v>488</v>
      </c>
      <c r="CT69" s="135" t="s">
        <v>493</v>
      </c>
      <c r="CU69" s="135" t="s">
        <v>493</v>
      </c>
      <c r="CV69" s="135" t="s">
        <v>493</v>
      </c>
      <c r="CW69" s="135" t="s">
        <v>1142</v>
      </c>
      <c r="CX69" s="135" t="s">
        <v>1149</v>
      </c>
      <c r="CY69" s="135" t="s">
        <v>499</v>
      </c>
      <c r="CZ69" s="135" t="s">
        <v>493</v>
      </c>
      <c r="DA69" s="135" t="s">
        <v>1118</v>
      </c>
      <c r="DB69" s="135" t="s">
        <v>1103</v>
      </c>
      <c r="DC69" s="217" t="s">
        <v>990</v>
      </c>
      <c r="DD69" s="135" t="s">
        <v>493</v>
      </c>
      <c r="DE69" s="135" t="s">
        <v>496</v>
      </c>
      <c r="DF69" s="135" t="s">
        <v>884</v>
      </c>
      <c r="DG69" s="135" t="s">
        <v>488</v>
      </c>
      <c r="DH69" s="135" t="s">
        <v>493</v>
      </c>
      <c r="DI69" s="135" t="s">
        <v>491</v>
      </c>
      <c r="DJ69" s="135" t="s">
        <v>500</v>
      </c>
      <c r="DK69" s="135" t="s">
        <v>501</v>
      </c>
      <c r="DL69" s="135" t="s">
        <v>496</v>
      </c>
      <c r="DM69" s="135" t="s">
        <v>502</v>
      </c>
      <c r="DN69" s="135" t="s">
        <v>493</v>
      </c>
      <c r="DO69" s="136"/>
      <c r="DP69" s="135" t="s">
        <v>497</v>
      </c>
      <c r="DQ69" s="135" t="s">
        <v>490</v>
      </c>
      <c r="DR69" s="135" t="s">
        <v>690</v>
      </c>
      <c r="DS69" s="135" t="s">
        <v>491</v>
      </c>
      <c r="DT69" s="135" t="s">
        <v>493</v>
      </c>
      <c r="DU69" s="135" t="s">
        <v>690</v>
      </c>
      <c r="DV69" s="135" t="s">
        <v>493</v>
      </c>
      <c r="DW69" s="135" t="s">
        <v>690</v>
      </c>
      <c r="DX69" s="135" t="s">
        <v>490</v>
      </c>
      <c r="DY69" s="135" t="s">
        <v>490</v>
      </c>
      <c r="DZ69" s="135" t="s">
        <v>1093</v>
      </c>
      <c r="EA69" s="135" t="s">
        <v>1143</v>
      </c>
      <c r="EB69" s="135" t="s">
        <v>1143</v>
      </c>
      <c r="EC69" s="135" t="s">
        <v>989</v>
      </c>
      <c r="ED69" s="135" t="s">
        <v>1101</v>
      </c>
      <c r="EE69" s="136"/>
      <c r="EF69" s="136"/>
      <c r="EG69" s="135" t="s">
        <v>1115</v>
      </c>
      <c r="EH69" s="135" t="s">
        <v>989</v>
      </c>
      <c r="EI69" s="135" t="s">
        <v>989</v>
      </c>
      <c r="EJ69" s="135" t="s">
        <v>1149</v>
      </c>
      <c r="EK69" s="135" t="s">
        <v>493</v>
      </c>
      <c r="EL69" s="135" t="s">
        <v>493</v>
      </c>
      <c r="EM69" s="135" t="s">
        <v>493</v>
      </c>
      <c r="EN69" s="135" t="s">
        <v>1115</v>
      </c>
      <c r="EO69" s="135" t="s">
        <v>990</v>
      </c>
      <c r="EP69" s="135" t="s">
        <v>1150</v>
      </c>
      <c r="EQ69" s="136"/>
      <c r="ER69" s="134"/>
      <c r="ES69" s="134"/>
      <c r="ET69" s="134"/>
    </row>
    <row r="70" spans="1:150" s="136" customFormat="1" ht="12.95" customHeight="1">
      <c r="A70" s="128" t="s">
        <v>344</v>
      </c>
      <c r="B70" s="133" t="s">
        <v>368</v>
      </c>
      <c r="C70" s="133" t="s">
        <v>368</v>
      </c>
      <c r="D70" s="138" t="s">
        <v>368</v>
      </c>
      <c r="E70" s="138"/>
      <c r="F70" s="210"/>
      <c r="G70" s="210"/>
      <c r="N70" s="184" t="s">
        <v>53</v>
      </c>
      <c r="O70" s="136" t="s">
        <v>362</v>
      </c>
      <c r="P70" s="136" t="s">
        <v>366</v>
      </c>
      <c r="T70" s="136" t="s">
        <v>366</v>
      </c>
      <c r="V70" s="136">
        <v>0</v>
      </c>
      <c r="W70" s="135">
        <v>74</v>
      </c>
      <c r="X70" s="136" t="s">
        <v>1085</v>
      </c>
      <c r="Y70" s="135">
        <v>74</v>
      </c>
      <c r="Z70" s="135">
        <v>70</v>
      </c>
      <c r="AA70" s="135">
        <v>82</v>
      </c>
      <c r="AB70" s="135">
        <v>65</v>
      </c>
      <c r="AC70" s="136">
        <v>0</v>
      </c>
      <c r="AD70" s="179">
        <v>68</v>
      </c>
      <c r="AE70" s="179">
        <v>76</v>
      </c>
      <c r="AF70" s="135">
        <v>74</v>
      </c>
      <c r="AG70" s="136" t="s">
        <v>1092</v>
      </c>
      <c r="AH70" s="135">
        <v>0</v>
      </c>
      <c r="AI70" s="136">
        <v>0</v>
      </c>
      <c r="AJ70" s="135">
        <v>0</v>
      </c>
      <c r="AK70" s="136" t="s">
        <v>491</v>
      </c>
      <c r="AL70" s="136" t="s">
        <v>492</v>
      </c>
      <c r="AM70" s="135">
        <v>0</v>
      </c>
      <c r="AN70" s="136" t="s">
        <v>504</v>
      </c>
      <c r="AP70" s="136" t="s">
        <v>492</v>
      </c>
      <c r="AQ70" s="136" t="s">
        <v>492</v>
      </c>
      <c r="AR70" s="135">
        <v>74</v>
      </c>
      <c r="AT70" s="136">
        <v>0.01</v>
      </c>
      <c r="AU70" s="136">
        <v>0</v>
      </c>
      <c r="AV70" s="136" t="s">
        <v>504</v>
      </c>
      <c r="AX70" s="135">
        <v>220</v>
      </c>
      <c r="AY70" s="135">
        <v>2200</v>
      </c>
      <c r="AZ70" s="135">
        <v>220</v>
      </c>
      <c r="BA70" s="135">
        <v>2200</v>
      </c>
      <c r="BB70" s="135">
        <v>0</v>
      </c>
      <c r="BC70" s="135">
        <v>0.68</v>
      </c>
      <c r="BD70" s="136">
        <v>0</v>
      </c>
      <c r="BE70" s="136">
        <v>0</v>
      </c>
      <c r="BG70" s="136">
        <v>0</v>
      </c>
      <c r="BH70" s="136" t="s">
        <v>492</v>
      </c>
      <c r="BI70" s="136" t="s">
        <v>492</v>
      </c>
      <c r="BJ70" s="136" t="s">
        <v>492</v>
      </c>
      <c r="BK70" s="136" t="s">
        <v>492</v>
      </c>
      <c r="BL70" s="136" t="s">
        <v>492</v>
      </c>
      <c r="BM70" s="136" t="s">
        <v>492</v>
      </c>
      <c r="BO70" s="135">
        <v>0</v>
      </c>
      <c r="BP70" s="135">
        <v>0</v>
      </c>
      <c r="BQ70" s="136">
        <v>0</v>
      </c>
      <c r="BR70" s="136" t="s">
        <v>492</v>
      </c>
      <c r="BS70" s="136" t="s">
        <v>492</v>
      </c>
      <c r="BT70" s="135">
        <v>0</v>
      </c>
      <c r="BU70" s="136">
        <v>2000</v>
      </c>
      <c r="BV70" s="135">
        <v>0</v>
      </c>
      <c r="BW70" s="135"/>
      <c r="BY70" s="179">
        <v>100</v>
      </c>
      <c r="BZ70" s="136" t="s">
        <v>492</v>
      </c>
      <c r="CA70" s="136" t="s">
        <v>492</v>
      </c>
      <c r="CB70" s="136" t="s">
        <v>492</v>
      </c>
      <c r="CC70" s="136">
        <v>90</v>
      </c>
      <c r="CD70" s="136">
        <v>20</v>
      </c>
      <c r="CE70" s="136">
        <v>74</v>
      </c>
      <c r="CF70" s="136">
        <v>50</v>
      </c>
      <c r="CG70" s="136">
        <v>0</v>
      </c>
      <c r="CH70" s="135">
        <v>10</v>
      </c>
      <c r="CI70" s="136" t="s">
        <v>492</v>
      </c>
      <c r="CJ70" s="135">
        <v>60</v>
      </c>
      <c r="CK70" s="135">
        <v>0</v>
      </c>
      <c r="CL70" s="135">
        <v>1.4999999999999999E-2</v>
      </c>
      <c r="CM70" s="135">
        <v>0.01</v>
      </c>
      <c r="CN70" s="135">
        <v>0</v>
      </c>
      <c r="CO70" s="135">
        <v>0</v>
      </c>
      <c r="CP70" s="135">
        <v>0</v>
      </c>
      <c r="CR70" s="136">
        <v>30</v>
      </c>
      <c r="CS70" s="135">
        <v>74</v>
      </c>
      <c r="CT70" s="136">
        <v>0</v>
      </c>
      <c r="CU70" s="135">
        <v>0</v>
      </c>
      <c r="CV70" s="136">
        <v>0</v>
      </c>
      <c r="CW70" s="136">
        <v>10</v>
      </c>
      <c r="CX70" s="136">
        <v>60</v>
      </c>
      <c r="CY70" s="136" t="s">
        <v>499</v>
      </c>
      <c r="CZ70" s="136">
        <v>0</v>
      </c>
      <c r="DA70" s="136">
        <v>10</v>
      </c>
      <c r="DB70" s="136" t="s">
        <v>491</v>
      </c>
      <c r="DC70" s="210">
        <v>0</v>
      </c>
      <c r="DD70" s="136">
        <v>10</v>
      </c>
      <c r="DE70" s="136">
        <v>1</v>
      </c>
      <c r="DF70" s="135">
        <v>1</v>
      </c>
      <c r="DG70" s="135">
        <v>74</v>
      </c>
      <c r="DH70" s="135">
        <v>0</v>
      </c>
      <c r="DI70" s="136" t="s">
        <v>491</v>
      </c>
      <c r="DJ70" s="135">
        <v>4</v>
      </c>
      <c r="DK70" s="135">
        <v>12</v>
      </c>
      <c r="DL70" s="135">
        <v>1</v>
      </c>
      <c r="DM70" s="135">
        <v>5</v>
      </c>
      <c r="DN70" s="135">
        <v>0</v>
      </c>
      <c r="DX70" s="136">
        <v>90</v>
      </c>
      <c r="DY70" s="136">
        <v>90</v>
      </c>
      <c r="DZ70" s="136">
        <v>5.2</v>
      </c>
      <c r="EA70" s="136">
        <v>95</v>
      </c>
      <c r="EB70" s="136">
        <v>130</v>
      </c>
      <c r="ED70" s="136">
        <v>1</v>
      </c>
      <c r="EL70" s="136">
        <v>1</v>
      </c>
      <c r="EM70" s="136">
        <v>0</v>
      </c>
      <c r="EN70" s="136">
        <v>30</v>
      </c>
    </row>
    <row r="71" spans="1:150" s="136" customFormat="1" ht="12.95" customHeight="1">
      <c r="A71" s="128" t="s">
        <v>344</v>
      </c>
      <c r="B71" s="133" t="s">
        <v>367</v>
      </c>
      <c r="C71" s="133" t="s">
        <v>368</v>
      </c>
      <c r="D71" s="138" t="s">
        <v>368</v>
      </c>
      <c r="E71" s="138"/>
      <c r="F71" s="210"/>
      <c r="G71" s="210"/>
      <c r="O71" s="136" t="s">
        <v>362</v>
      </c>
      <c r="P71" s="136" t="s">
        <v>366</v>
      </c>
      <c r="T71" s="136" t="s">
        <v>366</v>
      </c>
      <c r="V71" s="136">
        <v>0</v>
      </c>
      <c r="W71" s="135">
        <v>74</v>
      </c>
      <c r="X71" s="136" t="s">
        <v>1085</v>
      </c>
      <c r="Y71" s="135">
        <v>74</v>
      </c>
      <c r="Z71" s="135">
        <v>70</v>
      </c>
      <c r="AA71" s="135">
        <v>82</v>
      </c>
      <c r="AB71" s="135">
        <v>65</v>
      </c>
      <c r="AC71" s="136">
        <v>0</v>
      </c>
      <c r="AD71" s="179">
        <v>68</v>
      </c>
      <c r="AE71" s="179">
        <v>76</v>
      </c>
      <c r="AF71" s="135">
        <v>74</v>
      </c>
      <c r="AG71" s="136" t="s">
        <v>1092</v>
      </c>
      <c r="AH71" s="135">
        <v>0</v>
      </c>
      <c r="AI71" s="136">
        <v>0</v>
      </c>
      <c r="AJ71" s="135">
        <v>0</v>
      </c>
      <c r="AK71" s="136" t="s">
        <v>491</v>
      </c>
      <c r="AL71" s="136" t="s">
        <v>492</v>
      </c>
      <c r="AM71" s="135">
        <v>0</v>
      </c>
      <c r="AN71" s="136" t="s">
        <v>504</v>
      </c>
      <c r="AP71" s="136" t="s">
        <v>492</v>
      </c>
      <c r="AQ71" s="136" t="s">
        <v>492</v>
      </c>
      <c r="AR71" s="135">
        <v>74</v>
      </c>
      <c r="AT71" s="136">
        <v>0.01</v>
      </c>
      <c r="AU71" s="136">
        <v>0</v>
      </c>
      <c r="AV71" s="136" t="s">
        <v>504</v>
      </c>
      <c r="AX71" s="135">
        <v>220</v>
      </c>
      <c r="AY71" s="135">
        <v>2200</v>
      </c>
      <c r="AZ71" s="135">
        <v>220</v>
      </c>
      <c r="BA71" s="135">
        <v>2200</v>
      </c>
      <c r="BB71" s="135">
        <v>0</v>
      </c>
      <c r="BC71" s="135">
        <v>0.68</v>
      </c>
      <c r="BD71" s="136">
        <v>0</v>
      </c>
      <c r="BE71" s="136">
        <v>0</v>
      </c>
      <c r="BG71" s="136">
        <v>0</v>
      </c>
      <c r="BH71" s="136" t="s">
        <v>492</v>
      </c>
      <c r="BI71" s="136" t="s">
        <v>492</v>
      </c>
      <c r="BJ71" s="136" t="s">
        <v>492</v>
      </c>
      <c r="BK71" s="136" t="s">
        <v>492</v>
      </c>
      <c r="BL71" s="136" t="s">
        <v>492</v>
      </c>
      <c r="BM71" s="136" t="s">
        <v>492</v>
      </c>
      <c r="BO71" s="135">
        <v>0</v>
      </c>
      <c r="BP71" s="135">
        <v>0</v>
      </c>
      <c r="BQ71" s="136">
        <v>0</v>
      </c>
      <c r="BR71" s="136" t="s">
        <v>492</v>
      </c>
      <c r="BS71" s="136" t="s">
        <v>492</v>
      </c>
      <c r="BT71" s="135">
        <v>0</v>
      </c>
      <c r="BU71" s="136">
        <v>2000</v>
      </c>
      <c r="BV71" s="135">
        <v>0</v>
      </c>
      <c r="BW71" s="135"/>
      <c r="BY71" s="179">
        <v>100</v>
      </c>
      <c r="BZ71" s="136" t="s">
        <v>492</v>
      </c>
      <c r="CA71" s="136" t="s">
        <v>492</v>
      </c>
      <c r="CB71" s="136" t="s">
        <v>492</v>
      </c>
      <c r="CC71" s="136">
        <v>90</v>
      </c>
      <c r="CD71" s="136">
        <v>20</v>
      </c>
      <c r="CE71" s="136">
        <v>74</v>
      </c>
      <c r="CF71" s="136">
        <v>50</v>
      </c>
      <c r="CG71" s="136">
        <v>0</v>
      </c>
      <c r="CH71" s="135">
        <v>10</v>
      </c>
      <c r="CI71" s="136" t="s">
        <v>492</v>
      </c>
      <c r="CJ71" s="135">
        <v>60</v>
      </c>
      <c r="CK71" s="135">
        <v>0</v>
      </c>
      <c r="CL71" s="135">
        <v>1.4999999999999999E-2</v>
      </c>
      <c r="CM71" s="135">
        <v>0.01</v>
      </c>
      <c r="CN71" s="135">
        <v>0</v>
      </c>
      <c r="CO71" s="135">
        <v>0</v>
      </c>
      <c r="CP71" s="135">
        <v>0</v>
      </c>
      <c r="CR71" s="136">
        <v>30</v>
      </c>
      <c r="CS71" s="135">
        <v>74</v>
      </c>
      <c r="CT71" s="136">
        <v>0</v>
      </c>
      <c r="CU71" s="135">
        <v>0</v>
      </c>
      <c r="CV71" s="136">
        <v>0</v>
      </c>
      <c r="CW71" s="136">
        <v>10</v>
      </c>
      <c r="CX71" s="136">
        <v>60</v>
      </c>
      <c r="CY71" s="136" t="s">
        <v>499</v>
      </c>
      <c r="CZ71" s="136">
        <v>0</v>
      </c>
      <c r="DA71" s="136">
        <v>10</v>
      </c>
      <c r="DB71" s="136" t="s">
        <v>1092</v>
      </c>
      <c r="DC71" s="210">
        <v>0</v>
      </c>
      <c r="DD71" s="136">
        <v>10</v>
      </c>
      <c r="DE71" s="136">
        <v>1</v>
      </c>
      <c r="DF71" s="135">
        <v>1</v>
      </c>
      <c r="DG71" s="135">
        <v>74</v>
      </c>
      <c r="DH71" s="135">
        <v>0</v>
      </c>
      <c r="DI71" s="136" t="s">
        <v>491</v>
      </c>
      <c r="DJ71" s="135">
        <v>4</v>
      </c>
      <c r="DK71" s="135">
        <v>12</v>
      </c>
      <c r="DL71" s="135">
        <v>1</v>
      </c>
      <c r="DM71" s="135">
        <v>5</v>
      </c>
      <c r="DN71" s="135">
        <v>0</v>
      </c>
      <c r="DX71" s="136">
        <v>90</v>
      </c>
      <c r="DY71" s="136">
        <v>90</v>
      </c>
      <c r="DZ71" s="136">
        <v>5.2</v>
      </c>
      <c r="EA71" s="136">
        <v>95</v>
      </c>
      <c r="EB71" s="136">
        <v>130</v>
      </c>
      <c r="ED71" s="136">
        <v>1</v>
      </c>
      <c r="EL71" s="136">
        <v>1</v>
      </c>
      <c r="EM71" s="136">
        <v>0</v>
      </c>
      <c r="EN71" s="136">
        <v>30</v>
      </c>
    </row>
    <row r="72" spans="1:150" s="136" customFormat="1" ht="12.95" customHeight="1">
      <c r="A72" s="128" t="s">
        <v>343</v>
      </c>
      <c r="B72" s="133" t="s">
        <v>368</v>
      </c>
      <c r="C72" s="133" t="s">
        <v>368</v>
      </c>
      <c r="D72" s="138" t="s">
        <v>368</v>
      </c>
      <c r="E72" s="138"/>
      <c r="F72" s="210"/>
      <c r="G72" s="210"/>
      <c r="N72" s="183" t="s">
        <v>47</v>
      </c>
      <c r="O72" s="136" t="s">
        <v>362</v>
      </c>
      <c r="P72" s="136" t="s">
        <v>366</v>
      </c>
      <c r="T72" s="136" t="s">
        <v>366</v>
      </c>
      <c r="V72" s="136">
        <v>70</v>
      </c>
      <c r="W72" s="135">
        <v>74</v>
      </c>
      <c r="X72" s="136" t="s">
        <v>1085</v>
      </c>
      <c r="Y72" s="135">
        <v>74</v>
      </c>
      <c r="Z72" s="135">
        <v>70</v>
      </c>
      <c r="AA72" s="135">
        <v>82</v>
      </c>
      <c r="AB72" s="135">
        <v>65</v>
      </c>
      <c r="AC72" s="136">
        <v>74</v>
      </c>
      <c r="AD72" s="179">
        <v>68</v>
      </c>
      <c r="AE72" s="179">
        <v>76</v>
      </c>
      <c r="AF72" s="135">
        <v>74</v>
      </c>
      <c r="AG72" s="136" t="s">
        <v>1092</v>
      </c>
      <c r="AH72" s="135">
        <v>0</v>
      </c>
      <c r="AJ72" s="135"/>
      <c r="AK72" s="135"/>
      <c r="AL72" s="136" t="s">
        <v>492</v>
      </c>
      <c r="AM72" s="135">
        <v>0</v>
      </c>
      <c r="AN72" s="136" t="s">
        <v>345</v>
      </c>
      <c r="AO72" s="136">
        <v>3</v>
      </c>
      <c r="AP72" s="136">
        <v>3</v>
      </c>
      <c r="AQ72" s="136" t="s">
        <v>492</v>
      </c>
      <c r="AR72" s="136" t="s">
        <v>492</v>
      </c>
      <c r="AS72" s="136" t="s">
        <v>492</v>
      </c>
      <c r="AT72" s="136" t="s">
        <v>492</v>
      </c>
      <c r="AU72" s="136" t="s">
        <v>492</v>
      </c>
      <c r="AV72" s="136" t="s">
        <v>345</v>
      </c>
      <c r="AW72" s="136" t="s">
        <v>1136</v>
      </c>
      <c r="AX72" s="135">
        <v>0</v>
      </c>
      <c r="AY72" s="135">
        <v>74</v>
      </c>
      <c r="AZ72" s="135">
        <v>10</v>
      </c>
      <c r="BA72" s="135">
        <v>0</v>
      </c>
      <c r="BB72" s="135">
        <v>10</v>
      </c>
      <c r="BC72" s="135">
        <v>0</v>
      </c>
      <c r="BD72" s="136">
        <v>6</v>
      </c>
      <c r="BE72" s="136">
        <v>0</v>
      </c>
      <c r="BF72" s="136">
        <v>0</v>
      </c>
      <c r="BG72" s="135">
        <v>0</v>
      </c>
      <c r="BH72" s="136" t="s">
        <v>492</v>
      </c>
      <c r="BI72" s="136" t="s">
        <v>492</v>
      </c>
      <c r="BJ72" s="136" t="s">
        <v>492</v>
      </c>
      <c r="BK72" s="136" t="s">
        <v>492</v>
      </c>
      <c r="BL72" s="136" t="s">
        <v>346</v>
      </c>
      <c r="BM72" s="136" t="s">
        <v>492</v>
      </c>
      <c r="BN72" s="136" t="s">
        <v>492</v>
      </c>
      <c r="BO72" s="136" t="s">
        <v>492</v>
      </c>
      <c r="BP72" s="135">
        <v>100</v>
      </c>
      <c r="BQ72" s="136">
        <v>100</v>
      </c>
      <c r="BR72" s="135">
        <v>0</v>
      </c>
      <c r="BS72" s="135">
        <v>0</v>
      </c>
      <c r="BT72" s="136" t="s">
        <v>492</v>
      </c>
      <c r="BU72" s="136" t="s">
        <v>492</v>
      </c>
      <c r="BV72" s="135">
        <v>0</v>
      </c>
      <c r="BW72" s="135">
        <v>0</v>
      </c>
      <c r="BX72" s="136">
        <v>30</v>
      </c>
      <c r="BY72" s="179"/>
      <c r="BZ72" s="135">
        <v>0</v>
      </c>
      <c r="CA72" s="136">
        <v>100</v>
      </c>
      <c r="CB72" s="136">
        <v>100</v>
      </c>
      <c r="CC72" s="136">
        <v>0</v>
      </c>
      <c r="CD72" s="136">
        <v>10</v>
      </c>
      <c r="CE72" s="136">
        <v>0.01</v>
      </c>
      <c r="CF72" s="136">
        <v>0</v>
      </c>
      <c r="CG72" s="136">
        <v>0</v>
      </c>
      <c r="CH72" s="135">
        <v>10</v>
      </c>
      <c r="CI72" s="135">
        <v>0.01</v>
      </c>
      <c r="CJ72" s="135">
        <v>0</v>
      </c>
      <c r="CK72" s="135">
        <v>0</v>
      </c>
      <c r="CL72" s="135"/>
      <c r="CM72" s="135"/>
      <c r="CN72" s="135"/>
      <c r="CO72" s="135"/>
      <c r="CP72" s="135">
        <v>38.5</v>
      </c>
      <c r="CQ72" s="136">
        <v>45</v>
      </c>
      <c r="CR72" s="136">
        <v>2</v>
      </c>
      <c r="CS72" s="135">
        <v>74</v>
      </c>
      <c r="CT72" s="136">
        <v>0</v>
      </c>
      <c r="CU72" s="135">
        <v>0</v>
      </c>
      <c r="CX72" s="136" t="s">
        <v>1124</v>
      </c>
      <c r="CY72" s="136" t="s">
        <v>1124</v>
      </c>
      <c r="CZ72" s="136">
        <v>4.8</v>
      </c>
      <c r="DA72" s="136">
        <v>10</v>
      </c>
      <c r="DB72" s="136" t="s">
        <v>492</v>
      </c>
      <c r="DC72" s="210">
        <v>2</v>
      </c>
      <c r="DD72" s="136">
        <v>2</v>
      </c>
      <c r="DE72" s="136">
        <v>1</v>
      </c>
      <c r="DF72" s="135"/>
      <c r="DG72" s="135">
        <v>74</v>
      </c>
      <c r="DH72" s="135"/>
      <c r="DI72" s="135"/>
      <c r="DJ72" s="135"/>
      <c r="DK72" s="135"/>
      <c r="DL72" s="135"/>
      <c r="DM72" s="135">
        <v>5</v>
      </c>
      <c r="DN72" s="135">
        <v>0</v>
      </c>
    </row>
    <row r="73" spans="1:150" s="136" customFormat="1" ht="12.95" customHeight="1">
      <c r="A73" s="514" t="s">
        <v>68</v>
      </c>
      <c r="B73" s="519" t="s">
        <v>368</v>
      </c>
      <c r="C73" s="519" t="s">
        <v>368</v>
      </c>
      <c r="D73" s="520" t="s">
        <v>368</v>
      </c>
      <c r="E73" s="520"/>
      <c r="F73" s="524"/>
      <c r="G73" s="523"/>
      <c r="H73" s="513"/>
      <c r="I73" s="513"/>
      <c r="J73" s="513"/>
      <c r="K73" s="513"/>
      <c r="L73" s="513"/>
      <c r="M73" s="513"/>
      <c r="N73" s="513"/>
      <c r="O73" s="515" t="s">
        <v>362</v>
      </c>
      <c r="P73" s="515" t="s">
        <v>366</v>
      </c>
      <c r="Q73" s="515"/>
      <c r="R73" s="515"/>
      <c r="S73" s="515"/>
      <c r="T73" s="515" t="s">
        <v>368</v>
      </c>
      <c r="U73" s="515"/>
      <c r="V73" s="515">
        <v>0</v>
      </c>
      <c r="W73" s="515">
        <v>74</v>
      </c>
      <c r="X73" s="515"/>
      <c r="Y73" s="515">
        <v>74</v>
      </c>
      <c r="Z73" s="515"/>
      <c r="AA73" s="515">
        <v>82</v>
      </c>
      <c r="AB73" s="515"/>
      <c r="AC73" s="521"/>
      <c r="AD73" s="521">
        <v>55</v>
      </c>
      <c r="AE73" s="521">
        <v>90</v>
      </c>
      <c r="AF73" s="515">
        <v>74</v>
      </c>
      <c r="AG73" s="518" t="s">
        <v>491</v>
      </c>
      <c r="AH73" s="521">
        <v>74</v>
      </c>
      <c r="AI73" s="521"/>
      <c r="AJ73" s="515"/>
      <c r="AK73" s="515" t="s">
        <v>491</v>
      </c>
      <c r="AL73" s="515" t="s">
        <v>492</v>
      </c>
      <c r="AM73" s="515">
        <v>0</v>
      </c>
      <c r="AN73" s="518" t="s">
        <v>1258</v>
      </c>
      <c r="AO73" s="517"/>
      <c r="AP73" s="517"/>
      <c r="AQ73" s="515" t="s">
        <v>492</v>
      </c>
      <c r="AR73" s="515" t="s">
        <v>492</v>
      </c>
      <c r="AS73" s="521"/>
      <c r="AT73" s="521"/>
      <c r="AU73" s="521"/>
      <c r="AV73" s="515" t="s">
        <v>504</v>
      </c>
      <c r="AW73" s="521"/>
      <c r="AX73" s="515">
        <v>220</v>
      </c>
      <c r="AY73" s="521">
        <v>2200</v>
      </c>
      <c r="AZ73" s="515"/>
      <c r="BA73" s="521"/>
      <c r="BB73" s="521">
        <v>0</v>
      </c>
      <c r="BC73" s="515">
        <v>1</v>
      </c>
      <c r="BD73" s="515">
        <v>0</v>
      </c>
      <c r="BE73" s="515">
        <v>0</v>
      </c>
      <c r="BF73" s="515">
        <v>130</v>
      </c>
      <c r="BG73" s="521"/>
      <c r="BH73" s="515" t="s">
        <v>492</v>
      </c>
      <c r="BI73" s="515" t="s">
        <v>492</v>
      </c>
      <c r="BJ73" s="515" t="s">
        <v>492</v>
      </c>
      <c r="BK73" s="515" t="s">
        <v>492</v>
      </c>
      <c r="BL73" s="515" t="s">
        <v>492</v>
      </c>
      <c r="BM73" s="515" t="s">
        <v>492</v>
      </c>
      <c r="BN73" s="521"/>
      <c r="BO73" s="521">
        <v>0</v>
      </c>
      <c r="BP73" s="521">
        <v>0</v>
      </c>
      <c r="BQ73" s="521"/>
      <c r="BR73" s="521">
        <v>95</v>
      </c>
      <c r="BS73" s="521">
        <v>0</v>
      </c>
      <c r="BT73" s="521">
        <v>0</v>
      </c>
      <c r="BU73" s="521"/>
      <c r="BV73" s="521">
        <v>130</v>
      </c>
      <c r="BW73" s="521">
        <v>90</v>
      </c>
      <c r="BX73" s="521"/>
      <c r="BY73" s="525">
        <v>0</v>
      </c>
      <c r="BZ73" s="515">
        <v>0</v>
      </c>
      <c r="CA73" s="515"/>
      <c r="CB73" s="515"/>
      <c r="CC73" s="515"/>
      <c r="CD73" s="515">
        <v>20</v>
      </c>
      <c r="CE73" s="515">
        <v>0.01</v>
      </c>
      <c r="CF73" s="515">
        <v>0</v>
      </c>
      <c r="CG73" s="515"/>
      <c r="CH73" s="521"/>
      <c r="CI73" s="521"/>
      <c r="CJ73" s="515"/>
      <c r="CK73" s="515"/>
      <c r="CL73" s="515">
        <v>0</v>
      </c>
      <c r="CM73" s="515">
        <v>0.01</v>
      </c>
      <c r="CN73" s="515">
        <v>0</v>
      </c>
      <c r="CO73" s="515">
        <v>50</v>
      </c>
      <c r="CP73" s="515">
        <v>0</v>
      </c>
      <c r="CQ73" s="515">
        <v>220</v>
      </c>
      <c r="CR73" s="515">
        <v>2200</v>
      </c>
      <c r="CS73" s="515">
        <v>74</v>
      </c>
      <c r="CT73" s="515">
        <v>0</v>
      </c>
      <c r="CU73" s="515"/>
      <c r="CV73" s="515"/>
      <c r="CW73" s="515"/>
      <c r="CX73" s="515"/>
      <c r="CY73" s="515" t="s">
        <v>499</v>
      </c>
      <c r="CZ73" s="515"/>
      <c r="DA73" s="515"/>
      <c r="DB73" s="515" t="s">
        <v>491</v>
      </c>
      <c r="DC73" s="522"/>
      <c r="DD73" s="521"/>
      <c r="DE73" s="521"/>
      <c r="DF73" s="515"/>
      <c r="DG73" s="515">
        <v>74</v>
      </c>
      <c r="DH73" s="521">
        <v>0</v>
      </c>
      <c r="DI73" s="515" t="s">
        <v>491</v>
      </c>
      <c r="DJ73" s="521">
        <v>4</v>
      </c>
      <c r="DK73" s="515">
        <v>12</v>
      </c>
      <c r="DL73" s="521">
        <v>1</v>
      </c>
      <c r="DM73" s="515">
        <v>5</v>
      </c>
      <c r="DN73" s="521">
        <v>0</v>
      </c>
      <c r="DO73" s="515"/>
      <c r="DP73" s="515"/>
      <c r="DQ73" s="515"/>
      <c r="DR73" s="515"/>
      <c r="DS73" s="515"/>
      <c r="DT73" s="515"/>
      <c r="DU73" s="515"/>
      <c r="DV73" s="515"/>
      <c r="DW73" s="515"/>
      <c r="DX73" s="515"/>
      <c r="DY73" s="515"/>
      <c r="DZ73" s="515"/>
      <c r="EA73" s="515"/>
      <c r="EB73" s="515"/>
      <c r="EC73" s="515"/>
      <c r="ED73" s="515"/>
      <c r="EE73" s="515"/>
      <c r="EF73" s="515"/>
      <c r="EG73" s="515"/>
      <c r="EH73" s="515"/>
      <c r="EI73" s="515"/>
      <c r="EJ73" s="515"/>
      <c r="EK73" s="515"/>
      <c r="EL73" s="515"/>
      <c r="EM73" s="515"/>
      <c r="EN73" s="515"/>
      <c r="EO73" s="515"/>
      <c r="EP73" s="515"/>
      <c r="EQ73" s="515"/>
      <c r="ER73" s="516"/>
      <c r="ES73" s="516"/>
      <c r="ET73" s="516"/>
    </row>
    <row r="74" spans="1:150" s="154" customFormat="1" ht="12.95" customHeight="1">
      <c r="A74" s="363">
        <v>2531</v>
      </c>
      <c r="B74" s="136" t="s">
        <v>368</v>
      </c>
      <c r="C74" s="136" t="s">
        <v>368</v>
      </c>
      <c r="D74" s="136" t="s">
        <v>368</v>
      </c>
      <c r="E74" s="138"/>
      <c r="F74" s="349"/>
      <c r="G74" s="349"/>
      <c r="H74" s="171"/>
      <c r="I74" s="171"/>
      <c r="J74" s="171"/>
      <c r="K74" s="172"/>
      <c r="L74" s="171"/>
      <c r="M74" s="171"/>
      <c r="N74" s="183" t="s">
        <v>187</v>
      </c>
      <c r="O74" s="193" t="s">
        <v>362</v>
      </c>
      <c r="P74" s="134" t="s">
        <v>366</v>
      </c>
      <c r="Q74" s="134"/>
      <c r="R74" s="134"/>
      <c r="S74" s="134"/>
      <c r="T74" s="134" t="s">
        <v>366</v>
      </c>
      <c r="U74" s="134"/>
      <c r="V74" s="193" t="s">
        <v>493</v>
      </c>
      <c r="W74" s="347" t="s">
        <v>488</v>
      </c>
      <c r="X74" s="193" t="s">
        <v>1085</v>
      </c>
      <c r="Y74" s="193">
        <v>74</v>
      </c>
      <c r="Z74" s="193" t="s">
        <v>493</v>
      </c>
      <c r="AA74" s="193">
        <v>82</v>
      </c>
      <c r="AB74" s="193" t="s">
        <v>493</v>
      </c>
      <c r="AC74" s="134"/>
      <c r="AD74" s="193">
        <v>68</v>
      </c>
      <c r="AE74" s="193">
        <v>75</v>
      </c>
      <c r="AF74" s="193">
        <v>74</v>
      </c>
      <c r="AG74" s="134" t="s">
        <v>491</v>
      </c>
      <c r="AH74" s="193">
        <v>74</v>
      </c>
      <c r="AI74" s="134"/>
      <c r="AJ74" s="134"/>
      <c r="AK74" s="193" t="s">
        <v>491</v>
      </c>
      <c r="AL74" s="193" t="s">
        <v>492</v>
      </c>
      <c r="AM74" s="193" t="s">
        <v>493</v>
      </c>
      <c r="AN74" s="193" t="s">
        <v>504</v>
      </c>
      <c r="AO74" s="134"/>
      <c r="AP74" s="134"/>
      <c r="AQ74" s="193" t="s">
        <v>492</v>
      </c>
      <c r="AR74" s="193" t="s">
        <v>492</v>
      </c>
      <c r="AS74" s="134"/>
      <c r="AT74" s="134"/>
      <c r="AU74" s="134"/>
      <c r="AV74" s="193" t="s">
        <v>504</v>
      </c>
      <c r="AW74" s="134"/>
      <c r="AX74" s="193" t="s">
        <v>493</v>
      </c>
      <c r="AY74" s="193" t="s">
        <v>493</v>
      </c>
      <c r="AZ74" s="193" t="s">
        <v>493</v>
      </c>
      <c r="BA74" s="193" t="s">
        <v>493</v>
      </c>
      <c r="BB74" s="193" t="s">
        <v>493</v>
      </c>
      <c r="BC74" s="193">
        <v>1</v>
      </c>
      <c r="BD74" s="193" t="s">
        <v>493</v>
      </c>
      <c r="BE74" s="193" t="s">
        <v>493</v>
      </c>
      <c r="BF74" s="193" t="s">
        <v>493</v>
      </c>
      <c r="BG74" s="134"/>
      <c r="BH74" s="193" t="s">
        <v>492</v>
      </c>
      <c r="BI74" s="193" t="s">
        <v>492</v>
      </c>
      <c r="BJ74" s="193" t="s">
        <v>492</v>
      </c>
      <c r="BK74" s="193" t="s">
        <v>492</v>
      </c>
      <c r="BL74" s="193" t="s">
        <v>492</v>
      </c>
      <c r="BM74" s="193" t="s">
        <v>492</v>
      </c>
      <c r="BN74" s="134"/>
      <c r="BO74" s="193" t="s">
        <v>493</v>
      </c>
      <c r="BP74" s="193" t="s">
        <v>493</v>
      </c>
      <c r="BQ74" s="134"/>
      <c r="BR74" s="193">
        <v>90</v>
      </c>
      <c r="BS74" s="193" t="s">
        <v>493</v>
      </c>
      <c r="BT74" s="193" t="s">
        <v>493</v>
      </c>
      <c r="BU74" s="134"/>
      <c r="BV74" s="193">
        <v>130</v>
      </c>
      <c r="BW74" s="193">
        <v>90</v>
      </c>
      <c r="BX74" s="134"/>
      <c r="BY74" s="179">
        <v>1</v>
      </c>
      <c r="BZ74" s="193" t="s">
        <v>493</v>
      </c>
      <c r="CA74" s="134"/>
      <c r="CB74" s="193" t="s">
        <v>493</v>
      </c>
      <c r="CC74" s="193" t="s">
        <v>493</v>
      </c>
      <c r="CD74" s="193">
        <v>20</v>
      </c>
      <c r="CE74" s="193">
        <v>0.01</v>
      </c>
      <c r="CF74" s="193" t="s">
        <v>493</v>
      </c>
      <c r="CG74" s="134"/>
      <c r="CH74" s="193" t="s">
        <v>493</v>
      </c>
      <c r="CI74" s="193" t="s">
        <v>493</v>
      </c>
      <c r="CJ74" s="193" t="s">
        <v>493</v>
      </c>
      <c r="CK74" s="134"/>
      <c r="CL74" s="193" t="s">
        <v>493</v>
      </c>
      <c r="CM74" s="193">
        <v>0.01</v>
      </c>
      <c r="CN74" s="193" t="s">
        <v>493</v>
      </c>
      <c r="CO74" s="193">
        <v>50</v>
      </c>
      <c r="CP74" s="193"/>
      <c r="CQ74" s="193"/>
      <c r="CR74" s="193"/>
      <c r="CS74" s="193">
        <v>74</v>
      </c>
      <c r="CT74" s="193" t="s">
        <v>493</v>
      </c>
      <c r="CU74" s="193"/>
      <c r="CV74" s="134"/>
      <c r="CW74" s="134"/>
      <c r="CX74" s="134"/>
      <c r="CY74" s="193" t="s">
        <v>499</v>
      </c>
      <c r="CZ74" s="134"/>
      <c r="DA74" s="134"/>
      <c r="DB74" s="193" t="s">
        <v>491</v>
      </c>
      <c r="DC74" s="347"/>
      <c r="DD74" s="134"/>
      <c r="DE74" s="134"/>
      <c r="DF74" s="134"/>
      <c r="DG74" s="193">
        <v>74</v>
      </c>
      <c r="DH74" s="193" t="s">
        <v>493</v>
      </c>
      <c r="DI74" s="193" t="s">
        <v>491</v>
      </c>
      <c r="DJ74" s="193" t="s">
        <v>493</v>
      </c>
      <c r="DK74" s="193"/>
      <c r="DL74" s="193"/>
      <c r="DM74" s="193">
        <v>5</v>
      </c>
      <c r="DN74" s="193" t="s">
        <v>493</v>
      </c>
      <c r="DO74" s="134"/>
      <c r="DP74" s="134"/>
      <c r="DQ74" s="134"/>
      <c r="DR74" s="134"/>
      <c r="DS74" s="134"/>
      <c r="DT74" s="134"/>
      <c r="DU74" s="134"/>
      <c r="DV74" s="134"/>
      <c r="DW74" s="134"/>
      <c r="DX74" s="134"/>
      <c r="DY74" s="134"/>
      <c r="DZ74" s="134"/>
      <c r="EA74" s="134"/>
      <c r="EB74" s="134"/>
      <c r="EC74" s="134"/>
      <c r="ED74" s="134"/>
      <c r="EE74" s="134"/>
      <c r="EF74" s="134"/>
      <c r="EG74" s="134"/>
      <c r="EH74" s="134"/>
      <c r="EI74" s="134"/>
      <c r="EJ74" s="134"/>
      <c r="EK74" s="134"/>
      <c r="EL74" s="134"/>
      <c r="EM74" s="134"/>
      <c r="EN74" s="134"/>
      <c r="EO74" s="134"/>
      <c r="EP74" s="134"/>
      <c r="EQ74" s="134"/>
      <c r="ER74" s="134"/>
      <c r="ES74" s="134"/>
      <c r="ET74" s="134"/>
    </row>
    <row r="75" spans="1:150" s="136" customFormat="1" ht="12.95" customHeight="1">
      <c r="A75" s="514" t="s">
        <v>292</v>
      </c>
      <c r="B75" s="519" t="s">
        <v>368</v>
      </c>
      <c r="C75" s="519" t="s">
        <v>368</v>
      </c>
      <c r="D75" s="520" t="s">
        <v>368</v>
      </c>
      <c r="E75" s="520"/>
      <c r="F75" s="524"/>
      <c r="G75" s="523"/>
      <c r="H75" s="513"/>
      <c r="I75" s="513"/>
      <c r="J75" s="513"/>
      <c r="K75" s="513"/>
      <c r="L75" s="513"/>
      <c r="M75" s="513"/>
      <c r="N75" s="513"/>
      <c r="O75" s="515" t="s">
        <v>362</v>
      </c>
      <c r="P75" s="515" t="s">
        <v>366</v>
      </c>
      <c r="Q75" s="515"/>
      <c r="R75" s="515"/>
      <c r="S75" s="515"/>
      <c r="T75" s="515" t="s">
        <v>368</v>
      </c>
      <c r="U75" s="515"/>
      <c r="V75" s="515">
        <v>0</v>
      </c>
      <c r="W75" s="515">
        <v>74</v>
      </c>
      <c r="X75" s="515" t="s">
        <v>1085</v>
      </c>
      <c r="Y75" s="515">
        <v>74</v>
      </c>
      <c r="Z75" s="515">
        <v>70</v>
      </c>
      <c r="AA75" s="515">
        <v>82</v>
      </c>
      <c r="AB75" s="515">
        <v>65</v>
      </c>
      <c r="AC75" s="521"/>
      <c r="AD75" s="521">
        <v>55</v>
      </c>
      <c r="AE75" s="521">
        <v>90</v>
      </c>
      <c r="AF75" s="515">
        <v>74</v>
      </c>
      <c r="AG75" s="518" t="s">
        <v>491</v>
      </c>
      <c r="AH75" s="521">
        <v>74</v>
      </c>
      <c r="AI75" s="521">
        <v>0</v>
      </c>
      <c r="AJ75" s="515">
        <v>0</v>
      </c>
      <c r="AK75" s="515" t="s">
        <v>491</v>
      </c>
      <c r="AL75" s="515" t="s">
        <v>492</v>
      </c>
      <c r="AM75" s="515">
        <v>0</v>
      </c>
      <c r="AN75" s="518" t="s">
        <v>1258</v>
      </c>
      <c r="AO75" s="517">
        <v>0</v>
      </c>
      <c r="AP75" s="517">
        <v>100</v>
      </c>
      <c r="AQ75" s="515" t="s">
        <v>492</v>
      </c>
      <c r="AR75" s="515" t="s">
        <v>492</v>
      </c>
      <c r="AS75" s="521">
        <v>20</v>
      </c>
      <c r="AT75" s="521">
        <v>10</v>
      </c>
      <c r="AU75" s="521">
        <v>20</v>
      </c>
      <c r="AV75" s="515" t="s">
        <v>504</v>
      </c>
      <c r="AW75" s="521">
        <v>30</v>
      </c>
      <c r="AX75" s="515">
        <v>220</v>
      </c>
      <c r="AY75" s="521">
        <v>2200</v>
      </c>
      <c r="AZ75" s="515">
        <v>220</v>
      </c>
      <c r="BA75" s="521">
        <v>2200</v>
      </c>
      <c r="BB75" s="521">
        <v>0</v>
      </c>
      <c r="BC75" s="515">
        <v>1</v>
      </c>
      <c r="BD75" s="515">
        <v>0</v>
      </c>
      <c r="BE75" s="515">
        <v>0</v>
      </c>
      <c r="BF75" s="515">
        <v>130</v>
      </c>
      <c r="BG75" s="521"/>
      <c r="BH75" s="515" t="s">
        <v>492</v>
      </c>
      <c r="BI75" s="515" t="s">
        <v>492</v>
      </c>
      <c r="BJ75" s="515" t="s">
        <v>492</v>
      </c>
      <c r="BK75" s="515" t="s">
        <v>492</v>
      </c>
      <c r="BL75" s="515" t="s">
        <v>492</v>
      </c>
      <c r="BM75" s="515" t="s">
        <v>492</v>
      </c>
      <c r="BN75" s="521"/>
      <c r="BO75" s="521">
        <v>0</v>
      </c>
      <c r="BP75" s="521">
        <v>0</v>
      </c>
      <c r="BQ75" s="521"/>
      <c r="BR75" s="521">
        <v>95</v>
      </c>
      <c r="BS75" s="521">
        <v>0</v>
      </c>
      <c r="BT75" s="521">
        <v>0</v>
      </c>
      <c r="BU75" s="521"/>
      <c r="BV75" s="521">
        <v>0</v>
      </c>
      <c r="BW75" s="521">
        <v>90</v>
      </c>
      <c r="BX75" s="521"/>
      <c r="BY75" s="525">
        <v>0</v>
      </c>
      <c r="BZ75" s="515">
        <v>0</v>
      </c>
      <c r="CA75" s="515">
        <v>0</v>
      </c>
      <c r="CB75" s="515"/>
      <c r="CC75" s="515"/>
      <c r="CD75" s="515">
        <v>20</v>
      </c>
      <c r="CE75" s="515">
        <v>0.01</v>
      </c>
      <c r="CF75" s="515">
        <v>0</v>
      </c>
      <c r="CG75" s="515"/>
      <c r="CH75" s="521">
        <v>10</v>
      </c>
      <c r="CI75" s="521">
        <v>0.01</v>
      </c>
      <c r="CJ75" s="515">
        <v>0</v>
      </c>
      <c r="CK75" s="515"/>
      <c r="CL75" s="515">
        <v>0</v>
      </c>
      <c r="CM75" s="515">
        <v>0.01</v>
      </c>
      <c r="CN75" s="515">
        <v>0</v>
      </c>
      <c r="CO75" s="515">
        <v>50</v>
      </c>
      <c r="CP75" s="515">
        <v>0</v>
      </c>
      <c r="CQ75" s="515">
        <v>220</v>
      </c>
      <c r="CR75" s="515">
        <v>2200</v>
      </c>
      <c r="CS75" s="515">
        <v>74</v>
      </c>
      <c r="CT75" s="515">
        <v>0</v>
      </c>
      <c r="CU75" s="515">
        <v>0</v>
      </c>
      <c r="CV75" s="515">
        <v>0</v>
      </c>
      <c r="CW75" s="515">
        <v>90</v>
      </c>
      <c r="CX75" s="515">
        <v>10</v>
      </c>
      <c r="CY75" s="515" t="s">
        <v>499</v>
      </c>
      <c r="CZ75" s="515">
        <v>5.2</v>
      </c>
      <c r="DA75" s="515">
        <v>10</v>
      </c>
      <c r="DB75" s="515"/>
      <c r="DC75" s="522" t="s">
        <v>496</v>
      </c>
      <c r="DD75" s="521">
        <v>10</v>
      </c>
      <c r="DE75" s="521">
        <v>1</v>
      </c>
      <c r="DF75" s="515"/>
      <c r="DG75" s="515">
        <v>74</v>
      </c>
      <c r="DH75" s="521">
        <v>0</v>
      </c>
      <c r="DI75" s="515" t="s">
        <v>491</v>
      </c>
      <c r="DJ75" s="521">
        <v>4</v>
      </c>
      <c r="DK75" s="515">
        <v>12</v>
      </c>
      <c r="DL75" s="521">
        <v>1</v>
      </c>
      <c r="DM75" s="515">
        <v>5</v>
      </c>
      <c r="DN75" s="521">
        <v>0</v>
      </c>
      <c r="DO75" s="515"/>
      <c r="DP75" s="515"/>
      <c r="DQ75" s="515"/>
      <c r="DR75" s="515"/>
      <c r="DS75" s="515"/>
      <c r="DT75" s="515"/>
      <c r="DU75" s="515"/>
      <c r="DV75" s="515"/>
      <c r="DW75" s="515"/>
      <c r="DX75" s="515"/>
      <c r="DY75" s="515"/>
      <c r="DZ75" s="515"/>
      <c r="EA75" s="515"/>
      <c r="EB75" s="515"/>
      <c r="EC75" s="515"/>
      <c r="ED75" s="515"/>
      <c r="EE75" s="515"/>
      <c r="EF75" s="515"/>
      <c r="EG75" s="515"/>
      <c r="EH75" s="515"/>
      <c r="EI75" s="515"/>
      <c r="EJ75" s="515"/>
      <c r="EK75" s="515"/>
      <c r="EL75" s="515"/>
      <c r="EM75" s="515"/>
      <c r="EN75" s="515"/>
      <c r="EO75" s="515"/>
      <c r="EP75" s="515"/>
      <c r="EQ75" s="515"/>
      <c r="ER75" s="516"/>
      <c r="ES75" s="516"/>
      <c r="ET75" s="516"/>
    </row>
    <row r="76" spans="1:150" s="154" customFormat="1" ht="12.95" customHeight="1">
      <c r="A76" s="364" t="s">
        <v>69</v>
      </c>
      <c r="B76" s="210" t="s">
        <v>368</v>
      </c>
      <c r="C76" s="210" t="s">
        <v>368</v>
      </c>
      <c r="D76" s="136" t="s">
        <v>368</v>
      </c>
      <c r="E76" s="138"/>
      <c r="F76" s="213"/>
      <c r="G76" s="195"/>
      <c r="N76" s="183" t="s">
        <v>191</v>
      </c>
      <c r="O76" s="193" t="s">
        <v>362</v>
      </c>
      <c r="P76" s="134" t="s">
        <v>366</v>
      </c>
      <c r="Q76" s="134"/>
      <c r="R76" s="134"/>
      <c r="S76" s="134"/>
      <c r="T76" s="134" t="s">
        <v>366</v>
      </c>
      <c r="U76" s="134"/>
      <c r="V76" s="193" t="s">
        <v>493</v>
      </c>
      <c r="W76" s="347" t="s">
        <v>488</v>
      </c>
      <c r="X76" s="193" t="s">
        <v>1085</v>
      </c>
      <c r="Y76" s="193">
        <v>74</v>
      </c>
      <c r="Z76" s="193">
        <v>70</v>
      </c>
      <c r="AA76" s="193">
        <v>82</v>
      </c>
      <c r="AB76" s="193">
        <v>65</v>
      </c>
      <c r="AC76" s="134"/>
      <c r="AD76" s="193">
        <v>65</v>
      </c>
      <c r="AE76" s="193">
        <v>75</v>
      </c>
      <c r="AF76" s="193">
        <v>74</v>
      </c>
      <c r="AG76" s="193" t="s">
        <v>491</v>
      </c>
      <c r="AH76" s="193">
        <v>74</v>
      </c>
      <c r="AI76" s="193" t="s">
        <v>493</v>
      </c>
      <c r="AJ76" s="193" t="s">
        <v>493</v>
      </c>
      <c r="AK76" s="193" t="s">
        <v>491</v>
      </c>
      <c r="AL76" s="193" t="s">
        <v>492</v>
      </c>
      <c r="AM76" s="193" t="s">
        <v>493</v>
      </c>
      <c r="AN76" s="193" t="s">
        <v>504</v>
      </c>
      <c r="AO76" s="193" t="s">
        <v>493</v>
      </c>
      <c r="AP76" s="193">
        <v>100</v>
      </c>
      <c r="AQ76" s="193" t="s">
        <v>492</v>
      </c>
      <c r="AR76" s="193" t="s">
        <v>492</v>
      </c>
      <c r="AS76" s="134"/>
      <c r="AT76" s="134"/>
      <c r="AU76" s="134"/>
      <c r="AV76" s="193" t="s">
        <v>504</v>
      </c>
      <c r="AW76" s="134"/>
      <c r="AX76" s="193" t="s">
        <v>493</v>
      </c>
      <c r="AY76" s="193" t="s">
        <v>493</v>
      </c>
      <c r="AZ76" s="193" t="s">
        <v>493</v>
      </c>
      <c r="BA76" s="193" t="s">
        <v>493</v>
      </c>
      <c r="BB76" s="193" t="s">
        <v>493</v>
      </c>
      <c r="BC76" s="193">
        <v>1</v>
      </c>
      <c r="BD76" s="193" t="s">
        <v>493</v>
      </c>
      <c r="BE76" s="193" t="s">
        <v>493</v>
      </c>
      <c r="BF76" s="193" t="s">
        <v>493</v>
      </c>
      <c r="BG76" s="134"/>
      <c r="BH76" s="193" t="s">
        <v>492</v>
      </c>
      <c r="BI76" s="193" t="s">
        <v>492</v>
      </c>
      <c r="BJ76" s="193" t="s">
        <v>492</v>
      </c>
      <c r="BK76" s="193" t="s">
        <v>492</v>
      </c>
      <c r="BL76" s="193" t="s">
        <v>492</v>
      </c>
      <c r="BM76" s="193" t="s">
        <v>492</v>
      </c>
      <c r="BN76" s="134"/>
      <c r="BO76" s="193" t="s">
        <v>493</v>
      </c>
      <c r="BP76" s="193" t="s">
        <v>493</v>
      </c>
      <c r="BQ76" s="134"/>
      <c r="BR76" s="193">
        <v>90</v>
      </c>
      <c r="BS76" s="193" t="s">
        <v>493</v>
      </c>
      <c r="BT76" s="193" t="s">
        <v>493</v>
      </c>
      <c r="BU76" s="134"/>
      <c r="BV76" s="193">
        <v>130</v>
      </c>
      <c r="BW76" s="193">
        <v>90</v>
      </c>
      <c r="BX76" s="134"/>
      <c r="BY76" s="179">
        <v>13</v>
      </c>
      <c r="BZ76" s="193" t="s">
        <v>493</v>
      </c>
      <c r="CA76" s="134"/>
      <c r="CB76" s="134"/>
      <c r="CC76" s="134"/>
      <c r="CD76" s="193">
        <v>20</v>
      </c>
      <c r="CE76" s="193">
        <v>0.01</v>
      </c>
      <c r="CF76" s="193" t="s">
        <v>493</v>
      </c>
      <c r="CG76" s="134"/>
      <c r="CH76" s="193">
        <v>10</v>
      </c>
      <c r="CI76" s="193">
        <v>0.01</v>
      </c>
      <c r="CJ76" s="193" t="s">
        <v>493</v>
      </c>
      <c r="CK76" s="134"/>
      <c r="CL76" s="193" t="s">
        <v>493</v>
      </c>
      <c r="CM76" s="193">
        <v>0.01</v>
      </c>
      <c r="CN76" s="193" t="s">
        <v>493</v>
      </c>
      <c r="CO76" s="193">
        <v>50</v>
      </c>
      <c r="CP76" s="193"/>
      <c r="CQ76" s="347" t="s">
        <v>494</v>
      </c>
      <c r="CR76" s="347" t="s">
        <v>495</v>
      </c>
      <c r="CS76" s="193">
        <v>74</v>
      </c>
      <c r="CT76" s="193" t="s">
        <v>493</v>
      </c>
      <c r="CU76" s="193"/>
      <c r="CV76" s="134"/>
      <c r="CW76" s="134"/>
      <c r="CX76" s="134"/>
      <c r="CY76" s="193" t="s">
        <v>499</v>
      </c>
      <c r="CZ76" s="193"/>
      <c r="DA76" s="193"/>
      <c r="DB76" s="193" t="s">
        <v>491</v>
      </c>
      <c r="DC76" s="348">
        <v>1</v>
      </c>
      <c r="DD76" s="134"/>
      <c r="DE76" s="193">
        <v>1</v>
      </c>
      <c r="DF76" s="134"/>
      <c r="DG76" s="193">
        <v>74</v>
      </c>
      <c r="DH76" s="193" t="s">
        <v>493</v>
      </c>
      <c r="DI76" s="193" t="s">
        <v>491</v>
      </c>
      <c r="DJ76" s="193">
        <v>4</v>
      </c>
      <c r="DK76" s="193">
        <v>12</v>
      </c>
      <c r="DL76" s="193"/>
      <c r="DM76" s="193">
        <v>5</v>
      </c>
      <c r="DN76" s="193" t="s">
        <v>493</v>
      </c>
      <c r="DO76" s="134"/>
      <c r="DP76" s="134"/>
      <c r="DQ76" s="134"/>
      <c r="DR76" s="134"/>
      <c r="DS76" s="134"/>
      <c r="DT76" s="134"/>
      <c r="DU76" s="134"/>
      <c r="DV76" s="134"/>
      <c r="DW76" s="134"/>
      <c r="DX76" s="134"/>
      <c r="DY76" s="134"/>
      <c r="DZ76" s="134"/>
      <c r="EA76" s="134"/>
      <c r="EB76" s="134"/>
      <c r="EC76" s="134"/>
      <c r="ED76" s="134"/>
      <c r="EE76" s="134"/>
      <c r="EF76" s="134"/>
      <c r="EG76" s="134"/>
      <c r="EH76" s="134"/>
      <c r="EI76" s="134"/>
      <c r="EJ76" s="134"/>
      <c r="EK76" s="134"/>
      <c r="EL76" s="134"/>
      <c r="EM76" s="134"/>
      <c r="EN76" s="134"/>
      <c r="EO76" s="134"/>
      <c r="EP76" s="134"/>
      <c r="EQ76" s="134"/>
      <c r="ER76" s="134"/>
      <c r="ES76" s="134"/>
      <c r="ET76" s="134"/>
    </row>
    <row r="77" spans="1:150" s="154" customFormat="1" ht="12.95" customHeight="1">
      <c r="A77" s="364" t="s">
        <v>69</v>
      </c>
      <c r="B77" s="210" t="s">
        <v>368</v>
      </c>
      <c r="C77" s="210" t="s">
        <v>367</v>
      </c>
      <c r="D77" s="136" t="s">
        <v>368</v>
      </c>
      <c r="E77" s="138"/>
      <c r="F77" s="213"/>
      <c r="G77" s="195"/>
      <c r="O77" s="193" t="s">
        <v>362</v>
      </c>
      <c r="P77" s="134" t="s">
        <v>366</v>
      </c>
      <c r="Q77" s="134"/>
      <c r="R77" s="134"/>
      <c r="S77" s="134"/>
      <c r="T77" s="134" t="s">
        <v>366</v>
      </c>
      <c r="U77" s="134"/>
      <c r="V77" s="193" t="s">
        <v>493</v>
      </c>
      <c r="W77" s="347" t="s">
        <v>488</v>
      </c>
      <c r="X77" s="193" t="s">
        <v>1085</v>
      </c>
      <c r="Y77" s="193">
        <v>74</v>
      </c>
      <c r="Z77" s="193">
        <v>70</v>
      </c>
      <c r="AA77" s="193">
        <v>82</v>
      </c>
      <c r="AB77" s="193">
        <v>65</v>
      </c>
      <c r="AC77" s="134"/>
      <c r="AD77" s="193">
        <v>65</v>
      </c>
      <c r="AE77" s="193">
        <v>75</v>
      </c>
      <c r="AF77" s="193">
        <v>74</v>
      </c>
      <c r="AG77" s="193" t="s">
        <v>491</v>
      </c>
      <c r="AH77" s="193">
        <v>74</v>
      </c>
      <c r="AI77" s="193" t="s">
        <v>493</v>
      </c>
      <c r="AJ77" s="193" t="s">
        <v>493</v>
      </c>
      <c r="AK77" s="193" t="s">
        <v>491</v>
      </c>
      <c r="AL77" s="193" t="s">
        <v>492</v>
      </c>
      <c r="AM77" s="193" t="s">
        <v>493</v>
      </c>
      <c r="AN77" s="193" t="s">
        <v>504</v>
      </c>
      <c r="AO77" s="193" t="s">
        <v>493</v>
      </c>
      <c r="AP77" s="193">
        <v>100</v>
      </c>
      <c r="AQ77" s="193" t="s">
        <v>492</v>
      </c>
      <c r="AR77" s="193" t="s">
        <v>492</v>
      </c>
      <c r="AS77" s="134"/>
      <c r="AT77" s="134"/>
      <c r="AU77" s="134"/>
      <c r="AV77" s="193" t="s">
        <v>504</v>
      </c>
      <c r="AW77" s="134"/>
      <c r="AX77" s="193" t="s">
        <v>493</v>
      </c>
      <c r="AY77" s="193" t="s">
        <v>493</v>
      </c>
      <c r="AZ77" s="193" t="s">
        <v>493</v>
      </c>
      <c r="BA77" s="193" t="s">
        <v>493</v>
      </c>
      <c r="BB77" s="193" t="s">
        <v>493</v>
      </c>
      <c r="BC77" s="193">
        <v>1</v>
      </c>
      <c r="BD77" s="193" t="s">
        <v>493</v>
      </c>
      <c r="BE77" s="193" t="s">
        <v>493</v>
      </c>
      <c r="BF77" s="193">
        <v>130</v>
      </c>
      <c r="BG77" s="134"/>
      <c r="BH77" s="193" t="s">
        <v>492</v>
      </c>
      <c r="BI77" s="193" t="s">
        <v>492</v>
      </c>
      <c r="BJ77" s="193" t="s">
        <v>492</v>
      </c>
      <c r="BK77" s="193" t="s">
        <v>492</v>
      </c>
      <c r="BL77" s="193" t="s">
        <v>492</v>
      </c>
      <c r="BM77" s="193" t="s">
        <v>492</v>
      </c>
      <c r="BN77" s="134"/>
      <c r="BO77" s="193" t="s">
        <v>493</v>
      </c>
      <c r="BP77" s="193" t="s">
        <v>493</v>
      </c>
      <c r="BQ77" s="134"/>
      <c r="BR77" s="193">
        <v>90</v>
      </c>
      <c r="BS77" s="193" t="s">
        <v>493</v>
      </c>
      <c r="BT77" s="193" t="s">
        <v>493</v>
      </c>
      <c r="BU77" s="134"/>
      <c r="BV77" s="193">
        <v>130</v>
      </c>
      <c r="BW77" s="193">
        <v>90</v>
      </c>
      <c r="BX77" s="134"/>
      <c r="BY77" s="179">
        <v>29</v>
      </c>
      <c r="BZ77" s="193" t="s">
        <v>493</v>
      </c>
      <c r="CA77" s="134"/>
      <c r="CB77" s="134"/>
      <c r="CC77" s="134"/>
      <c r="CD77" s="193">
        <v>20</v>
      </c>
      <c r="CE77" s="193">
        <v>0.01</v>
      </c>
      <c r="CF77" s="193" t="s">
        <v>493</v>
      </c>
      <c r="CG77" s="134"/>
      <c r="CH77" s="193">
        <v>10</v>
      </c>
      <c r="CI77" s="193">
        <v>0.01</v>
      </c>
      <c r="CJ77" s="193" t="s">
        <v>493</v>
      </c>
      <c r="CK77" s="134"/>
      <c r="CL77" s="193" t="s">
        <v>493</v>
      </c>
      <c r="CM77" s="193">
        <v>0.01</v>
      </c>
      <c r="CN77" s="193" t="s">
        <v>493</v>
      </c>
      <c r="CO77" s="193">
        <v>50</v>
      </c>
      <c r="CP77" s="193"/>
      <c r="CQ77" s="347" t="s">
        <v>494</v>
      </c>
      <c r="CR77" s="347" t="s">
        <v>495</v>
      </c>
      <c r="CS77" s="193">
        <v>74</v>
      </c>
      <c r="CT77" s="193" t="s">
        <v>493</v>
      </c>
      <c r="CU77" s="193"/>
      <c r="CV77" s="134"/>
      <c r="CW77" s="134"/>
      <c r="CX77" s="134"/>
      <c r="CY77" s="193" t="s">
        <v>499</v>
      </c>
      <c r="CZ77" s="193"/>
      <c r="DA77" s="193"/>
      <c r="DB77" s="193" t="s">
        <v>491</v>
      </c>
      <c r="DC77" s="348">
        <v>2</v>
      </c>
      <c r="DD77" s="134"/>
      <c r="DE77" s="193">
        <v>1</v>
      </c>
      <c r="DF77" s="134"/>
      <c r="DG77" s="193">
        <v>74</v>
      </c>
      <c r="DH77" s="193" t="s">
        <v>493</v>
      </c>
      <c r="DI77" s="193" t="s">
        <v>491</v>
      </c>
      <c r="DJ77" s="193">
        <v>4</v>
      </c>
      <c r="DK77" s="193">
        <v>12</v>
      </c>
      <c r="DL77" s="193"/>
      <c r="DM77" s="193">
        <v>5</v>
      </c>
      <c r="DN77" s="193" t="s">
        <v>493</v>
      </c>
      <c r="DO77" s="134"/>
      <c r="DP77" s="134"/>
      <c r="DQ77" s="134"/>
      <c r="DR77" s="134"/>
      <c r="DS77" s="134"/>
      <c r="DT77" s="134"/>
      <c r="DU77" s="134"/>
      <c r="DV77" s="134"/>
      <c r="DW77" s="134"/>
      <c r="DX77" s="134"/>
      <c r="DY77" s="134"/>
      <c r="DZ77" s="134"/>
      <c r="EA77" s="134"/>
      <c r="EB77" s="134"/>
      <c r="EC77" s="134"/>
      <c r="ED77" s="134"/>
      <c r="EE77" s="134"/>
      <c r="EF77" s="134"/>
      <c r="EG77" s="134"/>
      <c r="EH77" s="134"/>
      <c r="EI77" s="134"/>
      <c r="EJ77" s="134"/>
      <c r="EK77" s="134"/>
      <c r="EL77" s="134"/>
      <c r="EM77" s="134"/>
      <c r="EN77" s="134"/>
      <c r="EO77" s="134"/>
      <c r="EP77" s="134"/>
      <c r="EQ77" s="134"/>
      <c r="ER77" s="134"/>
      <c r="ES77" s="134"/>
      <c r="ET77" s="134"/>
    </row>
    <row r="78" spans="1:150" s="136" customFormat="1" ht="12.95" customHeight="1">
      <c r="A78" s="514" t="s">
        <v>291</v>
      </c>
      <c r="B78" s="519" t="s">
        <v>368</v>
      </c>
      <c r="C78" s="519" t="s">
        <v>368</v>
      </c>
      <c r="D78" s="520" t="s">
        <v>368</v>
      </c>
      <c r="E78" s="520"/>
      <c r="F78" s="524"/>
      <c r="G78" s="523"/>
      <c r="H78" s="513"/>
      <c r="I78" s="513"/>
      <c r="J78" s="513"/>
      <c r="K78" s="513"/>
      <c r="L78" s="513"/>
      <c r="M78" s="513"/>
      <c r="N78" s="513"/>
      <c r="O78" s="515" t="s">
        <v>362</v>
      </c>
      <c r="P78" s="515" t="s">
        <v>366</v>
      </c>
      <c r="Q78" s="515"/>
      <c r="R78" s="515"/>
      <c r="S78" s="515"/>
      <c r="T78" s="515" t="s">
        <v>368</v>
      </c>
      <c r="U78" s="515"/>
      <c r="V78" s="515">
        <v>0</v>
      </c>
      <c r="W78" s="515">
        <v>74</v>
      </c>
      <c r="X78" s="515" t="s">
        <v>1085</v>
      </c>
      <c r="Y78" s="515">
        <v>74</v>
      </c>
      <c r="Z78" s="515">
        <v>70</v>
      </c>
      <c r="AA78" s="515">
        <v>82</v>
      </c>
      <c r="AB78" s="515">
        <v>65</v>
      </c>
      <c r="AC78" s="521"/>
      <c r="AD78" s="521">
        <v>55</v>
      </c>
      <c r="AE78" s="521">
        <v>90</v>
      </c>
      <c r="AF78" s="515">
        <v>74</v>
      </c>
      <c r="AG78" s="518" t="s">
        <v>491</v>
      </c>
      <c r="AH78" s="521">
        <v>74</v>
      </c>
      <c r="AI78" s="521">
        <v>0</v>
      </c>
      <c r="AJ78" s="515">
        <v>0</v>
      </c>
      <c r="AK78" s="515" t="s">
        <v>491</v>
      </c>
      <c r="AL78" s="515" t="s">
        <v>492</v>
      </c>
      <c r="AM78" s="515">
        <v>0</v>
      </c>
      <c r="AN78" s="518" t="s">
        <v>1258</v>
      </c>
      <c r="AO78" s="517">
        <v>0</v>
      </c>
      <c r="AP78" s="517">
        <v>100</v>
      </c>
      <c r="AQ78" s="515" t="s">
        <v>492</v>
      </c>
      <c r="AR78" s="515" t="s">
        <v>492</v>
      </c>
      <c r="AS78" s="521">
        <v>20</v>
      </c>
      <c r="AT78" s="521">
        <v>10</v>
      </c>
      <c r="AU78" s="521">
        <v>20</v>
      </c>
      <c r="AV78" s="515" t="s">
        <v>504</v>
      </c>
      <c r="AW78" s="521">
        <v>30</v>
      </c>
      <c r="AX78" s="515">
        <v>220</v>
      </c>
      <c r="AY78" s="521">
        <v>2200</v>
      </c>
      <c r="AZ78" s="515">
        <v>220</v>
      </c>
      <c r="BA78" s="521">
        <v>2200</v>
      </c>
      <c r="BB78" s="521">
        <v>0</v>
      </c>
      <c r="BC78" s="515">
        <v>1</v>
      </c>
      <c r="BD78" s="515">
        <v>0</v>
      </c>
      <c r="BE78" s="515">
        <v>0</v>
      </c>
      <c r="BF78" s="515">
        <v>0</v>
      </c>
      <c r="BG78" s="521"/>
      <c r="BH78" s="515" t="s">
        <v>492</v>
      </c>
      <c r="BI78" s="515" t="s">
        <v>492</v>
      </c>
      <c r="BJ78" s="515" t="s">
        <v>492</v>
      </c>
      <c r="BK78" s="515" t="s">
        <v>492</v>
      </c>
      <c r="BL78" s="515" t="s">
        <v>492</v>
      </c>
      <c r="BM78" s="515" t="s">
        <v>492</v>
      </c>
      <c r="BN78" s="521"/>
      <c r="BO78" s="521">
        <v>0</v>
      </c>
      <c r="BP78" s="521">
        <v>0</v>
      </c>
      <c r="BQ78" s="521"/>
      <c r="BR78" s="521">
        <v>95</v>
      </c>
      <c r="BS78" s="521">
        <v>0</v>
      </c>
      <c r="BT78" s="521">
        <v>0</v>
      </c>
      <c r="BU78" s="521"/>
      <c r="BV78" s="521">
        <v>0</v>
      </c>
      <c r="BW78" s="521">
        <v>90</v>
      </c>
      <c r="BX78" s="521"/>
      <c r="BY78" s="525">
        <v>0</v>
      </c>
      <c r="BZ78" s="515">
        <v>0</v>
      </c>
      <c r="CA78" s="515">
        <v>0</v>
      </c>
      <c r="CB78" s="515"/>
      <c r="CC78" s="515"/>
      <c r="CD78" s="515">
        <v>20</v>
      </c>
      <c r="CE78" s="515">
        <v>0.01</v>
      </c>
      <c r="CF78" s="515">
        <v>0</v>
      </c>
      <c r="CG78" s="515"/>
      <c r="CH78" s="521">
        <v>10</v>
      </c>
      <c r="CI78" s="521">
        <v>0.01</v>
      </c>
      <c r="CJ78" s="515">
        <v>0</v>
      </c>
      <c r="CK78" s="515"/>
      <c r="CL78" s="515">
        <v>0</v>
      </c>
      <c r="CM78" s="515">
        <v>0.01</v>
      </c>
      <c r="CN78" s="515">
        <v>0</v>
      </c>
      <c r="CO78" s="515">
        <v>50</v>
      </c>
      <c r="CP78" s="515">
        <v>0</v>
      </c>
      <c r="CQ78" s="515">
        <v>220</v>
      </c>
      <c r="CR78" s="515">
        <v>2200</v>
      </c>
      <c r="CS78" s="515">
        <v>74</v>
      </c>
      <c r="CT78" s="515">
        <v>0</v>
      </c>
      <c r="CU78" s="515">
        <v>0</v>
      </c>
      <c r="CV78" s="515">
        <v>0</v>
      </c>
      <c r="CW78" s="515">
        <v>90</v>
      </c>
      <c r="CX78" s="515">
        <v>10</v>
      </c>
      <c r="CY78" s="515"/>
      <c r="CZ78" s="515">
        <v>5.2</v>
      </c>
      <c r="DA78" s="515">
        <v>10</v>
      </c>
      <c r="DB78" s="515"/>
      <c r="DC78" s="522" t="s">
        <v>496</v>
      </c>
      <c r="DD78" s="521">
        <v>10</v>
      </c>
      <c r="DE78" s="521">
        <v>1</v>
      </c>
      <c r="DF78" s="515"/>
      <c r="DG78" s="515">
        <v>74</v>
      </c>
      <c r="DH78" s="521">
        <v>0</v>
      </c>
      <c r="DI78" s="515" t="s">
        <v>491</v>
      </c>
      <c r="DJ78" s="521">
        <v>4</v>
      </c>
      <c r="DK78" s="515">
        <v>12</v>
      </c>
      <c r="DL78" s="521">
        <v>1</v>
      </c>
      <c r="DM78" s="515">
        <v>5</v>
      </c>
      <c r="DN78" s="521">
        <v>0</v>
      </c>
      <c r="DO78" s="515"/>
      <c r="DP78" s="515"/>
      <c r="DQ78" s="515"/>
      <c r="DR78" s="515"/>
      <c r="DS78" s="515"/>
      <c r="DT78" s="515"/>
      <c r="DU78" s="515"/>
      <c r="DV78" s="515"/>
      <c r="DW78" s="515"/>
      <c r="DX78" s="515"/>
      <c r="DY78" s="515"/>
      <c r="DZ78" s="515"/>
      <c r="EA78" s="515"/>
      <c r="EB78" s="515"/>
      <c r="EC78" s="515"/>
      <c r="ED78" s="515"/>
      <c r="EE78" s="515"/>
      <c r="EF78" s="515"/>
      <c r="EG78" s="515"/>
      <c r="EH78" s="515"/>
      <c r="EI78" s="515"/>
      <c r="EJ78" s="515"/>
      <c r="EK78" s="515"/>
      <c r="EL78" s="515"/>
      <c r="EM78" s="515"/>
      <c r="EN78" s="515"/>
      <c r="EO78" s="515"/>
      <c r="EP78" s="515"/>
      <c r="EQ78" s="515"/>
      <c r="ER78" s="516"/>
      <c r="ES78" s="516"/>
      <c r="ET78" s="516"/>
    </row>
    <row r="79" spans="1:150" s="154" customFormat="1">
      <c r="A79" s="366" t="s">
        <v>264</v>
      </c>
      <c r="B79" s="343" t="s">
        <v>368</v>
      </c>
      <c r="C79" s="343" t="s">
        <v>368</v>
      </c>
      <c r="D79" s="354" t="s">
        <v>368</v>
      </c>
      <c r="E79" s="190"/>
      <c r="F79" s="190"/>
      <c r="G79" s="190"/>
      <c r="H79" s="190"/>
      <c r="I79"/>
      <c r="K79" s="190" t="s">
        <v>487</v>
      </c>
      <c r="L79" s="190"/>
      <c r="M79"/>
      <c r="N79" s="190"/>
      <c r="O79" s="190" t="s">
        <v>362</v>
      </c>
      <c r="P79"/>
      <c r="Q79"/>
      <c r="R79"/>
      <c r="S79"/>
      <c r="T79"/>
      <c r="U79"/>
      <c r="V79" s="190" t="s">
        <v>493</v>
      </c>
      <c r="W79" s="190" t="s">
        <v>493</v>
      </c>
      <c r="X79" s="190" t="s">
        <v>1085</v>
      </c>
      <c r="Y79" s="190" t="s">
        <v>493</v>
      </c>
      <c r="Z79" s="190" t="s">
        <v>493</v>
      </c>
      <c r="AA79" s="190" t="s">
        <v>493</v>
      </c>
      <c r="AB79" s="190" t="s">
        <v>493</v>
      </c>
      <c r="AC79"/>
      <c r="AD79" s="190" t="s">
        <v>493</v>
      </c>
      <c r="AE79" s="190" t="s">
        <v>493</v>
      </c>
      <c r="AF79" s="190" t="s">
        <v>493</v>
      </c>
      <c r="AG79" s="190" t="s">
        <v>491</v>
      </c>
      <c r="AH79" s="190" t="s">
        <v>493</v>
      </c>
      <c r="AI79"/>
      <c r="AJ79"/>
      <c r="AK79" s="190" t="s">
        <v>491</v>
      </c>
      <c r="AL79" s="190" t="s">
        <v>492</v>
      </c>
      <c r="AM79" s="190" t="s">
        <v>493</v>
      </c>
      <c r="AN79" s="190" t="s">
        <v>504</v>
      </c>
      <c r="AO79"/>
      <c r="AP79"/>
      <c r="AQ79" s="190" t="s">
        <v>492</v>
      </c>
      <c r="AR79" s="190" t="s">
        <v>492</v>
      </c>
      <c r="AS79"/>
      <c r="AT79"/>
      <c r="AU79"/>
      <c r="AV79" s="190" t="s">
        <v>504</v>
      </c>
      <c r="AW79"/>
      <c r="AX79"/>
      <c r="AY79"/>
      <c r="AZ79"/>
      <c r="BA79"/>
      <c r="BB79"/>
      <c r="BC79"/>
      <c r="BD79"/>
      <c r="BE79"/>
      <c r="BF79"/>
      <c r="BG79"/>
      <c r="BH79" s="190" t="s">
        <v>492</v>
      </c>
      <c r="BI79" s="190" t="s">
        <v>492</v>
      </c>
      <c r="BJ79" s="190" t="s">
        <v>492</v>
      </c>
      <c r="BK79" s="190" t="s">
        <v>492</v>
      </c>
      <c r="BL79" s="190" t="s">
        <v>492</v>
      </c>
      <c r="BM79" s="190" t="s">
        <v>492</v>
      </c>
      <c r="BN79"/>
      <c r="BO79" s="190" t="s">
        <v>493</v>
      </c>
      <c r="BP79" s="190" t="s">
        <v>493</v>
      </c>
      <c r="BQ79"/>
      <c r="BR79" s="190" t="s">
        <v>493</v>
      </c>
      <c r="BS79" s="190" t="s">
        <v>493</v>
      </c>
      <c r="BT79" s="190" t="s">
        <v>493</v>
      </c>
      <c r="BU79"/>
      <c r="BV79" s="190" t="s">
        <v>493</v>
      </c>
      <c r="BW79" s="190" t="s">
        <v>493</v>
      </c>
      <c r="BX79" s="190" t="s">
        <v>493</v>
      </c>
      <c r="BY79" s="190" t="s">
        <v>493</v>
      </c>
      <c r="BZ79" s="190" t="s">
        <v>493</v>
      </c>
      <c r="CA79" s="190" t="s">
        <v>491</v>
      </c>
      <c r="CB79"/>
      <c r="CC79"/>
      <c r="CD79" s="190" t="s">
        <v>493</v>
      </c>
      <c r="CE79" s="190" t="s">
        <v>493</v>
      </c>
      <c r="CF79" s="190" t="s">
        <v>493</v>
      </c>
      <c r="CG79" s="190" t="s">
        <v>493</v>
      </c>
      <c r="CH79" s="190" t="s">
        <v>493</v>
      </c>
      <c r="CI79" s="190" t="s">
        <v>493</v>
      </c>
      <c r="CJ79" s="190" t="s">
        <v>493</v>
      </c>
      <c r="CK79" s="190" t="s">
        <v>493</v>
      </c>
      <c r="CL79"/>
      <c r="CM79"/>
      <c r="CN79"/>
      <c r="CO79"/>
      <c r="CP79"/>
      <c r="CQ79"/>
      <c r="CR79"/>
      <c r="CS79" s="190" t="s">
        <v>493</v>
      </c>
      <c r="CT79" s="190" t="s">
        <v>493</v>
      </c>
      <c r="CU79" s="190" t="s">
        <v>493</v>
      </c>
      <c r="CV79"/>
      <c r="CW79"/>
      <c r="CX79"/>
      <c r="CY79" s="190" t="s">
        <v>493</v>
      </c>
      <c r="CZ79" s="190" t="s">
        <v>493</v>
      </c>
      <c r="DA79" s="190" t="s">
        <v>493</v>
      </c>
      <c r="DB79"/>
      <c r="DC79"/>
      <c r="DD79"/>
      <c r="DE79" s="190" t="s">
        <v>493</v>
      </c>
      <c r="DF79"/>
      <c r="DG79" s="190" t="s">
        <v>493</v>
      </c>
      <c r="DH79"/>
      <c r="DI79"/>
      <c r="DJ79"/>
      <c r="DK79" s="190" t="s">
        <v>493</v>
      </c>
      <c r="DL79"/>
      <c r="DM79" s="190" t="s">
        <v>493</v>
      </c>
      <c r="DN79" s="190" t="s">
        <v>493</v>
      </c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</row>
    <row r="80" spans="1:150" ht="12.95" customHeight="1">
      <c r="A80" s="130">
        <v>701</v>
      </c>
      <c r="B80" s="174" t="s">
        <v>368</v>
      </c>
      <c r="C80" s="174" t="s">
        <v>368</v>
      </c>
      <c r="D80" s="175" t="s">
        <v>368</v>
      </c>
      <c r="E80" s="175"/>
      <c r="F80" s="218"/>
      <c r="G80" s="215"/>
      <c r="H80" s="31"/>
      <c r="I80" s="31"/>
      <c r="J80" s="31"/>
      <c r="K80" s="31"/>
      <c r="L80" s="31"/>
      <c r="M80" s="31"/>
      <c r="N80" s="185" t="s">
        <v>55</v>
      </c>
      <c r="O80" s="177" t="s">
        <v>362</v>
      </c>
      <c r="P80" s="177" t="s">
        <v>366</v>
      </c>
      <c r="Q80" s="131"/>
      <c r="R80" s="131"/>
      <c r="S80" s="131"/>
      <c r="T80" s="177" t="s">
        <v>366</v>
      </c>
      <c r="U80" s="131"/>
      <c r="V80" s="131"/>
      <c r="W80" s="131"/>
      <c r="X80" s="131"/>
      <c r="Y80" s="131"/>
      <c r="Z80" s="131"/>
      <c r="AA80" s="131"/>
      <c r="AB80" s="131"/>
      <c r="AC80" s="177" t="s">
        <v>1121</v>
      </c>
      <c r="AD80" s="177" t="s">
        <v>1122</v>
      </c>
      <c r="AE80" s="177" t="s">
        <v>506</v>
      </c>
      <c r="AF80" s="131"/>
      <c r="AG80" s="135" t="s">
        <v>492</v>
      </c>
      <c r="AH80" s="177" t="s">
        <v>492</v>
      </c>
      <c r="AI80" s="177" t="s">
        <v>492</v>
      </c>
      <c r="AJ80" s="131"/>
      <c r="AK80" s="177" t="s">
        <v>492</v>
      </c>
      <c r="AL80" s="131"/>
      <c r="AM80" s="131"/>
      <c r="AN80" s="135">
        <v>10</v>
      </c>
      <c r="AO80" s="135">
        <v>10</v>
      </c>
      <c r="AP80" s="135">
        <v>1</v>
      </c>
      <c r="AQ80" s="131"/>
      <c r="AR80" s="131" t="s">
        <v>1001</v>
      </c>
      <c r="AS80" s="177" t="s">
        <v>1124</v>
      </c>
      <c r="AT80" s="177" t="s">
        <v>1125</v>
      </c>
      <c r="AU80" s="177" t="s">
        <v>491</v>
      </c>
      <c r="AV80" s="131"/>
      <c r="AW80" s="177" t="s">
        <v>493</v>
      </c>
      <c r="AX80" s="131"/>
      <c r="AY80" s="177" t="s">
        <v>1126</v>
      </c>
      <c r="AZ80" s="131"/>
      <c r="BA80" s="177" t="s">
        <v>1125</v>
      </c>
      <c r="BB80" s="177" t="s">
        <v>1088</v>
      </c>
      <c r="BC80" s="131"/>
      <c r="BD80" s="131"/>
      <c r="BE80" s="131"/>
      <c r="BF80" s="131"/>
      <c r="BG80" s="177" t="s">
        <v>493</v>
      </c>
      <c r="BH80" s="131"/>
      <c r="BI80" s="177" t="s">
        <v>1127</v>
      </c>
      <c r="BJ80" s="131"/>
      <c r="BK80" s="177" t="s">
        <v>505</v>
      </c>
      <c r="BL80" s="177" t="s">
        <v>492</v>
      </c>
      <c r="BM80" s="177" t="s">
        <v>492</v>
      </c>
      <c r="BN80" s="177" t="s">
        <v>492</v>
      </c>
      <c r="BO80" s="177" t="s">
        <v>492</v>
      </c>
      <c r="BP80" s="177" t="s">
        <v>1128</v>
      </c>
      <c r="BQ80" s="177" t="s">
        <v>492</v>
      </c>
      <c r="BR80" s="177" t="s">
        <v>1129</v>
      </c>
      <c r="BS80" s="177" t="s">
        <v>1104</v>
      </c>
      <c r="BT80" s="177" t="s">
        <v>1130</v>
      </c>
      <c r="BU80" s="177" t="s">
        <v>1131</v>
      </c>
      <c r="BV80" s="177" t="s">
        <v>1132</v>
      </c>
      <c r="BW80" s="177" t="s">
        <v>1133</v>
      </c>
      <c r="BX80" s="177" t="s">
        <v>1134</v>
      </c>
      <c r="BY80" s="232"/>
      <c r="BZ80" s="131"/>
      <c r="CA80" s="131"/>
      <c r="CB80" s="131"/>
      <c r="CC80" s="131"/>
      <c r="CD80" s="131"/>
      <c r="CE80" s="131"/>
      <c r="CF80" s="131"/>
      <c r="CG80" s="131"/>
      <c r="CH80" s="177" t="s">
        <v>1135</v>
      </c>
      <c r="CI80" s="177" t="s">
        <v>493</v>
      </c>
      <c r="CJ80" s="131"/>
      <c r="CK80" s="131"/>
      <c r="CL80" s="131"/>
      <c r="CM80" s="131"/>
      <c r="CN80" s="131"/>
      <c r="CO80" s="131"/>
      <c r="CP80" s="131"/>
      <c r="CQ80" s="131"/>
      <c r="CR80" s="131"/>
      <c r="CS80" s="131"/>
      <c r="CT80" s="131"/>
      <c r="CU80" s="131"/>
      <c r="CV80" s="131"/>
      <c r="CW80" s="131"/>
      <c r="CX80" s="131"/>
      <c r="CY80" s="131"/>
      <c r="CZ80" s="131"/>
      <c r="DA80" s="131"/>
      <c r="DB80" s="131"/>
      <c r="DC80" s="214"/>
      <c r="DD80" s="177" t="s">
        <v>492</v>
      </c>
      <c r="DE80" s="177" t="s">
        <v>1136</v>
      </c>
      <c r="DF80" s="131"/>
      <c r="DG80" s="131"/>
      <c r="DH80" s="177" t="s">
        <v>990</v>
      </c>
      <c r="DI80" s="131"/>
      <c r="DJ80" s="177" t="s">
        <v>1137</v>
      </c>
      <c r="DK80" s="131"/>
      <c r="DL80" s="177" t="s">
        <v>492</v>
      </c>
      <c r="DM80" s="131"/>
      <c r="DN80" s="177" t="s">
        <v>493</v>
      </c>
      <c r="DO80" s="131"/>
      <c r="DP80" s="131"/>
      <c r="DQ80" s="131"/>
      <c r="DR80" s="131"/>
      <c r="DS80" s="131"/>
      <c r="DT80" s="131"/>
      <c r="DU80" s="131"/>
      <c r="DV80" s="131"/>
      <c r="DW80" s="131"/>
      <c r="DX80" s="131"/>
      <c r="DY80" s="131"/>
      <c r="DZ80" s="131"/>
      <c r="EA80" s="131"/>
      <c r="EB80" s="131"/>
      <c r="EC80" s="131"/>
      <c r="ED80" s="131"/>
      <c r="EE80" s="131"/>
      <c r="EF80" s="131"/>
      <c r="EG80" s="131"/>
      <c r="EH80" s="131"/>
      <c r="EI80" s="131"/>
      <c r="EJ80" s="131"/>
      <c r="EK80" s="131"/>
      <c r="EL80" s="131"/>
      <c r="EM80" s="131"/>
      <c r="EN80" s="131"/>
      <c r="EO80" s="131"/>
      <c r="EP80" s="131"/>
      <c r="EQ80" s="131"/>
      <c r="ER80" s="132"/>
      <c r="ES80" s="132"/>
      <c r="ET80" s="132"/>
    </row>
    <row r="81" spans="1:150" ht="12.95" customHeight="1">
      <c r="A81" s="130">
        <v>701</v>
      </c>
      <c r="B81" s="174" t="s">
        <v>367</v>
      </c>
      <c r="C81" s="174" t="s">
        <v>368</v>
      </c>
      <c r="D81" s="175" t="s">
        <v>368</v>
      </c>
      <c r="E81" s="175"/>
      <c r="F81" s="218"/>
      <c r="G81" s="215"/>
      <c r="H81" s="31"/>
      <c r="I81" s="31"/>
      <c r="J81" s="31"/>
      <c r="K81" s="31"/>
      <c r="L81" s="31"/>
      <c r="M81" s="31"/>
      <c r="N81" s="31"/>
      <c r="O81" s="177" t="s">
        <v>362</v>
      </c>
      <c r="P81" s="177" t="s">
        <v>366</v>
      </c>
      <c r="Q81" s="131"/>
      <c r="R81" s="131"/>
      <c r="S81" s="131"/>
      <c r="T81" s="177" t="s">
        <v>366</v>
      </c>
      <c r="U81" s="131"/>
      <c r="V81" s="131"/>
      <c r="W81" s="131"/>
      <c r="X81" s="131"/>
      <c r="Y81" s="131"/>
      <c r="Z81" s="131"/>
      <c r="AA81" s="131"/>
      <c r="AB81" s="131"/>
      <c r="AC81" s="177" t="s">
        <v>1121</v>
      </c>
      <c r="AD81" s="177" t="s">
        <v>1122</v>
      </c>
      <c r="AE81" s="177" t="s">
        <v>506</v>
      </c>
      <c r="AF81" s="131"/>
      <c r="AG81" s="135" t="s">
        <v>492</v>
      </c>
      <c r="AH81" s="177" t="s">
        <v>492</v>
      </c>
      <c r="AI81" s="177" t="s">
        <v>492</v>
      </c>
      <c r="AJ81" s="131"/>
      <c r="AK81" s="177" t="s">
        <v>492</v>
      </c>
      <c r="AL81" s="131"/>
      <c r="AM81" s="131"/>
      <c r="AN81" s="135">
        <v>10</v>
      </c>
      <c r="AO81" s="135">
        <v>10</v>
      </c>
      <c r="AP81" s="135">
        <v>1</v>
      </c>
      <c r="AQ81" s="131"/>
      <c r="AR81" s="131" t="s">
        <v>1123</v>
      </c>
      <c r="AS81" s="177" t="s">
        <v>1124</v>
      </c>
      <c r="AT81" s="177" t="s">
        <v>1125</v>
      </c>
      <c r="AU81" s="177" t="s">
        <v>491</v>
      </c>
      <c r="AV81" s="131"/>
      <c r="AW81" s="177" t="s">
        <v>493</v>
      </c>
      <c r="AX81" s="131"/>
      <c r="AY81" s="177" t="s">
        <v>1126</v>
      </c>
      <c r="AZ81" s="131"/>
      <c r="BA81" s="177" t="s">
        <v>1125</v>
      </c>
      <c r="BB81" s="177" t="s">
        <v>1088</v>
      </c>
      <c r="BC81" s="131"/>
      <c r="BD81" s="131"/>
      <c r="BE81" s="131"/>
      <c r="BF81" s="131"/>
      <c r="BG81" s="177" t="s">
        <v>493</v>
      </c>
      <c r="BH81" s="131"/>
      <c r="BI81" s="177" t="s">
        <v>1127</v>
      </c>
      <c r="BJ81" s="131"/>
      <c r="BK81" s="177" t="s">
        <v>505</v>
      </c>
      <c r="BL81" s="177" t="s">
        <v>492</v>
      </c>
      <c r="BM81" s="177" t="s">
        <v>492</v>
      </c>
      <c r="BN81" s="177" t="s">
        <v>492</v>
      </c>
      <c r="BO81" s="177" t="s">
        <v>492</v>
      </c>
      <c r="BP81" s="177" t="s">
        <v>1128</v>
      </c>
      <c r="BQ81" s="177" t="s">
        <v>492</v>
      </c>
      <c r="BR81" s="177" t="s">
        <v>1129</v>
      </c>
      <c r="BS81" s="177" t="s">
        <v>1104</v>
      </c>
      <c r="BT81" s="177" t="s">
        <v>1130</v>
      </c>
      <c r="BU81" s="177" t="s">
        <v>1131</v>
      </c>
      <c r="BV81" s="177" t="s">
        <v>1132</v>
      </c>
      <c r="BW81" s="177" t="s">
        <v>1133</v>
      </c>
      <c r="BX81" s="177" t="s">
        <v>1134</v>
      </c>
      <c r="BY81" s="232"/>
      <c r="BZ81" s="131"/>
      <c r="CA81" s="131"/>
      <c r="CB81" s="131"/>
      <c r="CC81" s="131"/>
      <c r="CD81" s="131"/>
      <c r="CE81" s="131"/>
      <c r="CF81" s="131"/>
      <c r="CG81" s="131"/>
      <c r="CH81" s="177" t="s">
        <v>1135</v>
      </c>
      <c r="CI81" s="177" t="s">
        <v>493</v>
      </c>
      <c r="CJ81" s="131"/>
      <c r="CK81" s="131"/>
      <c r="CL81" s="131"/>
      <c r="CM81" s="131"/>
      <c r="CN81" s="131"/>
      <c r="CO81" s="131"/>
      <c r="CP81" s="131"/>
      <c r="CQ81" s="131"/>
      <c r="CR81" s="131"/>
      <c r="CS81" s="131"/>
      <c r="CT81" s="131"/>
      <c r="CU81" s="131"/>
      <c r="CV81" s="131"/>
      <c r="CW81" s="131"/>
      <c r="CX81" s="131"/>
      <c r="CY81" s="131"/>
      <c r="CZ81" s="131"/>
      <c r="DA81" s="131"/>
      <c r="DB81" s="131"/>
      <c r="DC81" s="214"/>
      <c r="DD81" s="177" t="s">
        <v>492</v>
      </c>
      <c r="DE81" s="177" t="s">
        <v>1136</v>
      </c>
      <c r="DF81" s="131"/>
      <c r="DG81" s="131"/>
      <c r="DH81" s="177" t="s">
        <v>990</v>
      </c>
      <c r="DI81" s="131"/>
      <c r="DJ81" s="177" t="s">
        <v>1137</v>
      </c>
      <c r="DK81" s="131"/>
      <c r="DL81" s="177" t="s">
        <v>492</v>
      </c>
      <c r="DM81" s="131"/>
      <c r="DN81" s="177" t="s">
        <v>493</v>
      </c>
      <c r="DO81" s="131"/>
      <c r="DP81" s="131"/>
      <c r="DQ81" s="131"/>
      <c r="DR81" s="131"/>
      <c r="DS81" s="131"/>
      <c r="DT81" s="131"/>
      <c r="DU81" s="131"/>
      <c r="DV81" s="131"/>
      <c r="DW81" s="131"/>
      <c r="DX81" s="131"/>
      <c r="DY81" s="131"/>
      <c r="DZ81" s="131"/>
      <c r="EA81" s="131"/>
      <c r="EB81" s="131"/>
      <c r="EC81" s="131"/>
      <c r="ED81" s="131"/>
      <c r="EE81" s="131"/>
      <c r="EF81" s="131"/>
      <c r="EG81" s="131"/>
      <c r="EH81" s="131"/>
      <c r="EI81" s="131"/>
      <c r="EJ81" s="131"/>
      <c r="EK81" s="131"/>
      <c r="EL81" s="131"/>
      <c r="EM81" s="131"/>
      <c r="EN81" s="131"/>
      <c r="EO81" s="131"/>
      <c r="EP81" s="131"/>
      <c r="EQ81" s="131"/>
      <c r="ER81" s="132"/>
      <c r="ES81" s="132"/>
      <c r="ET81" s="132"/>
    </row>
    <row r="82" spans="1:150" s="154" customFormat="1">
      <c r="A82" s="128" t="s">
        <v>1255</v>
      </c>
      <c r="B82" s="220" t="s">
        <v>368</v>
      </c>
      <c r="C82" s="220" t="s">
        <v>368</v>
      </c>
      <c r="D82" s="502" t="s">
        <v>368</v>
      </c>
      <c r="E82" s="502"/>
      <c r="F82" s="509"/>
      <c r="G82" s="509"/>
      <c r="H82" s="141"/>
      <c r="I82" s="141"/>
      <c r="J82" s="141"/>
      <c r="K82" s="141"/>
      <c r="L82" s="141"/>
      <c r="M82" s="141"/>
      <c r="N82" s="141"/>
      <c r="O82" s="501" t="s">
        <v>362</v>
      </c>
      <c r="P82" s="501" t="s">
        <v>366</v>
      </c>
      <c r="Q82" s="354"/>
      <c r="R82" s="354"/>
      <c r="S82" s="354"/>
      <c r="T82" s="501" t="s">
        <v>366</v>
      </c>
      <c r="U82" s="354"/>
      <c r="V82" s="354"/>
      <c r="W82" s="501"/>
      <c r="X82" s="354"/>
      <c r="Y82" s="501"/>
      <c r="Z82" s="354"/>
      <c r="AA82" s="501"/>
      <c r="AB82" s="354"/>
      <c r="AC82" s="354"/>
      <c r="AD82" s="179">
        <v>68</v>
      </c>
      <c r="AE82" s="179">
        <v>74</v>
      </c>
      <c r="AF82" s="501"/>
      <c r="AG82" s="354" t="s">
        <v>1092</v>
      </c>
      <c r="AH82" s="501"/>
      <c r="AI82" s="354"/>
      <c r="AJ82" s="179"/>
      <c r="AK82" s="501"/>
      <c r="AL82" s="501"/>
      <c r="AM82" s="501"/>
      <c r="AN82" s="501"/>
      <c r="AO82" s="354"/>
      <c r="AP82" s="354"/>
      <c r="AQ82" s="501"/>
      <c r="AR82" s="501"/>
      <c r="AS82" s="354"/>
      <c r="AT82" s="354"/>
      <c r="AU82" s="354"/>
      <c r="AV82" s="501"/>
      <c r="AW82" s="354"/>
      <c r="AX82" s="193"/>
      <c r="AY82" s="193"/>
      <c r="AZ82" s="193"/>
      <c r="BA82" s="193"/>
      <c r="BB82" s="501"/>
      <c r="BC82" s="501"/>
      <c r="BD82" s="501"/>
      <c r="BE82" s="501"/>
      <c r="BF82" s="501"/>
      <c r="BG82" s="354"/>
      <c r="BH82" s="501"/>
      <c r="BI82" s="501"/>
      <c r="BJ82" s="501"/>
      <c r="BK82" s="501"/>
      <c r="BL82" s="501"/>
      <c r="BM82" s="501"/>
      <c r="BN82" s="354"/>
      <c r="BO82" s="501"/>
      <c r="BP82" s="501"/>
      <c r="BQ82" s="354"/>
      <c r="BR82" s="501"/>
      <c r="BS82" s="501"/>
      <c r="BT82" s="501"/>
      <c r="BU82" s="354"/>
      <c r="BV82" s="501"/>
      <c r="BW82" s="501"/>
      <c r="BX82" s="354"/>
      <c r="BY82" s="179">
        <v>1</v>
      </c>
      <c r="BZ82" s="501"/>
      <c r="CA82" s="354"/>
      <c r="CB82" s="354"/>
      <c r="CC82" s="354"/>
      <c r="CD82" s="501"/>
      <c r="CE82" s="501"/>
      <c r="CF82" s="501"/>
      <c r="CG82" s="501"/>
      <c r="CH82" s="354"/>
      <c r="CI82" s="354"/>
      <c r="CJ82" s="354"/>
      <c r="CK82" s="354"/>
      <c r="CL82" s="501"/>
      <c r="CM82" s="501"/>
      <c r="CN82" s="501"/>
      <c r="CO82" s="501"/>
      <c r="CP82" s="501"/>
      <c r="CQ82" s="501"/>
      <c r="CR82" s="501"/>
      <c r="CS82" s="501"/>
      <c r="CT82" s="501"/>
      <c r="CU82" s="354"/>
      <c r="CV82" s="354"/>
      <c r="CW82" s="354"/>
      <c r="CX82" s="354"/>
      <c r="CY82" s="501"/>
      <c r="CZ82" s="354"/>
      <c r="DA82" s="354"/>
      <c r="DB82" s="501"/>
      <c r="DC82" s="355"/>
      <c r="DD82" s="354"/>
      <c r="DE82" s="354"/>
      <c r="DF82" s="501"/>
      <c r="DG82" s="501"/>
      <c r="DH82" s="501"/>
      <c r="DI82" s="501"/>
      <c r="DJ82" s="501"/>
      <c r="DK82" s="501"/>
      <c r="DL82" s="501"/>
      <c r="DM82" s="501"/>
      <c r="DN82" s="501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134"/>
      <c r="ES82" s="134"/>
      <c r="ET82" s="134"/>
    </row>
    <row r="83" spans="1:150" s="154" customFormat="1">
      <c r="A83" s="128" t="s">
        <v>1231</v>
      </c>
      <c r="B83" s="133" t="s">
        <v>368</v>
      </c>
      <c r="C83" s="133" t="s">
        <v>368</v>
      </c>
      <c r="D83" s="138" t="s">
        <v>368</v>
      </c>
      <c r="E83" s="138"/>
      <c r="F83" s="213"/>
      <c r="G83" s="213"/>
      <c r="H83" s="180"/>
      <c r="I83" s="180"/>
      <c r="J83" s="180"/>
      <c r="K83" s="180"/>
      <c r="L83" s="180"/>
      <c r="M83" s="180"/>
      <c r="N83" s="180"/>
      <c r="O83" s="135" t="s">
        <v>362</v>
      </c>
      <c r="P83" s="135" t="s">
        <v>366</v>
      </c>
      <c r="Q83" s="136"/>
      <c r="R83" s="136"/>
      <c r="S83" s="136"/>
      <c r="T83" s="135" t="s">
        <v>366</v>
      </c>
      <c r="U83" s="136"/>
      <c r="V83" s="136"/>
      <c r="W83" s="135"/>
      <c r="X83" s="135"/>
      <c r="Y83" s="135"/>
      <c r="Z83" s="135"/>
      <c r="AA83" s="135"/>
      <c r="AB83" s="135"/>
      <c r="AC83" s="136"/>
      <c r="AD83" s="179" t="s">
        <v>489</v>
      </c>
      <c r="AE83" s="179" t="s">
        <v>507</v>
      </c>
      <c r="AF83" s="135" t="s">
        <v>488</v>
      </c>
      <c r="AG83" s="135" t="s">
        <v>491</v>
      </c>
      <c r="AH83" s="135"/>
      <c r="AI83" s="135"/>
      <c r="AJ83" s="179"/>
      <c r="AK83" s="135"/>
      <c r="AL83" s="135"/>
      <c r="AM83" s="135"/>
      <c r="AN83" s="135"/>
      <c r="AO83" s="135"/>
      <c r="AP83" s="135"/>
      <c r="AQ83" s="135"/>
      <c r="AR83" s="135"/>
      <c r="AS83" s="136"/>
      <c r="AT83" s="136"/>
      <c r="AU83" s="136"/>
      <c r="AV83" s="135"/>
      <c r="AW83" s="136"/>
      <c r="AX83" s="135"/>
      <c r="AY83" s="135"/>
      <c r="AZ83" s="135"/>
      <c r="BA83" s="135"/>
      <c r="BB83" s="135"/>
      <c r="BC83" s="135"/>
      <c r="BD83" s="135"/>
      <c r="BE83" s="135"/>
      <c r="BF83" s="135"/>
      <c r="BG83" s="136"/>
      <c r="BH83" s="135"/>
      <c r="BI83" s="135"/>
      <c r="BJ83" s="135"/>
      <c r="BK83" s="135"/>
      <c r="BL83" s="135"/>
      <c r="BM83" s="135"/>
      <c r="BN83" s="136"/>
      <c r="BO83" s="135"/>
      <c r="BP83" s="135"/>
      <c r="BQ83" s="136"/>
      <c r="BR83" s="135"/>
      <c r="BS83" s="135"/>
      <c r="BT83" s="135"/>
      <c r="BU83" s="136"/>
      <c r="BV83" s="135"/>
      <c r="BW83" s="135"/>
      <c r="BX83" s="136"/>
      <c r="BY83" s="179">
        <v>13</v>
      </c>
      <c r="BZ83" s="135"/>
      <c r="CA83" s="136"/>
      <c r="CB83" s="136"/>
      <c r="CC83" s="136"/>
      <c r="CD83" s="135"/>
      <c r="CE83" s="135"/>
      <c r="CF83" s="135"/>
      <c r="CG83" s="135"/>
      <c r="CH83" s="135"/>
      <c r="CI83" s="135"/>
      <c r="CJ83" s="135"/>
      <c r="CK83" s="135"/>
      <c r="CL83" s="135"/>
      <c r="CM83" s="135"/>
      <c r="CN83" s="135"/>
      <c r="CO83" s="135"/>
      <c r="CP83" s="135"/>
      <c r="CQ83" s="135"/>
      <c r="CR83" s="135"/>
      <c r="CS83" s="135"/>
      <c r="CT83" s="135"/>
      <c r="CU83" s="135"/>
      <c r="CV83" s="136"/>
      <c r="CW83" s="136"/>
      <c r="CX83" s="136"/>
      <c r="CY83" s="135"/>
      <c r="CZ83" s="135"/>
      <c r="DA83" s="135"/>
      <c r="DB83" s="135"/>
      <c r="DC83" s="217"/>
      <c r="DD83" s="136"/>
      <c r="DE83" s="135"/>
      <c r="DF83" s="135"/>
      <c r="DG83" s="135"/>
      <c r="DH83" s="135"/>
      <c r="DI83" s="135"/>
      <c r="DJ83" s="135"/>
      <c r="DK83" s="135"/>
      <c r="DL83" s="135"/>
      <c r="DM83" s="135"/>
      <c r="DN83" s="135"/>
      <c r="DO83" s="136"/>
      <c r="DP83" s="136"/>
      <c r="DQ83" s="136"/>
      <c r="DR83" s="136"/>
      <c r="DS83" s="136"/>
      <c r="DT83" s="136"/>
      <c r="DU83" s="136"/>
      <c r="DV83" s="136"/>
      <c r="DW83" s="136"/>
      <c r="DX83" s="136"/>
      <c r="DY83" s="136"/>
      <c r="DZ83" s="136"/>
      <c r="EA83" s="136"/>
      <c r="EB83" s="136"/>
      <c r="EC83" s="136"/>
      <c r="ED83" s="136"/>
      <c r="EE83" s="136"/>
      <c r="EF83" s="136"/>
      <c r="EG83" s="136"/>
      <c r="EH83" s="136"/>
      <c r="EI83" s="136"/>
      <c r="EJ83" s="136"/>
      <c r="EK83" s="136"/>
      <c r="EL83" s="136"/>
      <c r="EM83" s="136"/>
      <c r="EN83" s="136"/>
      <c r="EO83" s="136"/>
      <c r="EP83" s="136"/>
      <c r="EQ83" s="136"/>
      <c r="ER83" s="134"/>
      <c r="ES83" s="134"/>
      <c r="ET83" s="134"/>
    </row>
    <row r="84" spans="1:150" s="154" customFormat="1">
      <c r="A84" s="128" t="s">
        <v>1231</v>
      </c>
      <c r="B84" s="133" t="s">
        <v>368</v>
      </c>
      <c r="C84" s="133" t="s">
        <v>368</v>
      </c>
      <c r="D84" s="502" t="s">
        <v>367</v>
      </c>
      <c r="E84" s="138"/>
      <c r="F84" s="213"/>
      <c r="G84" s="213"/>
      <c r="H84" s="180"/>
      <c r="I84" s="180"/>
      <c r="J84" s="180"/>
      <c r="K84" s="180"/>
      <c r="L84" s="180"/>
      <c r="M84" s="180"/>
      <c r="N84" s="180"/>
      <c r="O84" s="135" t="s">
        <v>362</v>
      </c>
      <c r="P84" s="135" t="s">
        <v>366</v>
      </c>
      <c r="Q84" s="136"/>
      <c r="R84" s="136"/>
      <c r="S84" s="136"/>
      <c r="T84" s="135" t="s">
        <v>366</v>
      </c>
      <c r="U84" s="136"/>
      <c r="V84" s="136"/>
      <c r="W84" s="135"/>
      <c r="X84" s="135"/>
      <c r="Y84" s="135"/>
      <c r="Z84" s="135"/>
      <c r="AA84" s="135"/>
      <c r="AB84" s="135"/>
      <c r="AC84" s="136"/>
      <c r="AD84" s="179" t="s">
        <v>489</v>
      </c>
      <c r="AE84" s="179" t="s">
        <v>507</v>
      </c>
      <c r="AF84" s="135" t="s">
        <v>488</v>
      </c>
      <c r="AG84" s="135" t="s">
        <v>491</v>
      </c>
      <c r="AH84" s="135"/>
      <c r="AI84" s="135"/>
      <c r="AJ84" s="179"/>
      <c r="AK84" s="135"/>
      <c r="AL84" s="135"/>
      <c r="AM84" s="135"/>
      <c r="AN84" s="135"/>
      <c r="AO84" s="135"/>
      <c r="AP84" s="135"/>
      <c r="AQ84" s="135"/>
      <c r="AR84" s="135"/>
      <c r="AS84" s="136"/>
      <c r="AT84" s="136"/>
      <c r="AU84" s="136"/>
      <c r="AV84" s="135"/>
      <c r="AW84" s="136"/>
      <c r="AX84" s="135"/>
      <c r="AY84" s="135"/>
      <c r="AZ84" s="135"/>
      <c r="BA84" s="135"/>
      <c r="BB84" s="135"/>
      <c r="BC84" s="135"/>
      <c r="BD84" s="135"/>
      <c r="BE84" s="135"/>
      <c r="BF84" s="135"/>
      <c r="BG84" s="136"/>
      <c r="BH84" s="135"/>
      <c r="BI84" s="135"/>
      <c r="BJ84" s="135"/>
      <c r="BK84" s="135"/>
      <c r="BL84" s="135"/>
      <c r="BM84" s="135"/>
      <c r="BN84" s="136"/>
      <c r="BO84" s="135"/>
      <c r="BP84" s="135"/>
      <c r="BQ84" s="136"/>
      <c r="BR84" s="135"/>
      <c r="BS84" s="135"/>
      <c r="BT84" s="135"/>
      <c r="BU84" s="136"/>
      <c r="BV84" s="135"/>
      <c r="BW84" s="135"/>
      <c r="BX84" s="136"/>
      <c r="BY84" s="179">
        <v>5</v>
      </c>
      <c r="BZ84" s="135"/>
      <c r="CA84" s="136"/>
      <c r="CB84" s="136"/>
      <c r="CC84" s="136"/>
      <c r="CD84" s="135"/>
      <c r="CE84" s="135"/>
      <c r="CF84" s="135"/>
      <c r="CG84" s="135"/>
      <c r="CH84" s="135"/>
      <c r="CI84" s="135"/>
      <c r="CJ84" s="135"/>
      <c r="CK84" s="135"/>
      <c r="CL84" s="135"/>
      <c r="CM84" s="135"/>
      <c r="CN84" s="135"/>
      <c r="CO84" s="135"/>
      <c r="CP84" s="135"/>
      <c r="CQ84" s="135"/>
      <c r="CR84" s="135"/>
      <c r="CS84" s="135"/>
      <c r="CT84" s="135"/>
      <c r="CU84" s="135"/>
      <c r="CV84" s="136"/>
      <c r="CW84" s="136"/>
      <c r="CX84" s="136"/>
      <c r="CY84" s="135"/>
      <c r="CZ84" s="135"/>
      <c r="DA84" s="135"/>
      <c r="DB84" s="135"/>
      <c r="DC84" s="217"/>
      <c r="DD84" s="136"/>
      <c r="DE84" s="135"/>
      <c r="DF84" s="135"/>
      <c r="DG84" s="135"/>
      <c r="DH84" s="135"/>
      <c r="DI84" s="135"/>
      <c r="DJ84" s="135"/>
      <c r="DK84" s="135"/>
      <c r="DL84" s="135"/>
      <c r="DM84" s="135"/>
      <c r="DN84" s="135"/>
      <c r="DO84" s="136"/>
      <c r="DP84" s="136"/>
      <c r="DQ84" s="136"/>
      <c r="DR84" s="136"/>
      <c r="DS84" s="136"/>
      <c r="DT84" s="136"/>
      <c r="DU84" s="136"/>
      <c r="DV84" s="136"/>
      <c r="DW84" s="136"/>
      <c r="DX84" s="136"/>
      <c r="DY84" s="136"/>
      <c r="DZ84" s="136"/>
      <c r="EA84" s="136"/>
      <c r="EB84" s="136"/>
      <c r="EC84" s="136"/>
      <c r="ED84" s="136"/>
      <c r="EE84" s="136"/>
      <c r="EF84" s="136"/>
      <c r="EG84" s="136"/>
      <c r="EH84" s="136"/>
      <c r="EI84" s="136"/>
      <c r="EJ84" s="136"/>
      <c r="EK84" s="136"/>
      <c r="EL84" s="136"/>
      <c r="EM84" s="136"/>
      <c r="EN84" s="136"/>
      <c r="EO84" s="136"/>
      <c r="EP84" s="136"/>
      <c r="EQ84" s="136"/>
      <c r="ER84" s="134"/>
      <c r="ES84" s="134"/>
      <c r="ET84" s="134"/>
    </row>
    <row r="85" spans="1:150">
      <c r="A85" s="510" t="s">
        <v>1256</v>
      </c>
      <c r="B85" s="511" t="s">
        <v>368</v>
      </c>
      <c r="C85" s="511" t="s">
        <v>368</v>
      </c>
      <c r="D85" s="511" t="s">
        <v>368</v>
      </c>
      <c r="E85" s="383"/>
      <c r="F85" s="383"/>
      <c r="G85" s="383"/>
      <c r="H85" s="383"/>
      <c r="I85" s="383"/>
      <c r="J85" s="383"/>
      <c r="L85" s="383"/>
      <c r="M85" s="383"/>
      <c r="N85" s="383"/>
      <c r="O85" s="383" t="s">
        <v>362</v>
      </c>
      <c r="P85" s="383" t="s">
        <v>366</v>
      </c>
      <c r="Q85" s="383" t="s">
        <v>487</v>
      </c>
      <c r="R85" s="383" t="s">
        <v>487</v>
      </c>
      <c r="S85" s="383" t="s">
        <v>487</v>
      </c>
      <c r="T85" s="383" t="s">
        <v>366</v>
      </c>
      <c r="U85" s="383" t="s">
        <v>487</v>
      </c>
      <c r="V85" s="383" t="s">
        <v>487</v>
      </c>
      <c r="W85" s="383"/>
      <c r="X85" s="383"/>
      <c r="Y85" s="383"/>
      <c r="Z85" s="383"/>
      <c r="AA85" s="383"/>
      <c r="AB85" s="383"/>
      <c r="AC85" s="383" t="s">
        <v>487</v>
      </c>
      <c r="AD85" s="383"/>
      <c r="AE85" s="383"/>
      <c r="AF85" s="383"/>
      <c r="AG85" s="383"/>
      <c r="AH85" s="383"/>
      <c r="AI85" s="383"/>
      <c r="AJ85" s="383"/>
      <c r="AK85" s="383"/>
      <c r="AL85" s="383"/>
      <c r="AM85" s="383"/>
      <c r="AN85" s="383"/>
      <c r="AO85" s="383"/>
      <c r="AP85" s="383"/>
      <c r="AQ85" s="383"/>
      <c r="AR85" s="383"/>
      <c r="AS85" s="383"/>
      <c r="AT85" s="383"/>
      <c r="AU85" s="383"/>
      <c r="AV85" s="383"/>
      <c r="AW85" s="383"/>
      <c r="AX85" s="383" t="s">
        <v>1102</v>
      </c>
      <c r="AY85" s="383" t="s">
        <v>1257</v>
      </c>
      <c r="AZ85" s="383" t="s">
        <v>1102</v>
      </c>
      <c r="BA85" s="383" t="s">
        <v>1257</v>
      </c>
      <c r="BB85" s="383"/>
      <c r="BC85" s="383"/>
      <c r="BD85" s="383"/>
      <c r="BE85" s="383"/>
      <c r="BF85" s="383"/>
      <c r="BG85" s="383"/>
      <c r="BH85" s="383"/>
      <c r="BI85" s="383"/>
      <c r="BJ85" s="383"/>
      <c r="BK85" s="383"/>
      <c r="BL85" s="383"/>
      <c r="BM85" s="383"/>
      <c r="BN85" s="383"/>
      <c r="BO85" s="383"/>
      <c r="BP85" s="383"/>
      <c r="BQ85" s="383"/>
      <c r="BR85" s="383"/>
      <c r="BS85" s="383"/>
      <c r="BT85" s="383"/>
      <c r="BU85" s="383"/>
      <c r="BV85" s="383"/>
      <c r="BW85" s="383"/>
      <c r="BX85" s="383"/>
      <c r="BY85" s="512" t="s">
        <v>1107</v>
      </c>
      <c r="BZ85" s="383"/>
      <c r="CA85" s="383"/>
      <c r="CB85" s="383"/>
      <c r="CC85" s="383"/>
      <c r="CD85" s="383"/>
      <c r="CE85" s="383"/>
      <c r="CF85" s="383"/>
      <c r="CG85" s="383"/>
      <c r="CH85" s="383"/>
      <c r="CI85" s="383"/>
      <c r="CJ85" s="383"/>
      <c r="CK85" s="383"/>
      <c r="CL85" s="383"/>
      <c r="CM85" s="383"/>
      <c r="CN85" s="383"/>
      <c r="CO85" s="383"/>
      <c r="CP85" s="383"/>
      <c r="CQ85" s="383"/>
      <c r="CR85" s="383"/>
      <c r="CS85" s="383"/>
      <c r="CT85" s="383"/>
      <c r="CU85" s="383"/>
      <c r="CV85" s="383"/>
      <c r="CW85" s="383"/>
      <c r="CX85" s="383"/>
      <c r="CY85" s="383"/>
      <c r="CZ85" s="383"/>
      <c r="DA85" s="383"/>
      <c r="DB85" s="383"/>
      <c r="DC85" s="383"/>
      <c r="DD85" s="383"/>
      <c r="DE85" s="383"/>
      <c r="DF85" s="383"/>
      <c r="DG85" s="383"/>
      <c r="DH85" s="383"/>
      <c r="DI85" s="383"/>
      <c r="DJ85" s="383"/>
      <c r="DK85" s="383"/>
      <c r="DL85" s="383"/>
      <c r="DM85" s="383"/>
      <c r="DN85" s="383"/>
      <c r="DO85" s="383" t="s">
        <v>487</v>
      </c>
      <c r="DP85" s="383" t="s">
        <v>487</v>
      </c>
      <c r="DQ85" s="383" t="s">
        <v>487</v>
      </c>
      <c r="DR85" s="383" t="s">
        <v>487</v>
      </c>
      <c r="DS85" s="383" t="s">
        <v>487</v>
      </c>
      <c r="DT85" s="383" t="s">
        <v>487</v>
      </c>
      <c r="DU85" s="383" t="s">
        <v>487</v>
      </c>
      <c r="DV85" s="383" t="s">
        <v>487</v>
      </c>
      <c r="DW85" s="383" t="s">
        <v>487</v>
      </c>
      <c r="DX85" s="383" t="s">
        <v>487</v>
      </c>
      <c r="DY85" s="383" t="s">
        <v>487</v>
      </c>
      <c r="DZ85" s="383" t="s">
        <v>487</v>
      </c>
      <c r="EA85" s="383" t="s">
        <v>487</v>
      </c>
      <c r="EB85" s="383" t="s">
        <v>487</v>
      </c>
      <c r="EC85" s="383" t="s">
        <v>487</v>
      </c>
      <c r="ED85" s="383" t="s">
        <v>487</v>
      </c>
      <c r="EE85" s="383" t="s">
        <v>487</v>
      </c>
      <c r="EF85" s="383" t="s">
        <v>487</v>
      </c>
      <c r="EG85" s="383" t="s">
        <v>487</v>
      </c>
      <c r="EH85" s="383" t="s">
        <v>487</v>
      </c>
      <c r="EI85" s="383" t="s">
        <v>487</v>
      </c>
      <c r="EJ85" s="383" t="s">
        <v>487</v>
      </c>
      <c r="EK85" s="383" t="s">
        <v>487</v>
      </c>
      <c r="EL85" s="383" t="s">
        <v>487</v>
      </c>
      <c r="EM85" s="383" t="s">
        <v>487</v>
      </c>
      <c r="EN85" s="383" t="s">
        <v>487</v>
      </c>
      <c r="EO85" s="383" t="s">
        <v>487</v>
      </c>
      <c r="EP85" s="383" t="s">
        <v>487</v>
      </c>
      <c r="EQ85" s="131"/>
      <c r="ER85" s="132"/>
      <c r="ES85" s="132"/>
      <c r="ET85" s="132"/>
    </row>
    <row r="86" spans="1:150">
      <c r="A86" s="364" t="s">
        <v>1254</v>
      </c>
      <c r="B86" s="355" t="s">
        <v>368</v>
      </c>
      <c r="C86" s="355" t="s">
        <v>368</v>
      </c>
      <c r="D86" s="354" t="s">
        <v>368</v>
      </c>
      <c r="E86" s="502" t="s">
        <v>367</v>
      </c>
      <c r="F86" s="141" t="s">
        <v>367</v>
      </c>
      <c r="G86" s="154"/>
      <c r="H86" s="154"/>
      <c r="I86" s="154"/>
      <c r="J86" s="154"/>
      <c r="K86" s="154"/>
      <c r="L86" s="154"/>
      <c r="M86" s="154"/>
      <c r="N86" s="154"/>
      <c r="O86" s="503" t="s">
        <v>362</v>
      </c>
      <c r="P86" s="503" t="s">
        <v>366</v>
      </c>
      <c r="Q86" s="134"/>
      <c r="R86" s="134"/>
      <c r="S86" s="134"/>
      <c r="T86" s="503" t="s">
        <v>366</v>
      </c>
      <c r="U86" s="134"/>
      <c r="AD86" s="232">
        <v>68</v>
      </c>
      <c r="AE86" s="232">
        <v>74</v>
      </c>
      <c r="AG86" t="s">
        <v>1092</v>
      </c>
      <c r="AV86" s="190"/>
      <c r="BY86" s="232">
        <v>15</v>
      </c>
      <c r="EQ86" s="154"/>
      <c r="ER86" s="154"/>
      <c r="ES86" s="154"/>
      <c r="ET86" s="154"/>
    </row>
    <row r="87" spans="1:150">
      <c r="A87" s="504" t="s">
        <v>1254</v>
      </c>
      <c r="B87" s="505" t="s">
        <v>368</v>
      </c>
      <c r="C87" s="505" t="s">
        <v>368</v>
      </c>
      <c r="D87" s="506" t="s">
        <v>368</v>
      </c>
      <c r="E87" s="506" t="s">
        <v>367</v>
      </c>
      <c r="F87" s="507" t="s">
        <v>368</v>
      </c>
      <c r="G87" s="337"/>
      <c r="H87" s="338"/>
      <c r="I87" s="338"/>
      <c r="J87" s="338"/>
      <c r="K87" s="338"/>
      <c r="L87" s="338"/>
      <c r="M87" s="338"/>
      <c r="N87" s="338"/>
      <c r="O87" s="501" t="s">
        <v>362</v>
      </c>
      <c r="P87" s="501" t="s">
        <v>366</v>
      </c>
      <c r="Q87" s="354"/>
      <c r="R87" s="354"/>
      <c r="S87" s="354"/>
      <c r="T87" s="503" t="s">
        <v>366</v>
      </c>
      <c r="U87" s="354"/>
      <c r="V87" s="354"/>
      <c r="W87" s="501"/>
      <c r="X87" s="501"/>
      <c r="Y87" s="501"/>
      <c r="Z87" s="501"/>
      <c r="AA87" s="501"/>
      <c r="AB87" s="501"/>
      <c r="AC87" s="354"/>
      <c r="AD87" s="179">
        <v>68</v>
      </c>
      <c r="AE87" s="179">
        <v>74</v>
      </c>
      <c r="AF87" s="501"/>
      <c r="AG87" s="354" t="s">
        <v>1092</v>
      </c>
      <c r="AH87" s="501"/>
      <c r="AI87" s="354"/>
      <c r="AJ87" s="354"/>
      <c r="AK87" s="501"/>
      <c r="AL87" s="501"/>
      <c r="AM87" s="501"/>
      <c r="AN87" s="501"/>
      <c r="AO87" s="354"/>
      <c r="AP87" s="354"/>
      <c r="AQ87" s="501"/>
      <c r="AR87" s="501"/>
      <c r="AS87" s="354"/>
      <c r="AT87" s="354"/>
      <c r="AU87" s="354"/>
      <c r="AV87" s="501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501"/>
      <c r="BI87" s="501"/>
      <c r="BJ87" s="501"/>
      <c r="BK87" s="501"/>
      <c r="BL87" s="501"/>
      <c r="BM87" s="501"/>
      <c r="BN87" s="354"/>
      <c r="BO87" s="501"/>
      <c r="BP87" s="501"/>
      <c r="BQ87" s="354"/>
      <c r="BR87" s="501"/>
      <c r="BS87" s="501"/>
      <c r="BT87" s="501"/>
      <c r="BU87" s="354"/>
      <c r="BV87" s="501"/>
      <c r="BW87" s="501"/>
      <c r="BX87" s="501"/>
      <c r="BY87" s="179">
        <v>12</v>
      </c>
      <c r="BZ87" s="501"/>
      <c r="CA87" s="354"/>
      <c r="CB87" s="354"/>
      <c r="CC87" s="354"/>
      <c r="CD87" s="501"/>
      <c r="CE87" s="501"/>
      <c r="CF87" s="501"/>
      <c r="CG87" s="501"/>
      <c r="CH87" s="501"/>
      <c r="CI87" s="501"/>
      <c r="CJ87" s="501"/>
      <c r="CK87" s="501"/>
      <c r="CL87" s="354"/>
      <c r="CM87" s="354"/>
      <c r="CN87" s="354"/>
      <c r="CO87" s="354"/>
      <c r="CP87" s="354"/>
      <c r="CQ87" s="354"/>
      <c r="CR87" s="354"/>
      <c r="CS87" s="501"/>
      <c r="CT87" s="501"/>
      <c r="CU87" s="501"/>
      <c r="CV87" s="354"/>
      <c r="CW87" s="354"/>
      <c r="CX87" s="354"/>
      <c r="CY87" s="501"/>
      <c r="CZ87" s="501"/>
      <c r="DA87" s="501"/>
      <c r="DB87" s="354"/>
      <c r="DC87" s="355"/>
      <c r="DD87" s="354"/>
      <c r="DE87" s="501"/>
      <c r="DF87" s="354"/>
      <c r="DG87" s="501"/>
      <c r="DH87" s="354"/>
      <c r="DI87" s="354"/>
      <c r="DJ87" s="354"/>
      <c r="DK87" s="501"/>
      <c r="DL87" s="354"/>
      <c r="DM87" s="501"/>
      <c r="DN87" s="501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134"/>
      <c r="ES87" s="134"/>
      <c r="ET87" s="134"/>
    </row>
    <row r="88" spans="1:150">
      <c r="A88" s="504" t="s">
        <v>1254</v>
      </c>
      <c r="B88" s="505" t="s">
        <v>368</v>
      </c>
      <c r="C88" s="505" t="s">
        <v>368</v>
      </c>
      <c r="D88" s="506" t="s">
        <v>368</v>
      </c>
      <c r="E88" s="506" t="s">
        <v>368</v>
      </c>
      <c r="F88" s="507" t="s">
        <v>367</v>
      </c>
      <c r="G88" s="337"/>
      <c r="H88" s="338"/>
      <c r="I88" s="338"/>
      <c r="J88" s="338"/>
      <c r="K88" s="338"/>
      <c r="L88" s="338"/>
      <c r="M88" s="338"/>
      <c r="N88" s="338"/>
      <c r="O88" s="501" t="s">
        <v>362</v>
      </c>
      <c r="P88" s="501" t="s">
        <v>366</v>
      </c>
      <c r="Q88" s="354"/>
      <c r="R88" s="354"/>
      <c r="S88" s="354"/>
      <c r="T88" s="503" t="s">
        <v>366</v>
      </c>
      <c r="U88" s="354"/>
      <c r="V88" s="354"/>
      <c r="W88" s="501"/>
      <c r="X88" s="501"/>
      <c r="Y88" s="501"/>
      <c r="Z88" s="501"/>
      <c r="AA88" s="501"/>
      <c r="AB88" s="501"/>
      <c r="AC88" s="354"/>
      <c r="AD88" s="179">
        <v>68</v>
      </c>
      <c r="AE88" s="179">
        <v>74</v>
      </c>
      <c r="AF88" s="501"/>
      <c r="AG88" s="354" t="s">
        <v>1092</v>
      </c>
      <c r="AH88" s="501"/>
      <c r="AI88" s="354"/>
      <c r="AJ88" s="354"/>
      <c r="AK88" s="501"/>
      <c r="AL88" s="501"/>
      <c r="AM88" s="501"/>
      <c r="AN88" s="501"/>
      <c r="AO88" s="354"/>
      <c r="AP88" s="354"/>
      <c r="AQ88" s="501"/>
      <c r="AR88" s="501"/>
      <c r="AS88" s="354"/>
      <c r="AT88" s="354"/>
      <c r="AU88" s="354"/>
      <c r="AV88" s="501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501"/>
      <c r="BI88" s="501"/>
      <c r="BJ88" s="501"/>
      <c r="BK88" s="501"/>
      <c r="BL88" s="501"/>
      <c r="BM88" s="501"/>
      <c r="BN88" s="354"/>
      <c r="BO88" s="501"/>
      <c r="BP88" s="501"/>
      <c r="BQ88" s="354"/>
      <c r="BR88" s="501"/>
      <c r="BS88" s="501"/>
      <c r="BT88" s="501"/>
      <c r="BU88" s="354"/>
      <c r="BV88" s="501"/>
      <c r="BW88" s="501"/>
      <c r="BX88" s="501"/>
      <c r="BY88" s="179">
        <v>3</v>
      </c>
      <c r="BZ88" s="501"/>
      <c r="CA88" s="354"/>
      <c r="CB88" s="354"/>
      <c r="CC88" s="354"/>
      <c r="CD88" s="501"/>
      <c r="CE88" s="501"/>
      <c r="CF88" s="501"/>
      <c r="CG88" s="501"/>
      <c r="CH88" s="501"/>
      <c r="CI88" s="501"/>
      <c r="CJ88" s="501"/>
      <c r="CK88" s="501"/>
      <c r="CL88" s="354"/>
      <c r="CM88" s="354"/>
      <c r="CN88" s="354"/>
      <c r="CO88" s="354"/>
      <c r="CP88" s="354"/>
      <c r="CQ88" s="354"/>
      <c r="CR88" s="354"/>
      <c r="CS88" s="501"/>
      <c r="CT88" s="501"/>
      <c r="CU88" s="501"/>
      <c r="CV88" s="354"/>
      <c r="CW88" s="354"/>
      <c r="CX88" s="354"/>
      <c r="CY88" s="501"/>
      <c r="CZ88" s="501"/>
      <c r="DA88" s="501"/>
      <c r="DB88" s="354"/>
      <c r="DC88" s="355"/>
      <c r="DD88" s="354"/>
      <c r="DE88" s="501"/>
      <c r="DF88" s="354"/>
      <c r="DG88" s="501"/>
      <c r="DH88" s="354"/>
      <c r="DI88" s="354"/>
      <c r="DJ88" s="354"/>
      <c r="DK88" s="501"/>
      <c r="DL88" s="354"/>
      <c r="DM88" s="501"/>
      <c r="DN88" s="501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134"/>
      <c r="ES88" s="134"/>
      <c r="ET88" s="134"/>
    </row>
    <row r="89" spans="1:150" ht="13.5" thickBot="1">
      <c r="A89" s="128"/>
      <c r="B89" s="127"/>
      <c r="C89" s="127"/>
      <c r="D89" s="508"/>
      <c r="E89" s="137"/>
      <c r="F89" s="212"/>
      <c r="G89" s="212"/>
      <c r="H89" s="32"/>
      <c r="I89" s="32"/>
      <c r="J89" s="32"/>
      <c r="K89" s="32"/>
      <c r="L89" s="32"/>
      <c r="M89" s="32"/>
      <c r="N89" s="32"/>
      <c r="O89" s="177"/>
      <c r="P89" s="177"/>
      <c r="Q89" s="131"/>
      <c r="R89" s="131"/>
      <c r="S89" s="131"/>
      <c r="T89" s="177"/>
      <c r="U89" s="131"/>
      <c r="V89" s="131"/>
      <c r="W89" s="177"/>
      <c r="X89" s="177"/>
      <c r="Y89" s="177"/>
      <c r="Z89" s="177"/>
      <c r="AA89" s="177"/>
      <c r="AB89" s="177"/>
      <c r="AC89" s="131"/>
      <c r="AD89" s="178"/>
      <c r="AE89" s="178"/>
      <c r="AF89" s="177"/>
      <c r="AG89" s="135"/>
      <c r="AH89" s="177"/>
      <c r="AI89" s="177"/>
      <c r="AJ89" s="178"/>
      <c r="AK89" s="177"/>
      <c r="AL89" s="177"/>
      <c r="AM89" s="177"/>
      <c r="AN89" s="177"/>
      <c r="AO89" s="177"/>
      <c r="AP89" s="177"/>
      <c r="AQ89" s="177"/>
      <c r="AR89" s="177"/>
      <c r="AS89" s="131"/>
      <c r="AT89" s="131"/>
      <c r="AU89" s="131"/>
      <c r="AV89" s="177"/>
      <c r="AW89" s="131"/>
      <c r="AX89" s="177"/>
      <c r="AY89" s="177"/>
      <c r="AZ89" s="177"/>
      <c r="BA89" s="177"/>
      <c r="BB89" s="177"/>
      <c r="BC89" s="177"/>
      <c r="BD89" s="177"/>
      <c r="BE89" s="177"/>
      <c r="BF89" s="177"/>
      <c r="BG89" s="131"/>
      <c r="BH89" s="177"/>
      <c r="BI89" s="177"/>
      <c r="BJ89" s="177"/>
      <c r="BK89" s="177"/>
      <c r="BL89" s="177"/>
      <c r="BM89" s="177"/>
      <c r="BN89" s="131"/>
      <c r="BO89" s="177"/>
      <c r="BP89" s="177"/>
      <c r="BQ89" s="131"/>
      <c r="BR89" s="177"/>
      <c r="BS89" s="177"/>
      <c r="BT89" s="177"/>
      <c r="BU89" s="131"/>
      <c r="BV89" s="177"/>
      <c r="BW89" s="177"/>
      <c r="BX89" s="131"/>
      <c r="BY89" s="178"/>
      <c r="BZ89" s="177"/>
      <c r="CA89" s="131"/>
      <c r="CB89" s="131"/>
      <c r="CC89" s="131"/>
      <c r="CD89" s="177"/>
      <c r="CE89" s="177"/>
      <c r="CF89" s="177"/>
      <c r="CG89" s="177"/>
      <c r="CH89" s="177"/>
      <c r="CI89" s="177"/>
      <c r="CJ89" s="177"/>
      <c r="CK89" s="177"/>
      <c r="CL89" s="177"/>
      <c r="CM89" s="177"/>
      <c r="CN89" s="177"/>
      <c r="CO89" s="177"/>
      <c r="CP89" s="177"/>
      <c r="CQ89" s="177"/>
      <c r="CR89" s="177"/>
      <c r="CS89" s="177"/>
      <c r="CT89" s="177"/>
      <c r="CU89" s="177"/>
      <c r="CV89" s="131"/>
      <c r="CW89" s="131"/>
      <c r="CX89" s="131"/>
      <c r="CY89" s="177"/>
      <c r="CZ89" s="177"/>
      <c r="DA89" s="135"/>
      <c r="DB89" s="177"/>
      <c r="DC89" s="181"/>
      <c r="DD89" s="131"/>
      <c r="DE89" s="177"/>
      <c r="DF89" s="177"/>
      <c r="DG89" s="177"/>
      <c r="DH89" s="177"/>
      <c r="DI89" s="177"/>
      <c r="DJ89" s="177"/>
      <c r="DK89" s="177"/>
      <c r="DL89" s="177"/>
      <c r="DM89" s="177"/>
      <c r="DN89" s="177"/>
      <c r="DO89" s="131"/>
      <c r="DP89" s="131"/>
      <c r="DQ89" s="131"/>
      <c r="DR89" s="131"/>
      <c r="DS89" s="131"/>
      <c r="DT89" s="131"/>
      <c r="DU89" s="131"/>
      <c r="DV89" s="131"/>
      <c r="DW89" s="131"/>
      <c r="DX89" s="131"/>
      <c r="DY89" s="131"/>
      <c r="DZ89" s="131"/>
      <c r="EA89" s="131"/>
      <c r="EB89" s="131"/>
      <c r="EC89" s="131"/>
      <c r="ED89" s="131"/>
      <c r="EE89" s="131"/>
      <c r="EF89" s="131"/>
      <c r="EG89" s="131"/>
      <c r="EH89" s="131"/>
      <c r="EI89" s="131"/>
      <c r="EJ89" s="131"/>
      <c r="EK89" s="131"/>
      <c r="EL89" s="131"/>
      <c r="EM89" s="131"/>
      <c r="EN89" s="131"/>
      <c r="EO89" s="131"/>
      <c r="EP89" s="131"/>
      <c r="EQ89" s="131"/>
      <c r="ER89" s="132"/>
      <c r="ES89" s="132"/>
      <c r="ET89" s="132"/>
    </row>
    <row r="90" spans="1:150" s="154" customFormat="1" ht="18">
      <c r="A90" s="176"/>
      <c r="B90" s="176"/>
      <c r="C90" s="721" t="s">
        <v>41</v>
      </c>
      <c r="D90" s="722"/>
      <c r="E90" s="722"/>
      <c r="F90" s="722"/>
      <c r="G90" s="722"/>
      <c r="H90" s="722"/>
      <c r="I90" s="722"/>
      <c r="J90" s="722"/>
      <c r="K90" s="722"/>
      <c r="L90" s="722"/>
      <c r="M90" s="722"/>
      <c r="N90" s="722"/>
      <c r="O90" s="722"/>
      <c r="P90" s="722"/>
      <c r="Q90" s="723"/>
      <c r="R90" s="176"/>
      <c r="S90" s="176"/>
      <c r="T90" s="176"/>
      <c r="U90" s="176"/>
      <c r="BY90" s="155"/>
    </row>
    <row r="91" spans="1:150" s="154" customFormat="1" ht="18">
      <c r="A91" s="176"/>
      <c r="B91" s="176"/>
      <c r="C91" s="724" t="s">
        <v>42</v>
      </c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5"/>
      <c r="O91" s="725"/>
      <c r="P91" s="725"/>
      <c r="Q91" s="726"/>
      <c r="R91" s="176"/>
      <c r="S91" s="176"/>
      <c r="T91" s="176"/>
      <c r="U91" s="176"/>
      <c r="BY91" s="155"/>
    </row>
    <row r="92" spans="1:150" s="154" customFormat="1" ht="18">
      <c r="A92" s="176"/>
      <c r="B92" s="176"/>
      <c r="C92" s="724" t="s">
        <v>43</v>
      </c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5"/>
      <c r="O92" s="725"/>
      <c r="P92" s="725"/>
      <c r="Q92" s="726"/>
      <c r="R92" s="176"/>
      <c r="S92" s="176"/>
      <c r="T92" s="176"/>
      <c r="U92" s="176"/>
      <c r="BY92" s="155"/>
    </row>
    <row r="93" spans="1:150" s="154" customFormat="1" ht="18">
      <c r="A93" s="176"/>
      <c r="B93" s="176"/>
      <c r="C93" s="724" t="s">
        <v>44</v>
      </c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5"/>
      <c r="O93" s="725"/>
      <c r="P93" s="725"/>
      <c r="Q93" s="726"/>
      <c r="R93" s="176"/>
      <c r="S93" s="176"/>
      <c r="T93" s="176"/>
      <c r="U93" s="176"/>
    </row>
    <row r="94" spans="1:150" s="154" customFormat="1" ht="15.75">
      <c r="A94" s="176"/>
      <c r="B94" s="176"/>
      <c r="C94" s="718" t="s">
        <v>45</v>
      </c>
      <c r="D94" s="719"/>
      <c r="E94" s="719"/>
      <c r="F94" s="719"/>
      <c r="G94" s="719"/>
      <c r="H94" s="719"/>
      <c r="I94" s="719"/>
      <c r="J94" s="719"/>
      <c r="K94" s="719"/>
      <c r="L94" s="719"/>
      <c r="M94" s="719"/>
      <c r="N94" s="719"/>
      <c r="O94" s="719"/>
      <c r="P94" s="719"/>
      <c r="Q94" s="720"/>
      <c r="R94" s="176"/>
      <c r="S94" s="176"/>
      <c r="T94" s="176"/>
      <c r="U94" s="176"/>
    </row>
    <row r="95" spans="1:150" s="154" customFormat="1" ht="40.5" customHeight="1" thickBot="1">
      <c r="A95" s="176"/>
      <c r="B95" s="176"/>
      <c r="C95" s="715" t="s">
        <v>339</v>
      </c>
      <c r="D95" s="716"/>
      <c r="E95" s="716"/>
      <c r="F95" s="716"/>
      <c r="G95" s="716"/>
      <c r="H95" s="716"/>
      <c r="I95" s="716"/>
      <c r="J95" s="716"/>
      <c r="K95" s="716"/>
      <c r="L95" s="716"/>
      <c r="M95" s="716"/>
      <c r="N95" s="716"/>
      <c r="O95" s="716"/>
      <c r="P95" s="716"/>
      <c r="Q95" s="717"/>
      <c r="R95" s="176"/>
      <c r="S95" s="176"/>
      <c r="T95" s="176"/>
      <c r="U95" s="176"/>
    </row>
    <row r="96" spans="1:150" s="154" customFormat="1">
      <c r="A96" s="220"/>
      <c r="B96" s="170"/>
      <c r="C96" s="170"/>
      <c r="E96" s="180"/>
      <c r="F96" s="180"/>
    </row>
    <row r="97" spans="1:118" s="154" customFormat="1">
      <c r="A97" s="170"/>
      <c r="B97" s="170"/>
      <c r="C97" s="170"/>
      <c r="E97" s="180"/>
      <c r="F97" s="180"/>
    </row>
    <row r="99" spans="1:118" s="154" customFormat="1">
      <c r="A99" s="170"/>
      <c r="B99" s="170"/>
      <c r="C99" s="170"/>
      <c r="E99" s="180"/>
      <c r="F99" s="180"/>
    </row>
    <row r="100" spans="1:118" s="154" customFormat="1">
      <c r="A100" s="170"/>
      <c r="B100" s="170"/>
      <c r="C100" s="170"/>
      <c r="E100" s="180"/>
      <c r="F100" s="180"/>
    </row>
    <row r="101" spans="1:118" s="154" customFormat="1">
      <c r="A101" s="170"/>
      <c r="B101" s="170"/>
      <c r="C101" s="170"/>
      <c r="E101" s="180"/>
      <c r="F101" s="180"/>
    </row>
    <row r="102" spans="1:118" s="154" customFormat="1">
      <c r="A102" s="170"/>
      <c r="B102" s="173"/>
      <c r="C102" s="173"/>
      <c r="D102" s="173"/>
      <c r="E102" s="221"/>
      <c r="F102" s="221"/>
      <c r="G102" s="173"/>
      <c r="H102" s="173"/>
      <c r="J102" s="173"/>
      <c r="K102" s="173"/>
      <c r="L102" s="173"/>
      <c r="N102" s="173"/>
      <c r="O102" s="173"/>
      <c r="P102" s="173"/>
      <c r="T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73"/>
      <c r="CM102" s="173"/>
      <c r="CN102" s="173"/>
      <c r="CO102" s="173"/>
      <c r="CP102" s="173"/>
      <c r="CQ102" s="173"/>
      <c r="CR102" s="173"/>
      <c r="CS102" s="173"/>
      <c r="CT102" s="173"/>
      <c r="CU102" s="173"/>
      <c r="CV102" s="173"/>
      <c r="CW102" s="173"/>
      <c r="CX102" s="173"/>
      <c r="CY102" s="173"/>
      <c r="CZ102" s="173"/>
      <c r="DA102" s="173"/>
      <c r="DB102" s="173"/>
      <c r="DC102" s="173"/>
      <c r="DD102" s="173"/>
      <c r="DE102" s="173"/>
      <c r="DG102" s="173"/>
      <c r="DH102" s="173"/>
      <c r="DI102" s="173"/>
      <c r="DJ102" s="173"/>
      <c r="DK102" s="173"/>
      <c r="DL102" s="173"/>
      <c r="DM102" s="173"/>
      <c r="DN102" s="173"/>
    </row>
  </sheetData>
  <mergeCells count="6">
    <mergeCell ref="C95:Q95"/>
    <mergeCell ref="C94:Q94"/>
    <mergeCell ref="C90:Q90"/>
    <mergeCell ref="C91:Q91"/>
    <mergeCell ref="C92:Q92"/>
    <mergeCell ref="C93:Q93"/>
  </mergeCells>
  <phoneticPr fontId="12" type="noConversion"/>
  <hyperlinks>
    <hyperlink ref="N3" r:id="rId1" xr:uid="{00000000-0004-0000-0D00-000000000000}"/>
    <hyperlink ref="N5" r:id="rId2" xr:uid="{00000000-0004-0000-0D00-000001000000}"/>
    <hyperlink ref="N12" r:id="rId3" xr:uid="{00000000-0004-0000-0D00-000002000000}"/>
    <hyperlink ref="N18" r:id="rId4" xr:uid="{00000000-0004-0000-0D00-000003000000}"/>
    <hyperlink ref="N42" r:id="rId5" xr:uid="{00000000-0004-0000-0D00-000004000000}"/>
    <hyperlink ref="N44" r:id="rId6" xr:uid="{00000000-0004-0000-0D00-000005000000}"/>
    <hyperlink ref="N48" r:id="rId7" xr:uid="{00000000-0004-0000-0D00-000006000000}"/>
    <hyperlink ref="N56" r:id="rId8" xr:uid="{00000000-0004-0000-0D00-000007000000}"/>
    <hyperlink ref="N61" r:id="rId9" xr:uid="{00000000-0004-0000-0D00-000008000000}"/>
    <hyperlink ref="N65" r:id="rId10" xr:uid="{00000000-0004-0000-0D00-000009000000}"/>
    <hyperlink ref="N66" r:id="rId11" xr:uid="{00000000-0004-0000-0D00-00000A000000}"/>
    <hyperlink ref="N67" r:id="rId12" xr:uid="{00000000-0004-0000-0D00-00000B000000}"/>
    <hyperlink ref="N68" r:id="rId13" xr:uid="{00000000-0004-0000-0D00-00000C000000}"/>
    <hyperlink ref="N70" r:id="rId14" xr:uid="{00000000-0004-0000-0D00-00000D000000}"/>
    <hyperlink ref="N72" r:id="rId15" xr:uid="{00000000-0004-0000-0D00-00000E000000}"/>
    <hyperlink ref="N74" r:id="rId16" xr:uid="{00000000-0004-0000-0D00-00000F000000}"/>
    <hyperlink ref="N76" r:id="rId17" xr:uid="{00000000-0004-0000-0D00-000010000000}"/>
    <hyperlink ref="N80" r:id="rId18" xr:uid="{00000000-0004-0000-0D00-000011000000}"/>
    <hyperlink ref="N23" r:id="rId19" xr:uid="{00000000-0004-0000-0D00-000012000000}"/>
    <hyperlink ref="N26" r:id="rId20" xr:uid="{00000000-0004-0000-0D00-000013000000}"/>
    <hyperlink ref="N31" r:id="rId21" xr:uid="{00000000-0004-0000-0D00-000014000000}"/>
    <hyperlink ref="N35" r:id="rId22" xr:uid="{00000000-0004-0000-0D00-000015000000}"/>
  </hyperlinks>
  <pageMargins left="0.75" right="0.75" top="1" bottom="1" header="0.5" footer="0.5"/>
  <pageSetup orientation="portrait" r:id="rId23"/>
  <headerFooter alignWithMargins="0"/>
  <ignoredErrors>
    <ignoredError sqref="A5:A11 A23:A41 A56:A72 G5:G11 G18:G22 G26:G30 G35:G41 W3:W22 Y3:Y22 Z5:Z22 AA3:AA22 AB5:AB22 W42:W70 Y44:AB69 AC65 AD83:AG84 AD3:AU42 AW18:BC23 AX3:BF17 BB42:BC47 BO3:BP22 BO42:BP55 BS42:CE47 BQ68:BQ70 BS3:CE36 CF3:DN59 AU57:BG72 CF99:DO101 CF90:DO97 BY83:BY85 BO80:BP81 BR80:DO81 BK80:BM81 AD80:BG81 DO83:DO84 A82:A88 AD44:AT72 CF60:DO72 BR48:CE72 BO57:BP72 DP68:EV72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>
    <tabColor indexed="8"/>
    <pageSetUpPr fitToPage="1"/>
  </sheetPr>
  <dimension ref="A1:BG161"/>
  <sheetViews>
    <sheetView showGridLines="0" zoomScaleNormal="100" workbookViewId="0">
      <selection activeCell="B22" sqref="B22"/>
    </sheetView>
  </sheetViews>
  <sheetFormatPr defaultColWidth="8.140625" defaultRowHeight="12.75" outlineLevelCol="1"/>
  <cols>
    <col min="1" max="1" width="9.140625" style="67" customWidth="1"/>
    <col min="2" max="2" width="19.28515625" style="67" bestFit="1" customWidth="1"/>
    <col min="3" max="3" width="9.42578125" style="82" customWidth="1" outlineLevel="1"/>
    <col min="4" max="4" width="16.7109375" style="83" customWidth="1" outlineLevel="1"/>
    <col min="5" max="5" width="16.7109375" style="67" customWidth="1" outlineLevel="1"/>
    <col min="6" max="6" width="10.7109375" style="66" customWidth="1" outlineLevel="1"/>
    <col min="7" max="7" width="10.7109375" style="67" customWidth="1" outlineLevel="1"/>
    <col min="8" max="8" width="13.7109375" style="67" customWidth="1" outlineLevel="1"/>
    <col min="9" max="9" width="15.28515625" style="67" customWidth="1" outlineLevel="1"/>
    <col min="10" max="10" width="9.7109375" style="67" customWidth="1" outlineLevel="1"/>
    <col min="11" max="11" width="15.140625" style="67" customWidth="1" outlineLevel="1"/>
    <col min="12" max="12" width="15.28515625" style="67" customWidth="1" outlineLevel="1"/>
    <col min="13" max="13" width="5" style="67" customWidth="1" outlineLevel="1"/>
    <col min="14" max="14" width="8.85546875" style="67" customWidth="1" outlineLevel="1"/>
    <col min="15" max="15" width="5" style="67" customWidth="1" outlineLevel="1"/>
    <col min="16" max="16" width="8.85546875" style="68" customWidth="1" outlineLevel="1"/>
    <col min="17" max="17" width="5" style="67" customWidth="1" outlineLevel="1"/>
    <col min="18" max="18" width="8.85546875" style="67" bestFit="1" customWidth="1"/>
    <col min="19" max="19" width="5" style="67" bestFit="1" customWidth="1"/>
    <col min="20" max="20" width="10.42578125" style="67" bestFit="1" customWidth="1"/>
    <col min="21" max="21" width="9.42578125" style="67" bestFit="1" customWidth="1"/>
    <col min="22" max="22" width="17.28515625" style="67" bestFit="1" customWidth="1"/>
    <col min="23" max="23" width="17.28515625" style="69" bestFit="1" customWidth="1"/>
    <col min="24" max="24" width="16.7109375" style="69" customWidth="1"/>
    <col min="25" max="25" width="10.5703125" style="67" bestFit="1" customWidth="1"/>
    <col min="26" max="26" width="10.7109375" style="67" bestFit="1" customWidth="1"/>
    <col min="27" max="27" width="9.42578125" style="67" bestFit="1" customWidth="1"/>
    <col min="28" max="28" width="6" style="67" customWidth="1"/>
    <col min="29" max="29" width="16.7109375" style="67" bestFit="1" customWidth="1"/>
    <col min="30" max="30" width="18.140625" style="67" bestFit="1" customWidth="1"/>
    <col min="31" max="31" width="10.7109375" style="67" customWidth="1"/>
    <col min="32" max="32" width="14.140625" style="67" customWidth="1"/>
    <col min="33" max="33" width="14.28515625" style="67" customWidth="1"/>
    <col min="34" max="35" width="9.28515625" style="67" customWidth="1"/>
    <col min="36" max="37" width="16.7109375" style="67" bestFit="1" customWidth="1"/>
    <col min="38" max="38" width="15.140625" style="67" customWidth="1"/>
    <col min="39" max="44" width="22.140625" style="67" customWidth="1"/>
    <col min="45" max="45" width="33" style="67" customWidth="1"/>
    <col min="46" max="46" width="20.42578125" style="67" bestFit="1" customWidth="1"/>
    <col min="47" max="47" width="23.42578125" style="67" customWidth="1"/>
    <col min="48" max="48" width="9.7109375" style="67" customWidth="1"/>
    <col min="49" max="49" width="8.140625" style="67" customWidth="1"/>
    <col min="50" max="50" width="16.7109375" style="68" bestFit="1" customWidth="1"/>
    <col min="51" max="16384" width="8.140625" style="67"/>
  </cols>
  <sheetData>
    <row r="1" spans="2:59" s="58" customFormat="1" ht="35.25" customHeight="1">
      <c r="B1" s="738" t="s">
        <v>581</v>
      </c>
      <c r="C1" s="739"/>
      <c r="D1" s="739"/>
      <c r="E1" s="740"/>
      <c r="Z1" s="59"/>
      <c r="AA1" s="59"/>
      <c r="AB1" s="59"/>
      <c r="AC1" s="59"/>
      <c r="AD1" s="59"/>
      <c r="AE1" s="59"/>
      <c r="AF1" s="59"/>
      <c r="AG1" s="60"/>
      <c r="AH1" s="60"/>
      <c r="AI1" s="60"/>
      <c r="AJ1" s="60"/>
      <c r="AK1" s="60"/>
      <c r="AL1" s="60"/>
      <c r="AV1" s="60"/>
      <c r="AW1" s="60"/>
      <c r="AX1" s="61"/>
      <c r="AY1" s="60"/>
      <c r="AZ1" s="60"/>
      <c r="BA1" s="60"/>
      <c r="BB1" s="60"/>
      <c r="BC1" s="60"/>
      <c r="BD1" s="60"/>
      <c r="BE1" s="60"/>
      <c r="BF1" s="60"/>
      <c r="BG1" s="60"/>
    </row>
    <row r="2" spans="2:59" ht="15" customHeight="1">
      <c r="B2" s="62" t="str">
        <f>CONCATENATE($B$35,"-",D23)</f>
        <v>259-02030</v>
      </c>
      <c r="C2" s="63">
        <f>COUNTIF('Terminal Unit Valve Schedule'!$J$4:$J$344,D23)</f>
        <v>9</v>
      </c>
      <c r="D2" s="64"/>
      <c r="E2" s="65"/>
      <c r="Z2" s="70"/>
      <c r="AC2" s="71"/>
      <c r="AD2" s="71"/>
      <c r="AE2" s="71"/>
      <c r="AF2" s="71"/>
      <c r="AG2" s="71"/>
      <c r="AH2" s="727"/>
      <c r="AI2" s="728"/>
      <c r="AJ2" s="728"/>
      <c r="AK2" s="728"/>
      <c r="AL2" s="728"/>
      <c r="AM2" s="71"/>
      <c r="AN2" s="71"/>
      <c r="AO2" s="71"/>
      <c r="AP2" s="71"/>
      <c r="AQ2" s="71"/>
      <c r="AR2" s="71"/>
      <c r="AS2" s="71"/>
      <c r="AT2" s="71"/>
      <c r="AU2" s="71"/>
      <c r="AV2" s="70"/>
      <c r="AW2" s="71"/>
      <c r="AX2" s="71"/>
      <c r="AY2" s="71"/>
      <c r="AZ2" s="71"/>
      <c r="BA2" s="73"/>
      <c r="BB2" s="71"/>
      <c r="BC2" s="71"/>
      <c r="BD2" s="71"/>
      <c r="BE2" s="71"/>
      <c r="BF2" s="71"/>
      <c r="BG2" s="70"/>
    </row>
    <row r="3" spans="2:59" ht="15" customHeight="1">
      <c r="B3" s="62" t="str">
        <f t="shared" ref="B3:B9" si="0">CONCATENATE($B$35,"-",D24)</f>
        <v>259-02032</v>
      </c>
      <c r="C3" s="63">
        <f>COUNTIF('Terminal Unit Valve Schedule'!$J$4:$J$344,D24)</f>
        <v>7</v>
      </c>
      <c r="D3" s="76"/>
      <c r="E3" s="77"/>
      <c r="Z3" s="72"/>
      <c r="AC3" s="71"/>
      <c r="AD3" s="71"/>
      <c r="AE3" s="71"/>
      <c r="AF3" s="71"/>
      <c r="AG3" s="71"/>
      <c r="AH3" s="71"/>
      <c r="AI3" s="71"/>
      <c r="AJ3" s="71"/>
      <c r="AK3" s="78"/>
      <c r="AL3" s="78"/>
      <c r="AM3" s="71"/>
      <c r="AN3" s="71"/>
      <c r="AO3" s="71"/>
      <c r="AP3" s="71"/>
      <c r="AQ3" s="71"/>
      <c r="AR3" s="71"/>
      <c r="AS3" s="71"/>
      <c r="AT3" s="71"/>
      <c r="AU3" s="71"/>
      <c r="AV3" s="70"/>
      <c r="AW3" s="71"/>
      <c r="AX3" s="71"/>
      <c r="AY3" s="71"/>
      <c r="AZ3" s="71"/>
      <c r="BA3" s="73"/>
      <c r="BB3" s="71"/>
      <c r="BC3" s="71"/>
      <c r="BD3" s="71"/>
      <c r="BE3" s="71"/>
      <c r="BF3" s="71"/>
      <c r="BG3" s="70"/>
    </row>
    <row r="4" spans="2:59" ht="15" customHeight="1">
      <c r="B4" s="62" t="str">
        <f t="shared" si="0"/>
        <v>259-02034</v>
      </c>
      <c r="C4" s="63">
        <f>COUNTIF('Terminal Unit Valve Schedule'!$J$4:$J$344,D25)</f>
        <v>17</v>
      </c>
      <c r="D4" s="76"/>
      <c r="E4" s="77"/>
      <c r="Z4" s="72"/>
      <c r="AC4" s="71"/>
      <c r="AD4" s="71"/>
      <c r="AE4" s="71"/>
      <c r="AF4" s="71"/>
      <c r="AG4" s="71"/>
      <c r="AH4" s="71"/>
      <c r="AI4" s="71"/>
      <c r="AJ4" s="71"/>
      <c r="AK4" s="78"/>
      <c r="AL4" s="78"/>
      <c r="AM4" s="71"/>
      <c r="AN4" s="71"/>
      <c r="AO4" s="71"/>
      <c r="AP4" s="71"/>
      <c r="AQ4" s="71"/>
      <c r="AR4" s="71"/>
      <c r="AS4" s="71"/>
      <c r="AT4" s="71"/>
      <c r="AU4" s="71"/>
      <c r="AV4" s="70"/>
      <c r="AW4" s="71"/>
      <c r="AX4" s="71"/>
      <c r="AY4" s="71"/>
      <c r="AZ4" s="71"/>
      <c r="BA4" s="73"/>
      <c r="BB4" s="71"/>
      <c r="BC4" s="71"/>
      <c r="BD4" s="71"/>
      <c r="BE4" s="71"/>
      <c r="BF4" s="71"/>
      <c r="BG4" s="70"/>
    </row>
    <row r="5" spans="2:59" ht="15" customHeight="1">
      <c r="B5" s="62" t="str">
        <f t="shared" si="0"/>
        <v>259-02036</v>
      </c>
      <c r="C5" s="63">
        <f>COUNTIF('Terminal Unit Valve Schedule'!$J$4:$J$344,D26)</f>
        <v>7</v>
      </c>
      <c r="D5" s="64"/>
      <c r="E5" s="79"/>
      <c r="Z5" s="72"/>
      <c r="AC5" s="71"/>
      <c r="AD5" s="71"/>
      <c r="AE5" s="71"/>
      <c r="AF5" s="71"/>
      <c r="AG5" s="71"/>
      <c r="AH5" s="71"/>
      <c r="AI5" s="71"/>
      <c r="AJ5" s="71"/>
      <c r="AK5" s="78"/>
      <c r="AL5" s="78"/>
      <c r="AM5" s="71"/>
      <c r="AN5" s="71"/>
      <c r="AO5" s="71"/>
      <c r="AP5" s="71"/>
      <c r="AQ5" s="71"/>
      <c r="AR5" s="71"/>
      <c r="AS5" s="71"/>
      <c r="AT5" s="71"/>
      <c r="AU5" s="71"/>
      <c r="AV5" s="70"/>
      <c r="AW5" s="71"/>
      <c r="AX5" s="71"/>
      <c r="AY5" s="71"/>
      <c r="AZ5" s="71"/>
      <c r="BA5" s="73"/>
      <c r="BB5" s="71"/>
      <c r="BC5" s="71"/>
      <c r="BD5" s="71"/>
      <c r="BE5" s="71"/>
      <c r="BF5" s="71"/>
      <c r="BG5" s="70"/>
    </row>
    <row r="6" spans="2:59" ht="15" customHeight="1">
      <c r="B6" s="62" t="str">
        <f t="shared" si="0"/>
        <v>259-02038</v>
      </c>
      <c r="C6" s="63">
        <f>COUNTIF('Terminal Unit Valve Schedule'!$J$4:$J$344,D27)</f>
        <v>2</v>
      </c>
      <c r="D6" s="64"/>
      <c r="E6" s="79"/>
      <c r="Z6" s="72"/>
      <c r="AC6" s="71"/>
      <c r="AD6" s="71"/>
      <c r="AE6" s="71"/>
      <c r="AF6" s="71"/>
      <c r="AG6" s="71"/>
      <c r="AH6" s="71"/>
      <c r="AI6" s="71"/>
      <c r="AJ6" s="71"/>
      <c r="AK6" s="78"/>
      <c r="AL6" s="78"/>
      <c r="AM6" s="71"/>
      <c r="AN6" s="71"/>
      <c r="AO6" s="71"/>
      <c r="AP6" s="71"/>
      <c r="AQ6" s="71"/>
      <c r="AR6" s="71"/>
      <c r="AS6" s="71"/>
      <c r="AT6" s="71"/>
      <c r="AU6" s="71"/>
      <c r="AV6" s="70"/>
      <c r="AW6" s="71"/>
      <c r="AX6" s="71"/>
      <c r="AY6" s="71"/>
      <c r="AZ6" s="71"/>
      <c r="BA6" s="73"/>
      <c r="BB6" s="71"/>
      <c r="BC6" s="71"/>
      <c r="BD6" s="71"/>
      <c r="BE6" s="71"/>
      <c r="BF6" s="71"/>
      <c r="BG6" s="70"/>
    </row>
    <row r="7" spans="2:59" ht="15" customHeight="1">
      <c r="B7" s="62" t="str">
        <f t="shared" si="0"/>
        <v>259-02041</v>
      </c>
      <c r="C7" s="63">
        <f>COUNTIF('Terminal Unit Valve Schedule'!$J$4:$J$344,D28)</f>
        <v>0</v>
      </c>
      <c r="D7" s="64"/>
      <c r="E7" s="79"/>
      <c r="Z7" s="72"/>
      <c r="AC7" s="71"/>
      <c r="AD7" s="71"/>
      <c r="AE7" s="71"/>
      <c r="AF7" s="71"/>
      <c r="AG7" s="71"/>
      <c r="AM7" s="71"/>
      <c r="AN7" s="71"/>
      <c r="AO7" s="71"/>
      <c r="AP7" s="71"/>
      <c r="AQ7" s="71"/>
      <c r="AR7" s="71"/>
      <c r="AS7" s="71"/>
      <c r="AT7" s="71"/>
      <c r="AU7" s="71"/>
      <c r="AV7" s="70"/>
      <c r="AW7" s="71"/>
      <c r="AX7" s="71"/>
      <c r="AY7" s="71"/>
      <c r="AZ7" s="71"/>
      <c r="BA7" s="73"/>
      <c r="BB7" s="71"/>
      <c r="BC7" s="71"/>
      <c r="BD7" s="71"/>
      <c r="BE7" s="71"/>
      <c r="BF7" s="71"/>
      <c r="BG7" s="70"/>
    </row>
    <row r="8" spans="2:59" ht="15" customHeight="1">
      <c r="B8" s="62" t="str">
        <f t="shared" si="0"/>
        <v>259-02044</v>
      </c>
      <c r="C8" s="63">
        <f>COUNTIF('Terminal Unit Valve Schedule'!$J$4:$J$344,D29)</f>
        <v>0</v>
      </c>
      <c r="D8" s="64"/>
      <c r="E8" s="79"/>
      <c r="Z8" s="71"/>
      <c r="AC8" s="71"/>
      <c r="AD8" s="71"/>
      <c r="AE8" s="71"/>
      <c r="AF8" s="78"/>
      <c r="AG8" s="78"/>
      <c r="AM8" s="71"/>
      <c r="AN8" s="71"/>
      <c r="AO8" s="71"/>
      <c r="AP8" s="71"/>
      <c r="AQ8" s="70"/>
      <c r="AR8" s="71"/>
      <c r="AS8" s="71"/>
      <c r="AT8" s="71"/>
      <c r="AU8" s="71"/>
      <c r="AV8" s="73"/>
      <c r="AW8" s="71"/>
      <c r="AX8" s="71"/>
      <c r="AY8" s="71"/>
      <c r="AZ8" s="71"/>
      <c r="BA8" s="71"/>
      <c r="BB8" s="70"/>
    </row>
    <row r="9" spans="2:59" ht="15" customHeight="1">
      <c r="B9" s="62" t="str">
        <f t="shared" si="0"/>
        <v>259-02046</v>
      </c>
      <c r="C9" s="63">
        <f>COUNTIF('Terminal Unit Valve Schedule'!$J$4:$J$344,D30)</f>
        <v>0</v>
      </c>
      <c r="D9" s="64"/>
      <c r="E9" s="79"/>
      <c r="AS9" s="68"/>
      <c r="AX9" s="67"/>
    </row>
    <row r="10" spans="2:59" ht="15" customHeight="1">
      <c r="B10" s="62" t="str">
        <f>CONCATENATE($B$35,"-",E23)</f>
        <v>259-10350S</v>
      </c>
      <c r="C10" s="63">
        <f>COUNTIF('Terminal Unit Valve Schedule'!$J$4:$J$344,E23)</f>
        <v>0</v>
      </c>
      <c r="D10" s="64"/>
      <c r="E10" s="79"/>
      <c r="Z10" s="71"/>
      <c r="AC10" s="71"/>
      <c r="AD10" s="71"/>
      <c r="AE10" s="71"/>
      <c r="AF10" s="78"/>
      <c r="AG10" s="78"/>
      <c r="AM10" s="71"/>
      <c r="AN10" s="71"/>
      <c r="AO10" s="71"/>
      <c r="AP10" s="71"/>
      <c r="AQ10" s="70"/>
      <c r="AR10" s="71"/>
      <c r="AS10" s="71"/>
      <c r="AT10" s="71"/>
      <c r="AU10" s="71"/>
      <c r="AV10" s="73"/>
      <c r="AW10" s="71"/>
      <c r="AX10" s="71"/>
      <c r="AY10" s="71"/>
      <c r="AZ10" s="71"/>
      <c r="BA10" s="71"/>
      <c r="BB10" s="70"/>
    </row>
    <row r="11" spans="2:59" ht="15" customHeight="1">
      <c r="B11" s="62" t="str">
        <f t="shared" ref="B11:B17" si="1">CONCATENATE($B$35,"-",E24)</f>
        <v>259-10351S</v>
      </c>
      <c r="C11" s="63">
        <f>COUNTIF('Terminal Unit Valve Schedule'!$J$4:$J$344,E24)</f>
        <v>0</v>
      </c>
      <c r="D11" s="64"/>
      <c r="E11" s="79"/>
      <c r="Z11" s="71"/>
      <c r="AC11" s="71"/>
      <c r="AD11" s="71"/>
      <c r="AE11" s="71"/>
      <c r="AF11" s="78"/>
      <c r="AG11" s="78"/>
      <c r="AM11" s="71"/>
      <c r="AN11" s="71"/>
      <c r="AO11" s="71"/>
      <c r="AP11" s="71"/>
      <c r="AQ11" s="70"/>
      <c r="AR11" s="71"/>
      <c r="AS11" s="71"/>
      <c r="AT11" s="71"/>
      <c r="AU11" s="71"/>
      <c r="AV11" s="73"/>
      <c r="AW11" s="71"/>
      <c r="AX11" s="71"/>
      <c r="AY11" s="71"/>
      <c r="AZ11" s="71"/>
      <c r="BA11" s="71"/>
      <c r="BB11" s="70"/>
    </row>
    <row r="12" spans="2:59" ht="15" customHeight="1">
      <c r="B12" s="62" t="str">
        <f t="shared" si="1"/>
        <v>259-10352S</v>
      </c>
      <c r="C12" s="63">
        <f>COUNTIF('Terminal Unit Valve Schedule'!$J$4:$J$344,E25)</f>
        <v>0</v>
      </c>
      <c r="D12" s="64"/>
      <c r="E12" s="79"/>
      <c r="Z12" s="71"/>
      <c r="AC12" s="71"/>
      <c r="AD12" s="71"/>
      <c r="AE12" s="71"/>
      <c r="AF12" s="78"/>
      <c r="AG12" s="78"/>
      <c r="AM12" s="71"/>
      <c r="AN12" s="71"/>
      <c r="AO12" s="71"/>
      <c r="AP12" s="71"/>
      <c r="AQ12" s="70"/>
      <c r="AR12" s="71"/>
      <c r="AS12" s="71"/>
      <c r="AT12" s="71"/>
      <c r="AU12" s="71"/>
      <c r="AV12" s="73"/>
      <c r="AW12" s="71"/>
      <c r="AX12" s="71"/>
      <c r="AY12" s="71"/>
      <c r="AZ12" s="71"/>
      <c r="BA12" s="71"/>
      <c r="BB12" s="70"/>
    </row>
    <row r="13" spans="2:59" ht="15" customHeight="1">
      <c r="B13" s="62" t="str">
        <f t="shared" si="1"/>
        <v>259-10353S</v>
      </c>
      <c r="C13" s="63">
        <f>COUNTIF('Terminal Unit Valve Schedule'!$J$4:$J$344,E26)</f>
        <v>0</v>
      </c>
      <c r="D13" s="64"/>
      <c r="E13" s="79"/>
      <c r="AE13" s="71"/>
      <c r="AF13" s="78"/>
      <c r="AG13" s="78"/>
      <c r="AM13" s="71"/>
      <c r="AN13" s="71"/>
      <c r="AO13" s="71"/>
      <c r="AP13" s="71"/>
      <c r="AQ13" s="70"/>
      <c r="AR13" s="71"/>
      <c r="AS13" s="71"/>
      <c r="AT13" s="71"/>
      <c r="AU13" s="71"/>
      <c r="AV13" s="73"/>
      <c r="AW13" s="71"/>
      <c r="AX13" s="71"/>
      <c r="AY13" s="71"/>
      <c r="AZ13" s="71"/>
      <c r="BA13" s="71"/>
      <c r="BB13" s="70"/>
    </row>
    <row r="14" spans="2:59" ht="15" customHeight="1">
      <c r="B14" s="62" t="str">
        <f t="shared" si="1"/>
        <v>259-10354S</v>
      </c>
      <c r="C14" s="63">
        <f>COUNTIF('Terminal Unit Valve Schedule'!$J$4:$J$344,E27)</f>
        <v>0</v>
      </c>
      <c r="D14" s="64"/>
      <c r="E14" s="79"/>
      <c r="AE14" s="71"/>
      <c r="AF14" s="78"/>
      <c r="AG14" s="78"/>
      <c r="AM14" s="71"/>
      <c r="AN14" s="71"/>
      <c r="AO14" s="71"/>
      <c r="AP14" s="71"/>
      <c r="AQ14" s="70"/>
      <c r="AR14" s="71"/>
      <c r="AS14" s="71"/>
      <c r="AT14" s="71"/>
      <c r="AU14" s="71"/>
      <c r="AV14" s="73"/>
      <c r="AW14" s="71"/>
      <c r="AX14" s="71"/>
      <c r="AY14" s="71"/>
      <c r="AZ14" s="71"/>
      <c r="BA14" s="71"/>
      <c r="BB14" s="70"/>
    </row>
    <row r="15" spans="2:59" ht="15" customHeight="1">
      <c r="B15" s="62" t="str">
        <f t="shared" si="1"/>
        <v>259-10355S</v>
      </c>
      <c r="C15" s="63">
        <f>COUNTIF('Terminal Unit Valve Schedule'!$J$4:$J$344,E28)</f>
        <v>0</v>
      </c>
      <c r="D15" s="64"/>
      <c r="E15" s="79"/>
      <c r="AE15" s="71"/>
      <c r="AF15" s="71"/>
      <c r="AG15" s="71"/>
      <c r="AM15" s="71"/>
      <c r="AN15" s="71"/>
      <c r="AO15" s="71"/>
      <c r="AP15" s="71"/>
      <c r="AQ15" s="71"/>
      <c r="AR15" s="71"/>
      <c r="AS15" s="71"/>
      <c r="AT15" s="71"/>
      <c r="AU15" s="71"/>
      <c r="AV15" s="70"/>
      <c r="AW15" s="71"/>
      <c r="AX15" s="71"/>
      <c r="AY15" s="71"/>
      <c r="AZ15" s="71"/>
      <c r="BA15" s="73"/>
      <c r="BB15" s="71"/>
      <c r="BC15" s="71"/>
      <c r="BD15" s="71"/>
      <c r="BE15" s="71"/>
      <c r="BF15" s="71"/>
      <c r="BG15" s="70"/>
    </row>
    <row r="16" spans="2:59" ht="15" customHeight="1">
      <c r="B16" s="62" t="str">
        <f t="shared" si="1"/>
        <v>259-10356S</v>
      </c>
      <c r="C16" s="63">
        <f>COUNTIF('Terminal Unit Valve Schedule'!$J$4:$J$344,E29)</f>
        <v>0</v>
      </c>
      <c r="D16" s="64"/>
      <c r="E16" s="79"/>
      <c r="AS16" s="68"/>
      <c r="AX16" s="67"/>
    </row>
    <row r="17" spans="2:12" ht="15" customHeight="1">
      <c r="B17" s="62" t="str">
        <f t="shared" si="1"/>
        <v>259-10357S</v>
      </c>
      <c r="C17" s="63">
        <f>COUNTIF('Terminal Unit Valve Schedule'!$J$4:$J$344,E30)</f>
        <v>0</v>
      </c>
      <c r="D17" s="64"/>
      <c r="E17" s="79"/>
    </row>
    <row r="18" spans="2:12" ht="15" customHeight="1">
      <c r="B18" s="74"/>
      <c r="C18" s="74"/>
      <c r="D18" s="80" t="s">
        <v>582</v>
      </c>
      <c r="E18" s="75">
        <f>COUNTIF('Terminal Unit Valve Schedule'!D4:D344,"=3-WAY")</f>
        <v>8</v>
      </c>
    </row>
    <row r="19" spans="2:12" ht="15" customHeight="1">
      <c r="B19" s="81" t="s">
        <v>583</v>
      </c>
      <c r="C19" s="75">
        <f>SUM(C2:C18)</f>
        <v>42</v>
      </c>
      <c r="D19" s="80" t="s">
        <v>584</v>
      </c>
      <c r="E19" s="75">
        <f>COUNTIF('Terminal Unit Valve Schedule'!D4:D344,"=2-WAY")</f>
        <v>203</v>
      </c>
    </row>
    <row r="20" spans="2:12" ht="15" customHeight="1" thickBot="1"/>
    <row r="21" spans="2:12" ht="15" customHeight="1" thickTop="1" thickBot="1">
      <c r="D21" s="84" t="s">
        <v>577</v>
      </c>
      <c r="E21" s="84" t="s">
        <v>579</v>
      </c>
      <c r="H21" s="85" t="s">
        <v>585</v>
      </c>
    </row>
    <row r="22" spans="2:12" ht="15" customHeight="1" thickTop="1">
      <c r="B22" s="86" t="s">
        <v>586</v>
      </c>
      <c r="C22" s="87" t="s">
        <v>587</v>
      </c>
      <c r="D22" s="88" t="s">
        <v>588</v>
      </c>
      <c r="E22" s="88" t="s">
        <v>588</v>
      </c>
      <c r="F22" s="88" t="s">
        <v>589</v>
      </c>
      <c r="H22" s="729" t="s">
        <v>169</v>
      </c>
      <c r="I22" s="730"/>
      <c r="J22" s="730"/>
      <c r="K22" s="730"/>
      <c r="L22" s="731"/>
    </row>
    <row r="23" spans="2:12" ht="15" customHeight="1">
      <c r="B23" s="188">
        <v>0</v>
      </c>
      <c r="C23" s="90">
        <v>0.4</v>
      </c>
      <c r="D23" s="91" t="s">
        <v>590</v>
      </c>
      <c r="E23" s="91" t="s">
        <v>1344</v>
      </c>
      <c r="F23" s="92">
        <v>0.5</v>
      </c>
      <c r="H23" s="732"/>
      <c r="I23" s="733"/>
      <c r="J23" s="733"/>
      <c r="K23" s="733"/>
      <c r="L23" s="734"/>
    </row>
    <row r="24" spans="2:12" ht="15" customHeight="1">
      <c r="B24" s="188">
        <f>ROUND(IF($B$37=3,B51,IF($B$37=5,C51,IF($B$37=6,D51,IF($B$37=4,E51))))*(1+($B$39/100)),2)</f>
        <v>0.89</v>
      </c>
      <c r="C24" s="90">
        <v>0.63</v>
      </c>
      <c r="D24" s="91" t="s">
        <v>592</v>
      </c>
      <c r="E24" s="91" t="s">
        <v>1345</v>
      </c>
      <c r="F24" s="92">
        <v>0.5</v>
      </c>
      <c r="H24" s="732"/>
      <c r="I24" s="733"/>
      <c r="J24" s="733"/>
      <c r="K24" s="733"/>
      <c r="L24" s="734"/>
    </row>
    <row r="25" spans="2:12" ht="15" customHeight="1">
      <c r="B25" s="188">
        <f t="shared" ref="B25:B30" si="2">ROUND(IF($B$37=3,B52,IF($B$37=5,C52,IF($B$37=6,D52,IF($B$37=4,E52))))*(1+($B$39/100)),2)</f>
        <v>1.41</v>
      </c>
      <c r="C25" s="90">
        <v>1</v>
      </c>
      <c r="D25" s="91" t="s">
        <v>594</v>
      </c>
      <c r="E25" s="91" t="s">
        <v>1346</v>
      </c>
      <c r="F25" s="92">
        <v>0.5</v>
      </c>
      <c r="H25" s="732"/>
      <c r="I25" s="733"/>
      <c r="J25" s="733"/>
      <c r="K25" s="733"/>
      <c r="L25" s="734"/>
    </row>
    <row r="26" spans="2:12" ht="15" customHeight="1">
      <c r="B26" s="188">
        <f t="shared" si="2"/>
        <v>2.2400000000000002</v>
      </c>
      <c r="C26" s="90">
        <v>1.6</v>
      </c>
      <c r="D26" s="91" t="s">
        <v>596</v>
      </c>
      <c r="E26" s="91" t="s">
        <v>1347</v>
      </c>
      <c r="F26" s="92">
        <v>0.5</v>
      </c>
      <c r="H26" s="732"/>
      <c r="I26" s="733"/>
      <c r="J26" s="733"/>
      <c r="K26" s="733"/>
      <c r="L26" s="734"/>
    </row>
    <row r="27" spans="2:12" ht="15" customHeight="1">
      <c r="B27" s="188">
        <f t="shared" si="2"/>
        <v>3.58</v>
      </c>
      <c r="C27" s="90">
        <v>2.5</v>
      </c>
      <c r="D27" s="91" t="s">
        <v>598</v>
      </c>
      <c r="E27" s="91" t="s">
        <v>1348</v>
      </c>
      <c r="F27" s="92">
        <v>0.5</v>
      </c>
      <c r="H27" s="732"/>
      <c r="I27" s="733"/>
      <c r="J27" s="733"/>
      <c r="K27" s="733"/>
      <c r="L27" s="734"/>
    </row>
    <row r="28" spans="2:12" ht="15" customHeight="1">
      <c r="B28" s="188">
        <f t="shared" si="2"/>
        <v>5.59</v>
      </c>
      <c r="C28" s="90">
        <v>4</v>
      </c>
      <c r="D28" s="91" t="s">
        <v>600</v>
      </c>
      <c r="E28" s="91" t="s">
        <v>1349</v>
      </c>
      <c r="F28" s="92">
        <v>0.5</v>
      </c>
      <c r="H28" s="732"/>
      <c r="I28" s="733"/>
      <c r="J28" s="733"/>
      <c r="K28" s="733"/>
      <c r="L28" s="734"/>
    </row>
    <row r="29" spans="2:12" ht="15" customHeight="1">
      <c r="B29" s="188">
        <f t="shared" si="2"/>
        <v>8.94</v>
      </c>
      <c r="C29" s="90">
        <v>6.3</v>
      </c>
      <c r="D29" s="91" t="s">
        <v>602</v>
      </c>
      <c r="E29" s="91" t="s">
        <v>1350</v>
      </c>
      <c r="F29" s="92">
        <v>0.75</v>
      </c>
      <c r="H29" s="732"/>
      <c r="I29" s="733"/>
      <c r="J29" s="733"/>
      <c r="K29" s="733"/>
      <c r="L29" s="734"/>
    </row>
    <row r="30" spans="2:12" ht="15" customHeight="1" thickBot="1">
      <c r="B30" s="188">
        <f t="shared" si="2"/>
        <v>14.09</v>
      </c>
      <c r="C30" s="90">
        <v>10</v>
      </c>
      <c r="D30" s="91" t="s">
        <v>604</v>
      </c>
      <c r="E30" s="91" t="s">
        <v>1351</v>
      </c>
      <c r="F30" s="92">
        <v>1</v>
      </c>
      <c r="H30" s="735"/>
      <c r="I30" s="736"/>
      <c r="J30" s="736"/>
      <c r="K30" s="736"/>
      <c r="L30" s="737"/>
    </row>
    <row r="31" spans="2:12" ht="15" customHeight="1" thickTop="1">
      <c r="B31" s="89"/>
      <c r="C31" s="93"/>
      <c r="D31" s="93"/>
      <c r="E31" s="93"/>
      <c r="F31" s="93"/>
      <c r="H31" s="94"/>
      <c r="I31" s="94"/>
      <c r="J31" s="94"/>
      <c r="K31" s="94"/>
      <c r="L31" s="94"/>
    </row>
    <row r="32" spans="2:12" ht="15" customHeight="1">
      <c r="B32" s="89"/>
      <c r="C32" s="93"/>
      <c r="D32" s="93"/>
      <c r="E32" s="93"/>
      <c r="F32" s="93"/>
      <c r="H32" s="94"/>
      <c r="I32" s="94"/>
      <c r="J32" s="94"/>
      <c r="K32" s="94"/>
      <c r="L32" s="94"/>
    </row>
    <row r="33" spans="2:19" ht="15" customHeight="1">
      <c r="B33" s="71"/>
      <c r="C33" s="95"/>
      <c r="D33" s="96"/>
      <c r="E33" s="96"/>
      <c r="F33" s="97"/>
      <c r="H33" s="94"/>
      <c r="I33" s="94"/>
      <c r="J33" s="94"/>
      <c r="K33" s="94"/>
      <c r="L33" s="94"/>
    </row>
    <row r="34" spans="2:19" ht="13.5" thickBot="1">
      <c r="B34" s="98"/>
      <c r="C34" s="98"/>
      <c r="D34" s="98"/>
      <c r="E34" s="98"/>
      <c r="F34" s="98"/>
    </row>
    <row r="35" spans="2:19" ht="13.5" thickBot="1">
      <c r="B35" s="99">
        <v>259</v>
      </c>
      <c r="C35" s="100" t="s">
        <v>612</v>
      </c>
      <c r="D35" s="101"/>
      <c r="E35" s="99">
        <v>261</v>
      </c>
      <c r="F35" s="101"/>
    </row>
    <row r="36" spans="2:19" ht="13.5" thickBot="1">
      <c r="B36" s="101"/>
      <c r="C36" s="101"/>
      <c r="D36" s="101"/>
      <c r="E36" s="101"/>
      <c r="F36" s="101"/>
      <c r="H36" s="67">
        <f>IF($B$37=3,B51,IF($B$37=5,C51,IF($B$37=6,D51,IF($B$37=4,E51))))</f>
        <v>0.89442719099991597</v>
      </c>
    </row>
    <row r="37" spans="2:19" ht="13.5" thickBot="1">
      <c r="B37" s="102">
        <v>5</v>
      </c>
      <c r="C37" s="103" t="s">
        <v>613</v>
      </c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2:19" ht="13.5" thickBot="1"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2:19" ht="13.5" thickBot="1">
      <c r="B39" s="99">
        <v>0</v>
      </c>
      <c r="C39" s="103" t="s">
        <v>1204</v>
      </c>
    </row>
    <row r="40" spans="2:19" ht="13.5" thickBot="1"/>
    <row r="41" spans="2:19" ht="13.5" thickBot="1">
      <c r="B41" s="189"/>
    </row>
    <row r="42" spans="2:19" ht="13.5" thickBot="1"/>
    <row r="43" spans="2:19" ht="13.5" thickBot="1">
      <c r="B43" s="189"/>
    </row>
    <row r="44" spans="2:19">
      <c r="B44" s="60"/>
    </row>
    <row r="45" spans="2:19">
      <c r="B45" s="60"/>
    </row>
    <row r="46" spans="2:19">
      <c r="B46" s="60"/>
    </row>
    <row r="47" spans="2:19">
      <c r="B47" s="60"/>
    </row>
    <row r="48" spans="2:19">
      <c r="B48" s="60" t="s">
        <v>225</v>
      </c>
      <c r="H48" s="222"/>
      <c r="I48" s="222"/>
      <c r="J48" s="222"/>
      <c r="K48" s="222"/>
      <c r="L48" s="222"/>
      <c r="M48" s="222"/>
      <c r="N48" s="222"/>
    </row>
    <row r="49" spans="1:32">
      <c r="B49" s="83">
        <v>3</v>
      </c>
      <c r="C49" s="83">
        <v>5</v>
      </c>
      <c r="D49" s="83">
        <v>6</v>
      </c>
      <c r="E49" s="83">
        <v>4</v>
      </c>
      <c r="H49" s="225"/>
      <c r="I49" s="225"/>
      <c r="J49" s="225"/>
      <c r="K49" s="225"/>
      <c r="L49" s="225"/>
      <c r="M49" s="225"/>
      <c r="N49" s="226"/>
      <c r="O49" s="226"/>
      <c r="P49" s="226"/>
      <c r="Q49" s="226"/>
      <c r="R49" s="226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</row>
    <row r="50" spans="1:32">
      <c r="A50" s="105"/>
      <c r="B50" s="89">
        <v>0</v>
      </c>
      <c r="C50" s="89">
        <v>0</v>
      </c>
      <c r="D50" s="186">
        <v>0</v>
      </c>
      <c r="E50" s="93" t="s">
        <v>493</v>
      </c>
      <c r="F50" s="105"/>
      <c r="G50" s="105"/>
      <c r="H50" s="223"/>
      <c r="I50" s="223"/>
      <c r="J50" s="223"/>
      <c r="K50" s="223"/>
      <c r="L50" s="225"/>
      <c r="M50" s="225"/>
      <c r="N50" s="226"/>
      <c r="O50" s="226"/>
      <c r="P50" s="226"/>
      <c r="Q50" s="226"/>
      <c r="R50" s="226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</row>
    <row r="51" spans="1:32">
      <c r="A51" s="105"/>
      <c r="B51" s="89"/>
      <c r="C51" s="89">
        <f>$C$23*SQRT(C49)</f>
        <v>0.89442719099991597</v>
      </c>
      <c r="D51" s="89">
        <f>C23*SQRT($D$49)</f>
        <v>0.9797958971132712</v>
      </c>
      <c r="E51" s="89"/>
      <c r="F51" s="105"/>
      <c r="G51" s="105"/>
      <c r="H51" s="223"/>
      <c r="I51" s="223"/>
      <c r="J51" s="223"/>
      <c r="K51" s="223"/>
      <c r="L51" s="225"/>
      <c r="M51" s="225"/>
      <c r="N51" s="226"/>
      <c r="O51" s="226"/>
      <c r="P51" s="226"/>
      <c r="Q51" s="226"/>
      <c r="R51" s="226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</row>
    <row r="52" spans="1:32">
      <c r="A52" s="105"/>
      <c r="B52" s="89"/>
      <c r="C52" s="89">
        <f t="shared" ref="C52:C57" si="3">C24*SQRT($C$49)</f>
        <v>1.4087228258248676</v>
      </c>
      <c r="D52" s="89">
        <f t="shared" ref="D52:D57" si="4">C24*SQRT($D$49)</f>
        <v>1.543178537953402</v>
      </c>
      <c r="E52" s="89"/>
      <c r="F52" s="105"/>
      <c r="G52" s="105"/>
      <c r="H52" s="223"/>
      <c r="I52" s="223"/>
      <c r="J52" s="223"/>
      <c r="K52" s="223"/>
      <c r="L52" s="225"/>
      <c r="M52" s="225"/>
      <c r="N52" s="226"/>
      <c r="O52" s="226"/>
      <c r="P52" s="226"/>
      <c r="Q52" s="226"/>
      <c r="R52" s="226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</row>
    <row r="53" spans="1:32">
      <c r="B53" s="89"/>
      <c r="C53" s="89">
        <f t="shared" si="3"/>
        <v>2.2360679774997898</v>
      </c>
      <c r="D53" s="89">
        <f t="shared" si="4"/>
        <v>2.4494897427831779</v>
      </c>
      <c r="E53" s="89"/>
      <c r="H53" s="225"/>
      <c r="I53" s="225"/>
      <c r="J53" s="225"/>
      <c r="K53" s="225"/>
      <c r="L53" s="225"/>
      <c r="M53" s="225"/>
      <c r="N53" s="226"/>
      <c r="O53" s="226"/>
      <c r="P53" s="226"/>
      <c r="Q53" s="226"/>
      <c r="R53" s="226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</row>
    <row r="54" spans="1:32">
      <c r="B54" s="89"/>
      <c r="C54" s="89">
        <f t="shared" si="3"/>
        <v>3.5777087639996639</v>
      </c>
      <c r="D54" s="89">
        <f t="shared" si="4"/>
        <v>3.9191835884530848</v>
      </c>
      <c r="E54" s="89"/>
      <c r="H54" s="225"/>
      <c r="I54" s="225"/>
      <c r="J54" s="225"/>
      <c r="K54" s="225"/>
      <c r="L54" s="225"/>
      <c r="M54" s="225"/>
      <c r="N54" s="226"/>
      <c r="O54" s="226"/>
      <c r="P54" s="226"/>
      <c r="Q54" s="226"/>
      <c r="R54" s="226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</row>
    <row r="55" spans="1:32">
      <c r="B55" s="89"/>
      <c r="C55" s="89">
        <f t="shared" si="3"/>
        <v>5.5901699437494745</v>
      </c>
      <c r="D55" s="89">
        <f t="shared" si="4"/>
        <v>6.1237243569579451</v>
      </c>
      <c r="E55" s="89"/>
      <c r="H55" s="225"/>
      <c r="I55" s="225"/>
      <c r="J55" s="225"/>
      <c r="K55" s="225"/>
      <c r="L55" s="225"/>
      <c r="M55" s="225"/>
      <c r="N55" s="226"/>
      <c r="O55" s="226"/>
      <c r="P55" s="226"/>
      <c r="Q55" s="226"/>
      <c r="R55" s="226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</row>
    <row r="56" spans="1:32">
      <c r="B56" s="89"/>
      <c r="C56" s="89">
        <f t="shared" si="3"/>
        <v>8.9442719099991592</v>
      </c>
      <c r="D56" s="89">
        <f t="shared" si="4"/>
        <v>9.7979589711327115</v>
      </c>
      <c r="E56" s="89"/>
      <c r="H56" s="225"/>
      <c r="I56" s="225"/>
      <c r="J56" s="225"/>
      <c r="K56" s="225"/>
      <c r="L56" s="225"/>
      <c r="M56" s="225"/>
      <c r="N56" s="226"/>
      <c r="O56" s="226"/>
      <c r="P56" s="226"/>
      <c r="Q56" s="226"/>
      <c r="R56" s="226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</row>
    <row r="57" spans="1:32">
      <c r="B57" s="89"/>
      <c r="C57" s="89">
        <f t="shared" si="3"/>
        <v>14.087228258248675</v>
      </c>
      <c r="D57" s="89">
        <f t="shared" si="4"/>
        <v>15.43178537953402</v>
      </c>
      <c r="E57" s="89"/>
      <c r="H57" s="225"/>
      <c r="I57" s="225"/>
      <c r="J57" s="225"/>
      <c r="K57" s="225"/>
      <c r="L57" s="225"/>
      <c r="M57" s="225"/>
      <c r="N57" s="226"/>
      <c r="O57" s="226"/>
      <c r="P57" s="226"/>
      <c r="Q57" s="226"/>
      <c r="R57" s="226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</row>
    <row r="58" spans="1:32">
      <c r="H58" s="225"/>
      <c r="I58" s="225"/>
      <c r="J58" s="225"/>
      <c r="K58" s="225"/>
      <c r="L58" s="225"/>
      <c r="M58" s="225"/>
      <c r="N58" s="226"/>
      <c r="O58" s="226"/>
      <c r="P58" s="226"/>
      <c r="Q58" s="226"/>
      <c r="R58" s="226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</row>
    <row r="59" spans="1:32">
      <c r="H59" s="225"/>
      <c r="I59" s="225"/>
      <c r="J59" s="225"/>
      <c r="K59" s="225"/>
      <c r="L59" s="225"/>
      <c r="M59" s="225"/>
      <c r="N59" s="226"/>
      <c r="O59" s="226"/>
      <c r="P59" s="226"/>
      <c r="Q59" s="226"/>
      <c r="R59" s="226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</row>
    <row r="60" spans="1:32">
      <c r="H60" s="225"/>
      <c r="I60" s="225"/>
      <c r="J60" s="225"/>
      <c r="K60" s="225"/>
      <c r="L60" s="225"/>
      <c r="M60" s="225"/>
      <c r="N60" s="226"/>
      <c r="O60" s="226"/>
      <c r="P60" s="226"/>
      <c r="Q60" s="226"/>
      <c r="R60" s="226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</row>
    <row r="61" spans="1:32">
      <c r="A61" s="222"/>
      <c r="B61" s="225" t="s">
        <v>230</v>
      </c>
      <c r="C61" s="225" t="s">
        <v>517</v>
      </c>
      <c r="D61" s="224"/>
      <c r="H61" s="225"/>
      <c r="I61" s="225"/>
      <c r="J61" s="225"/>
      <c r="K61" s="225"/>
      <c r="L61" s="225"/>
      <c r="M61" s="225"/>
      <c r="N61" s="226"/>
      <c r="O61" s="226"/>
      <c r="P61" s="226"/>
      <c r="Q61" s="226"/>
      <c r="R61" s="226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</row>
    <row r="62" spans="1:32">
      <c r="A62" s="222"/>
      <c r="B62" s="223" t="s">
        <v>172</v>
      </c>
      <c r="C62" s="223" t="s">
        <v>228</v>
      </c>
      <c r="H62" s="225"/>
      <c r="I62" s="225"/>
      <c r="J62" s="225"/>
      <c r="K62" s="225"/>
      <c r="L62" s="225"/>
      <c r="M62" s="225"/>
      <c r="N62" s="226"/>
      <c r="O62" s="226"/>
      <c r="P62" s="226"/>
      <c r="Q62" s="226"/>
      <c r="R62" s="226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</row>
    <row r="63" spans="1:32">
      <c r="A63" s="222"/>
      <c r="B63" s="223" t="s">
        <v>224</v>
      </c>
      <c r="C63" s="223" t="s">
        <v>228</v>
      </c>
      <c r="H63" s="225"/>
      <c r="I63" s="225"/>
      <c r="J63" s="225"/>
      <c r="K63" s="225"/>
      <c r="L63" s="225"/>
      <c r="M63" s="225"/>
      <c r="N63" s="226"/>
      <c r="O63" s="226"/>
      <c r="P63" s="226"/>
      <c r="Q63" s="226"/>
      <c r="R63" s="226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</row>
    <row r="64" spans="1:32">
      <c r="A64" s="222"/>
      <c r="B64" s="223" t="s">
        <v>1105</v>
      </c>
      <c r="C64" s="223" t="s">
        <v>228</v>
      </c>
      <c r="H64" s="225"/>
      <c r="I64" s="225"/>
      <c r="J64" s="225"/>
      <c r="K64" s="225"/>
      <c r="L64" s="225"/>
      <c r="M64" s="225"/>
      <c r="N64" s="226"/>
      <c r="O64" s="226"/>
      <c r="P64" s="226"/>
      <c r="Q64" s="226"/>
      <c r="R64" s="226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</row>
    <row r="65" spans="1:32">
      <c r="A65" s="222"/>
      <c r="B65" s="225" t="s">
        <v>227</v>
      </c>
      <c r="C65" s="223" t="s">
        <v>228</v>
      </c>
      <c r="H65" s="225"/>
      <c r="I65" s="225"/>
      <c r="J65" s="225"/>
      <c r="K65" s="225"/>
      <c r="L65" s="225"/>
      <c r="M65" s="225"/>
      <c r="N65" s="226"/>
      <c r="O65" s="226"/>
      <c r="P65" s="226"/>
      <c r="Q65" s="226"/>
      <c r="R65" s="226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</row>
    <row r="66" spans="1:32">
      <c r="A66" s="222"/>
      <c r="B66" s="587" t="s">
        <v>1321</v>
      </c>
      <c r="C66" s="587" t="s">
        <v>1322</v>
      </c>
      <c r="H66" s="225"/>
      <c r="I66" s="225"/>
      <c r="J66" s="225"/>
      <c r="K66" s="225"/>
      <c r="L66" s="225"/>
      <c r="M66" s="225"/>
      <c r="N66" s="226"/>
      <c r="O66" s="226"/>
      <c r="P66" s="226"/>
      <c r="Q66" s="226"/>
      <c r="R66" s="226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</row>
    <row r="67" spans="1:32">
      <c r="A67" s="222"/>
      <c r="B67" s="223" t="s">
        <v>1193</v>
      </c>
      <c r="C67" s="223" t="s">
        <v>229</v>
      </c>
      <c r="H67" s="225"/>
      <c r="I67" s="225"/>
      <c r="J67" s="225"/>
      <c r="K67" s="225"/>
      <c r="L67" s="225"/>
      <c r="M67" s="225"/>
      <c r="N67" s="226"/>
      <c r="O67" s="226"/>
      <c r="P67" s="226"/>
      <c r="Q67" s="226"/>
      <c r="R67" s="226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</row>
    <row r="68" spans="1:32">
      <c r="A68" s="222"/>
      <c r="B68" s="223" t="s">
        <v>226</v>
      </c>
      <c r="C68" s="223" t="s">
        <v>229</v>
      </c>
      <c r="H68" s="225"/>
      <c r="I68" s="225"/>
      <c r="J68" s="225"/>
      <c r="K68" s="225"/>
      <c r="L68" s="225"/>
      <c r="M68" s="225"/>
      <c r="N68" s="226"/>
      <c r="O68" s="226"/>
      <c r="P68" s="226"/>
      <c r="Q68" s="226"/>
      <c r="R68" s="226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</row>
    <row r="69" spans="1:32">
      <c r="A69" s="222"/>
      <c r="B69" s="225" t="s">
        <v>1325</v>
      </c>
      <c r="C69" s="225" t="s">
        <v>1326</v>
      </c>
      <c r="H69" s="225"/>
      <c r="I69" s="225"/>
      <c r="J69" s="225"/>
      <c r="K69" s="225"/>
      <c r="L69" s="225"/>
      <c r="M69" s="225"/>
      <c r="N69" s="226"/>
      <c r="O69" s="226"/>
      <c r="P69" s="226"/>
      <c r="Q69" s="226"/>
      <c r="R69" s="226"/>
      <c r="S69" s="222"/>
      <c r="T69" s="222"/>
      <c r="U69" s="222"/>
      <c r="V69" s="222"/>
      <c r="W69" s="222"/>
      <c r="X69" s="222"/>
      <c r="Y69" s="222"/>
      <c r="Z69" s="222"/>
      <c r="AA69" s="222"/>
      <c r="AB69" s="222"/>
      <c r="AC69" s="222"/>
      <c r="AD69" s="222"/>
      <c r="AE69" s="222"/>
      <c r="AF69" s="222"/>
    </row>
    <row r="70" spans="1:32">
      <c r="A70" s="222"/>
      <c r="B70" s="226" t="s">
        <v>1335</v>
      </c>
      <c r="C70" s="226" t="s">
        <v>1326</v>
      </c>
      <c r="H70" s="225"/>
      <c r="I70" s="225"/>
      <c r="J70" s="225"/>
      <c r="K70" s="225"/>
      <c r="L70" s="225"/>
      <c r="M70" s="225"/>
      <c r="N70" s="226"/>
      <c r="O70" s="226"/>
      <c r="P70" s="226"/>
      <c r="Q70" s="226"/>
      <c r="R70" s="226"/>
      <c r="S70" s="222"/>
      <c r="T70" s="222"/>
      <c r="U70" s="222"/>
      <c r="V70" s="222"/>
      <c r="W70" s="222"/>
      <c r="X70" s="222"/>
      <c r="Y70" s="222"/>
      <c r="Z70" s="222"/>
      <c r="AA70" s="222"/>
      <c r="AB70" s="222"/>
      <c r="AC70" s="222"/>
      <c r="AD70" s="222"/>
      <c r="AE70" s="222"/>
      <c r="AF70" s="222"/>
    </row>
    <row r="71" spans="1:32">
      <c r="A71" s="222"/>
      <c r="B71" s="226" t="s">
        <v>1327</v>
      </c>
      <c r="C71" s="226" t="s">
        <v>1326</v>
      </c>
      <c r="H71" s="225"/>
      <c r="I71" s="225"/>
      <c r="J71" s="225"/>
      <c r="K71" s="225"/>
      <c r="L71" s="225"/>
      <c r="M71" s="225"/>
      <c r="N71" s="226"/>
      <c r="O71" s="226"/>
      <c r="P71" s="226"/>
      <c r="Q71" s="226"/>
      <c r="R71" s="226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</row>
    <row r="72" spans="1:32">
      <c r="A72" s="222"/>
      <c r="B72" s="226" t="s">
        <v>1328</v>
      </c>
      <c r="C72" s="226" t="s">
        <v>1329</v>
      </c>
      <c r="H72" s="225"/>
      <c r="I72" s="225"/>
      <c r="J72" s="225"/>
      <c r="K72" s="225"/>
      <c r="L72" s="225"/>
      <c r="M72" s="225"/>
      <c r="N72" s="226"/>
      <c r="O72" s="226"/>
      <c r="P72" s="226"/>
      <c r="Q72" s="226"/>
      <c r="R72" s="226"/>
      <c r="S72" s="222"/>
      <c r="T72" s="222"/>
      <c r="U72" s="222"/>
      <c r="V72" s="222"/>
      <c r="W72" s="222"/>
      <c r="X72" s="222"/>
      <c r="Y72" s="222"/>
      <c r="Z72" s="222"/>
      <c r="AA72" s="222"/>
      <c r="AB72" s="222"/>
      <c r="AC72" s="222"/>
      <c r="AD72" s="222"/>
      <c r="AE72" s="222"/>
      <c r="AF72" s="222"/>
    </row>
    <row r="73" spans="1:32">
      <c r="A73" s="222"/>
      <c r="B73" s="226" t="s">
        <v>1341</v>
      </c>
      <c r="C73" s="226" t="s">
        <v>1343</v>
      </c>
      <c r="H73" s="225"/>
      <c r="I73" s="225"/>
      <c r="J73" s="225"/>
      <c r="K73" s="225"/>
      <c r="L73" s="225"/>
      <c r="M73" s="225"/>
      <c r="N73" s="226"/>
      <c r="O73" s="226"/>
      <c r="P73" s="226"/>
      <c r="Q73" s="226"/>
      <c r="R73" s="226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</row>
    <row r="74" spans="1:32">
      <c r="A74" s="222"/>
      <c r="B74" s="226" t="s">
        <v>1342</v>
      </c>
      <c r="C74" s="226" t="s">
        <v>1343</v>
      </c>
      <c r="H74" s="225"/>
      <c r="I74" s="225"/>
      <c r="J74" s="225"/>
      <c r="K74" s="225"/>
      <c r="L74" s="225"/>
      <c r="M74" s="225"/>
      <c r="N74" s="226"/>
      <c r="O74" s="226"/>
      <c r="P74" s="226"/>
      <c r="Q74" s="226"/>
      <c r="R74" s="226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</row>
    <row r="75" spans="1:32">
      <c r="A75" s="222"/>
      <c r="B75" s="222" t="s">
        <v>1330</v>
      </c>
      <c r="C75" s="226" t="s">
        <v>1332</v>
      </c>
      <c r="H75" s="225"/>
      <c r="I75" s="225"/>
      <c r="J75" s="225"/>
      <c r="K75" s="225"/>
      <c r="L75" s="225"/>
      <c r="M75" s="225"/>
      <c r="N75" s="226"/>
      <c r="O75" s="226"/>
      <c r="P75" s="226"/>
      <c r="Q75" s="226"/>
      <c r="R75" s="226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</row>
    <row r="76" spans="1:32">
      <c r="A76" s="222"/>
      <c r="B76" s="222" t="s">
        <v>1331</v>
      </c>
      <c r="C76" s="226" t="s">
        <v>1332</v>
      </c>
      <c r="H76" s="225"/>
      <c r="I76" s="225"/>
      <c r="J76" s="225"/>
      <c r="K76" s="225"/>
      <c r="L76" s="225"/>
      <c r="M76" s="225"/>
      <c r="N76" s="226"/>
      <c r="O76" s="226"/>
      <c r="P76" s="226"/>
      <c r="Q76" s="226"/>
      <c r="R76" s="226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</row>
    <row r="77" spans="1:32">
      <c r="A77" s="222"/>
      <c r="B77" s="222" t="s">
        <v>1333</v>
      </c>
      <c r="C77" s="222" t="s">
        <v>1334</v>
      </c>
      <c r="H77" s="225"/>
      <c r="I77" s="225"/>
      <c r="J77" s="225"/>
      <c r="K77" s="225"/>
      <c r="L77" s="225"/>
      <c r="M77" s="225"/>
      <c r="N77" s="226"/>
      <c r="O77" s="226"/>
      <c r="P77" s="226"/>
      <c r="Q77" s="226"/>
      <c r="R77" s="226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</row>
    <row r="78" spans="1:32">
      <c r="A78" s="222"/>
      <c r="B78" s="222"/>
      <c r="C78" s="227"/>
      <c r="D78" s="224"/>
      <c r="H78" s="225"/>
      <c r="I78" s="225"/>
      <c r="J78" s="225"/>
      <c r="K78" s="225"/>
      <c r="L78" s="225"/>
      <c r="M78" s="225"/>
      <c r="N78" s="226"/>
      <c r="O78" s="226"/>
      <c r="P78" s="226"/>
      <c r="Q78" s="226"/>
      <c r="R78" s="226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</row>
    <row r="79" spans="1:32">
      <c r="A79" s="222"/>
      <c r="B79" s="222"/>
      <c r="C79" s="227"/>
      <c r="D79" s="224"/>
      <c r="H79" s="225"/>
      <c r="I79" s="225"/>
      <c r="J79" s="225"/>
      <c r="K79" s="225"/>
      <c r="L79" s="225"/>
      <c r="M79" s="225"/>
      <c r="N79" s="226"/>
      <c r="O79" s="226"/>
      <c r="P79" s="226"/>
      <c r="Q79" s="226"/>
      <c r="R79" s="226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</row>
    <row r="80" spans="1:32">
      <c r="A80" s="222"/>
      <c r="B80" s="222"/>
      <c r="C80" s="227"/>
      <c r="D80" s="224"/>
      <c r="H80" s="70"/>
      <c r="I80" s="70"/>
      <c r="J80" s="70"/>
      <c r="K80" s="70"/>
      <c r="L80" s="70"/>
      <c r="M80" s="70"/>
      <c r="N80" s="226"/>
      <c r="O80" s="226"/>
      <c r="P80" s="226"/>
      <c r="Q80" s="226"/>
      <c r="R80" s="226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</row>
    <row r="81" spans="1:32">
      <c r="A81" s="222"/>
      <c r="B81" s="222"/>
      <c r="C81" s="227"/>
      <c r="D81" s="224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222"/>
      <c r="AB81" s="222"/>
      <c r="AC81" s="222"/>
      <c r="AD81" s="222"/>
      <c r="AE81" s="222"/>
      <c r="AF81" s="222"/>
    </row>
    <row r="82" spans="1:32">
      <c r="A82" s="222"/>
      <c r="B82" s="222"/>
      <c r="C82" s="227"/>
      <c r="D82" s="224"/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</row>
    <row r="83" spans="1:32">
      <c r="A83" s="222"/>
      <c r="B83" s="222"/>
      <c r="C83" s="227"/>
      <c r="D83" s="224"/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</row>
    <row r="84" spans="1:32">
      <c r="A84" s="222"/>
      <c r="B84" s="222"/>
      <c r="C84" s="227"/>
      <c r="D84" s="224"/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</row>
    <row r="85" spans="1:32">
      <c r="A85" s="222"/>
      <c r="B85" s="222"/>
      <c r="C85" s="227"/>
      <c r="D85" s="224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  <c r="AF85" s="222"/>
    </row>
    <row r="86" spans="1:32">
      <c r="A86" s="222"/>
      <c r="B86" s="222"/>
      <c r="C86" s="227"/>
      <c r="D86" s="224"/>
      <c r="N86" s="222"/>
      <c r="O86" s="222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</row>
    <row r="87" spans="1:32">
      <c r="A87" s="222"/>
      <c r="B87" s="222"/>
      <c r="C87" s="227"/>
      <c r="D87" s="224"/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</row>
    <row r="88" spans="1:32">
      <c r="A88" s="222"/>
      <c r="B88" s="222"/>
      <c r="C88" s="227"/>
      <c r="D88" s="224"/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</row>
    <row r="89" spans="1:32">
      <c r="A89" s="222"/>
      <c r="B89" s="222"/>
      <c r="C89" s="227"/>
      <c r="D89" s="224"/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</row>
    <row r="90" spans="1:32">
      <c r="A90" s="222"/>
      <c r="B90" s="222"/>
      <c r="C90" s="227"/>
      <c r="D90" s="224"/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</row>
    <row r="91" spans="1:32">
      <c r="A91" s="222"/>
      <c r="B91" s="222"/>
      <c r="C91" s="227"/>
      <c r="D91" s="224"/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</row>
    <row r="92" spans="1:32">
      <c r="A92" s="222"/>
      <c r="B92" s="222"/>
      <c r="C92" s="227"/>
      <c r="D92" s="224"/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</row>
    <row r="93" spans="1:32">
      <c r="A93" s="222"/>
      <c r="B93" s="222"/>
      <c r="C93" s="227"/>
      <c r="D93" s="224"/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</row>
    <row r="94" spans="1:32">
      <c r="A94" s="222"/>
      <c r="B94" s="222"/>
      <c r="C94" s="227"/>
      <c r="D94" s="224"/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</row>
    <row r="95" spans="1:32">
      <c r="A95" s="222"/>
      <c r="B95" s="222"/>
      <c r="C95" s="227"/>
      <c r="D95" s="224"/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</row>
    <row r="96" spans="1:32">
      <c r="A96" s="222"/>
      <c r="B96" s="222"/>
      <c r="C96" s="227"/>
      <c r="D96" s="224"/>
      <c r="N96" s="222"/>
      <c r="O96" s="222"/>
      <c r="P96" s="222"/>
      <c r="Q96" s="222"/>
      <c r="R96" s="222"/>
      <c r="S96" s="222"/>
      <c r="T96" s="222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</row>
    <row r="97" spans="1:32">
      <c r="A97" s="222"/>
      <c r="B97" s="222"/>
      <c r="C97" s="227"/>
      <c r="D97" s="224"/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</row>
    <row r="98" spans="1:32">
      <c r="A98" s="222"/>
      <c r="B98" s="222"/>
      <c r="C98" s="227"/>
      <c r="D98" s="224"/>
      <c r="N98" s="222"/>
      <c r="O98" s="222"/>
      <c r="P98" s="222"/>
      <c r="Q98" s="222"/>
      <c r="R98" s="222"/>
      <c r="S98" s="222"/>
      <c r="T98" s="222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</row>
    <row r="99" spans="1:32">
      <c r="A99" s="222"/>
      <c r="B99" s="222"/>
      <c r="C99" s="227"/>
      <c r="D99" s="224"/>
      <c r="N99" s="222"/>
      <c r="O99" s="222"/>
      <c r="P99" s="222"/>
      <c r="Q99" s="222"/>
      <c r="R99" s="222"/>
      <c r="S99" s="222"/>
      <c r="T99" s="222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</row>
    <row r="100" spans="1:32">
      <c r="A100" s="222"/>
      <c r="B100" s="222"/>
      <c r="C100" s="227"/>
      <c r="D100" s="224"/>
      <c r="N100" s="222"/>
      <c r="O100" s="222"/>
      <c r="P100" s="222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</row>
    <row r="101" spans="1:32">
      <c r="A101" s="222"/>
      <c r="B101" s="222"/>
      <c r="C101" s="227"/>
      <c r="D101" s="224"/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</row>
    <row r="102" spans="1:32">
      <c r="A102" s="222"/>
      <c r="B102" s="222"/>
      <c r="C102" s="227"/>
      <c r="D102" s="224"/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</row>
    <row r="103" spans="1:32">
      <c r="A103" s="222"/>
      <c r="B103" s="222"/>
      <c r="C103" s="227"/>
      <c r="D103" s="224"/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</row>
    <row r="104" spans="1:32">
      <c r="A104" s="222"/>
      <c r="B104" s="222"/>
      <c r="C104" s="227"/>
      <c r="D104" s="224"/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</row>
    <row r="105" spans="1:32">
      <c r="A105" s="222"/>
      <c r="B105" s="222"/>
      <c r="C105" s="227"/>
      <c r="D105" s="224"/>
      <c r="N105" s="222"/>
      <c r="O105" s="222"/>
      <c r="P105" s="222"/>
      <c r="Q105" s="222"/>
      <c r="R105" s="222"/>
      <c r="S105" s="222"/>
      <c r="T105" s="222"/>
      <c r="U105" s="222"/>
      <c r="V105" s="222"/>
      <c r="W105" s="222"/>
      <c r="X105" s="222"/>
      <c r="Y105" s="222"/>
      <c r="Z105" s="222"/>
      <c r="AA105" s="222"/>
      <c r="AB105" s="222"/>
      <c r="AC105" s="222"/>
      <c r="AD105" s="222"/>
      <c r="AE105" s="222"/>
      <c r="AF105" s="222"/>
    </row>
    <row r="106" spans="1:32">
      <c r="A106" s="222"/>
      <c r="B106" s="222"/>
      <c r="C106" s="227"/>
      <c r="D106" s="224"/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</row>
    <row r="107" spans="1:32">
      <c r="A107" s="222"/>
      <c r="B107" s="222"/>
      <c r="C107" s="227"/>
      <c r="D107" s="224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</row>
    <row r="108" spans="1:32">
      <c r="A108" s="222"/>
      <c r="B108" s="222"/>
      <c r="C108" s="227"/>
      <c r="D108" s="224"/>
      <c r="N108" s="222"/>
      <c r="O108" s="222"/>
      <c r="P108" s="222"/>
      <c r="Q108" s="222"/>
      <c r="R108" s="222"/>
      <c r="S108" s="222"/>
      <c r="T108" s="222"/>
      <c r="U108" s="222"/>
      <c r="V108" s="222"/>
      <c r="W108" s="222"/>
      <c r="X108" s="222"/>
      <c r="Y108" s="222"/>
      <c r="Z108" s="222"/>
      <c r="AA108" s="222"/>
      <c r="AB108" s="222"/>
      <c r="AC108" s="222"/>
      <c r="AD108" s="222"/>
      <c r="AE108" s="222"/>
      <c r="AF108" s="222"/>
    </row>
    <row r="109" spans="1:32">
      <c r="A109" s="222"/>
      <c r="B109" s="222"/>
      <c r="C109" s="227"/>
      <c r="D109" s="224"/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</row>
    <row r="110" spans="1:32">
      <c r="A110" s="222"/>
      <c r="B110" s="222"/>
      <c r="C110" s="227"/>
      <c r="D110" s="224"/>
      <c r="N110" s="222"/>
      <c r="O110" s="222"/>
      <c r="P110" s="222"/>
      <c r="Q110" s="222"/>
      <c r="R110" s="222"/>
      <c r="S110" s="222"/>
      <c r="T110" s="222"/>
      <c r="U110" s="222"/>
      <c r="V110" s="222"/>
      <c r="W110" s="222"/>
      <c r="X110" s="222"/>
      <c r="Y110" s="222"/>
      <c r="Z110" s="222"/>
      <c r="AA110" s="222"/>
      <c r="AB110" s="222"/>
      <c r="AC110" s="222"/>
      <c r="AD110" s="222"/>
      <c r="AE110" s="222"/>
      <c r="AF110" s="222"/>
    </row>
    <row r="111" spans="1:32">
      <c r="A111" s="222"/>
      <c r="B111" s="222"/>
      <c r="C111" s="227"/>
      <c r="D111" s="224"/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</row>
    <row r="112" spans="1:32">
      <c r="A112" s="222"/>
      <c r="B112" s="222"/>
      <c r="C112" s="227"/>
      <c r="D112" s="224"/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</row>
    <row r="113" spans="1:32">
      <c r="A113" s="222"/>
      <c r="B113" s="222"/>
      <c r="C113" s="227"/>
      <c r="D113" s="224"/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</row>
    <row r="114" spans="1:32">
      <c r="A114" s="222"/>
      <c r="B114" s="222"/>
      <c r="C114" s="227"/>
      <c r="D114" s="224"/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</row>
    <row r="115" spans="1:32">
      <c r="A115" s="222"/>
      <c r="B115" s="222"/>
      <c r="C115" s="227"/>
      <c r="D115" s="224"/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2"/>
      <c r="AC115" s="222"/>
      <c r="AD115" s="222"/>
      <c r="AE115" s="222"/>
      <c r="AF115" s="222"/>
    </row>
    <row r="116" spans="1:32">
      <c r="A116" s="222"/>
      <c r="B116" s="222"/>
      <c r="C116" s="227"/>
      <c r="D116" s="224"/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</row>
    <row r="117" spans="1:32">
      <c r="A117" s="222"/>
      <c r="B117" s="222"/>
      <c r="C117" s="227"/>
      <c r="D117" s="224"/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</row>
    <row r="118" spans="1:32">
      <c r="A118" s="222"/>
      <c r="B118" s="222"/>
      <c r="C118" s="227"/>
      <c r="D118" s="224"/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</row>
    <row r="119" spans="1:32">
      <c r="A119" s="222"/>
      <c r="B119" s="222"/>
      <c r="C119" s="227"/>
      <c r="D119" s="224"/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</row>
    <row r="120" spans="1:32">
      <c r="A120" s="222"/>
      <c r="B120" s="222"/>
      <c r="C120" s="227"/>
      <c r="D120" s="224"/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</row>
    <row r="121" spans="1:32">
      <c r="A121" s="222"/>
      <c r="B121" s="222"/>
      <c r="C121" s="227"/>
      <c r="D121" s="224"/>
      <c r="N121" s="222"/>
      <c r="O121" s="222"/>
      <c r="P121" s="222"/>
      <c r="Q121" s="222"/>
      <c r="R121" s="222"/>
      <c r="S121" s="222"/>
      <c r="T121" s="222"/>
      <c r="U121" s="222"/>
      <c r="V121" s="222"/>
      <c r="W121" s="222"/>
      <c r="X121" s="222"/>
      <c r="Y121" s="222"/>
      <c r="Z121" s="222"/>
      <c r="AA121" s="222"/>
      <c r="AB121" s="222"/>
      <c r="AC121" s="222"/>
      <c r="AD121" s="222"/>
      <c r="AE121" s="222"/>
      <c r="AF121" s="222"/>
    </row>
    <row r="122" spans="1:32">
      <c r="A122" s="222"/>
      <c r="B122" s="222"/>
      <c r="C122" s="227"/>
      <c r="D122" s="224"/>
      <c r="N122" s="222"/>
      <c r="O122" s="222"/>
      <c r="P122" s="222"/>
      <c r="Q122" s="222"/>
      <c r="R122" s="222"/>
      <c r="S122" s="222"/>
      <c r="T122" s="222"/>
      <c r="U122" s="222"/>
      <c r="V122" s="222"/>
      <c r="W122" s="222"/>
      <c r="X122" s="222"/>
      <c r="Y122" s="222"/>
      <c r="Z122" s="222"/>
      <c r="AA122" s="222"/>
      <c r="AB122" s="222"/>
      <c r="AC122" s="222"/>
      <c r="AD122" s="222"/>
      <c r="AE122" s="222"/>
      <c r="AF122" s="222"/>
    </row>
    <row r="123" spans="1:32">
      <c r="A123" s="222"/>
      <c r="B123" s="222"/>
      <c r="C123" s="227"/>
      <c r="D123" s="224"/>
      <c r="N123" s="222"/>
      <c r="O123" s="222"/>
      <c r="P123" s="222"/>
      <c r="Q123" s="222"/>
      <c r="R123" s="222"/>
      <c r="S123" s="222"/>
      <c r="T123" s="222"/>
      <c r="U123" s="222"/>
      <c r="V123" s="222"/>
      <c r="W123" s="222"/>
      <c r="X123" s="222"/>
      <c r="Y123" s="222"/>
      <c r="Z123" s="222"/>
      <c r="AA123" s="222"/>
      <c r="AB123" s="222"/>
      <c r="AC123" s="222"/>
      <c r="AD123" s="222"/>
      <c r="AE123" s="222"/>
      <c r="AF123" s="222"/>
    </row>
    <row r="124" spans="1:32">
      <c r="A124" s="222"/>
      <c r="B124" s="222"/>
      <c r="C124" s="227"/>
      <c r="D124" s="224"/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</row>
    <row r="125" spans="1:32">
      <c r="A125" s="222"/>
      <c r="B125" s="222"/>
      <c r="C125" s="227"/>
      <c r="D125" s="224"/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</row>
    <row r="126" spans="1:32">
      <c r="A126" s="222"/>
      <c r="B126" s="222"/>
      <c r="C126" s="227"/>
      <c r="D126" s="224"/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</row>
    <row r="127" spans="1:32">
      <c r="A127" s="222"/>
      <c r="B127" s="222"/>
      <c r="C127" s="227"/>
      <c r="D127" s="224"/>
    </row>
    <row r="128" spans="1:32">
      <c r="A128" s="222"/>
      <c r="B128" s="222"/>
      <c r="C128" s="227"/>
      <c r="D128" s="224"/>
    </row>
    <row r="129" spans="1:4">
      <c r="A129" s="222"/>
      <c r="B129" s="222"/>
      <c r="C129" s="227"/>
      <c r="D129" s="224"/>
    </row>
    <row r="130" spans="1:4">
      <c r="A130" s="222"/>
      <c r="B130" s="222"/>
      <c r="C130" s="227"/>
      <c r="D130" s="224"/>
    </row>
    <row r="131" spans="1:4">
      <c r="A131" s="222"/>
      <c r="B131" s="222"/>
      <c r="C131" s="227"/>
      <c r="D131" s="224"/>
    </row>
    <row r="132" spans="1:4">
      <c r="A132" s="222"/>
      <c r="B132" s="222"/>
      <c r="C132" s="227"/>
      <c r="D132" s="224"/>
    </row>
    <row r="133" spans="1:4">
      <c r="A133" s="222"/>
      <c r="B133" s="222"/>
      <c r="C133" s="227"/>
      <c r="D133" s="224"/>
    </row>
    <row r="134" spans="1:4">
      <c r="A134" s="222"/>
      <c r="B134" s="222"/>
      <c r="C134" s="227"/>
      <c r="D134" s="224"/>
    </row>
    <row r="135" spans="1:4">
      <c r="A135" s="222"/>
      <c r="B135" s="222"/>
      <c r="C135" s="227"/>
      <c r="D135" s="224"/>
    </row>
    <row r="136" spans="1:4">
      <c r="A136" s="222"/>
      <c r="B136" s="222"/>
      <c r="C136" s="227"/>
      <c r="D136" s="224"/>
    </row>
    <row r="137" spans="1:4">
      <c r="A137" s="222"/>
      <c r="B137" s="222"/>
      <c r="C137" s="227"/>
      <c r="D137" s="224"/>
    </row>
    <row r="138" spans="1:4">
      <c r="A138" s="222"/>
      <c r="B138" s="222"/>
      <c r="C138" s="227"/>
      <c r="D138" s="224"/>
    </row>
    <row r="139" spans="1:4">
      <c r="A139" s="222"/>
      <c r="B139" s="222"/>
      <c r="C139" s="227"/>
      <c r="D139" s="224"/>
    </row>
    <row r="140" spans="1:4">
      <c r="A140" s="222"/>
      <c r="B140" s="222"/>
      <c r="C140" s="227"/>
      <c r="D140" s="224"/>
    </row>
    <row r="141" spans="1:4">
      <c r="A141" s="222"/>
      <c r="B141" s="222"/>
      <c r="C141" s="227"/>
      <c r="D141" s="224"/>
    </row>
    <row r="142" spans="1:4">
      <c r="A142" s="222"/>
      <c r="B142" s="222"/>
      <c r="C142" s="227"/>
      <c r="D142" s="224"/>
    </row>
    <row r="143" spans="1:4">
      <c r="A143" s="222"/>
      <c r="B143" s="222"/>
      <c r="C143" s="227"/>
      <c r="D143" s="224"/>
    </row>
    <row r="144" spans="1:4">
      <c r="A144" s="222"/>
      <c r="B144" s="222"/>
      <c r="C144" s="227"/>
      <c r="D144" s="224"/>
    </row>
    <row r="145" spans="1:4">
      <c r="A145" s="222"/>
      <c r="B145" s="222"/>
      <c r="C145" s="227"/>
      <c r="D145" s="224"/>
    </row>
    <row r="146" spans="1:4">
      <c r="A146" s="222"/>
      <c r="B146" s="222"/>
      <c r="C146" s="227"/>
      <c r="D146" s="224"/>
    </row>
    <row r="147" spans="1:4">
      <c r="A147" s="222"/>
      <c r="B147" s="222"/>
      <c r="C147" s="227"/>
      <c r="D147" s="224"/>
    </row>
    <row r="148" spans="1:4">
      <c r="A148" s="222"/>
      <c r="B148" s="222"/>
      <c r="C148" s="227"/>
      <c r="D148" s="224"/>
    </row>
    <row r="149" spans="1:4">
      <c r="A149" s="222"/>
      <c r="B149" s="222"/>
      <c r="C149" s="227"/>
      <c r="D149" s="224"/>
    </row>
    <row r="150" spans="1:4">
      <c r="A150" s="222"/>
      <c r="B150" s="222"/>
      <c r="C150" s="227"/>
      <c r="D150" s="224"/>
    </row>
    <row r="151" spans="1:4">
      <c r="A151" s="222"/>
      <c r="B151" s="222"/>
      <c r="C151" s="227"/>
      <c r="D151" s="224"/>
    </row>
    <row r="152" spans="1:4">
      <c r="A152" s="222"/>
      <c r="B152" s="222"/>
      <c r="C152" s="227"/>
      <c r="D152" s="224"/>
    </row>
    <row r="153" spans="1:4">
      <c r="A153" s="222"/>
      <c r="B153" s="222"/>
      <c r="C153" s="227"/>
      <c r="D153" s="224"/>
    </row>
    <row r="154" spans="1:4">
      <c r="A154" s="222"/>
      <c r="B154" s="222"/>
      <c r="C154" s="227"/>
      <c r="D154" s="224"/>
    </row>
    <row r="155" spans="1:4">
      <c r="A155" s="222"/>
      <c r="B155" s="222"/>
      <c r="C155" s="227"/>
      <c r="D155" s="224"/>
    </row>
    <row r="156" spans="1:4">
      <c r="A156" s="222"/>
      <c r="B156" s="222"/>
      <c r="C156" s="227"/>
      <c r="D156" s="224"/>
    </row>
    <row r="157" spans="1:4">
      <c r="A157" s="222"/>
      <c r="B157" s="222"/>
      <c r="C157" s="227"/>
      <c r="D157" s="224"/>
    </row>
    <row r="158" spans="1:4">
      <c r="A158" s="222"/>
      <c r="B158" s="222"/>
      <c r="C158" s="227"/>
      <c r="D158" s="224"/>
    </row>
    <row r="159" spans="1:4">
      <c r="A159" s="222"/>
      <c r="B159" s="222"/>
      <c r="C159" s="227"/>
      <c r="D159" s="224"/>
    </row>
    <row r="160" spans="1:4">
      <c r="A160" s="222"/>
      <c r="B160" s="222"/>
      <c r="C160" s="227"/>
      <c r="D160" s="224"/>
    </row>
    <row r="161" spans="1:4">
      <c r="A161" s="222"/>
      <c r="B161" s="222"/>
      <c r="C161" s="227"/>
      <c r="D161" s="224"/>
    </row>
  </sheetData>
  <mergeCells count="3">
    <mergeCell ref="AH2:AL2"/>
    <mergeCell ref="H22:L30"/>
    <mergeCell ref="B1:E1"/>
  </mergeCells>
  <phoneticPr fontId="14" type="noConversion"/>
  <printOptions horizontalCentered="1"/>
  <pageMargins left="0.5" right="0.5" top="1.75" bottom="1.25" header="0.75" footer="0.25"/>
  <pageSetup scale="28" fitToHeight="3" orientation="landscape" r:id="rId1"/>
  <headerFooter alignWithMargins="0">
    <oddHeader xml:space="preserve">&amp;L&amp;"SIEMENS-Firmenmarke,Normal"&amp;20s&amp;CUNIVERSITY OF COLORADO DENVER HEALTH SCIENCE CENTER
ACADEMIC OFFICE WEST
AURORA, COLORADO
270-PE-0627&amp;RJULY 24, 2006
</oddHeader>
    <oddFooter xml:space="preserve">&amp;LNotes:
Valve sized for max 5 PSI pressure drop.&amp;C&amp;P of &amp;N&amp;RTERMINAL UNITS CONTROL VALVE SCHEDULE
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>
    <tabColor indexed="8"/>
  </sheetPr>
  <dimension ref="A1:L859"/>
  <sheetViews>
    <sheetView showGridLines="0" topLeftCell="A349" workbookViewId="0">
      <selection activeCell="H367" sqref="H367:H389"/>
    </sheetView>
  </sheetViews>
  <sheetFormatPr defaultRowHeight="12.75"/>
  <cols>
    <col min="1" max="1" width="11.85546875" style="109" bestFit="1" customWidth="1"/>
    <col min="2" max="2" width="7.85546875" style="109" bestFit="1" customWidth="1"/>
    <col min="3" max="3" width="9.28515625" style="109" bestFit="1" customWidth="1"/>
    <col min="4" max="4" width="13.7109375" style="109" bestFit="1" customWidth="1"/>
    <col min="5" max="5" width="9.85546875" style="109" bestFit="1" customWidth="1"/>
    <col min="6" max="6" width="12.42578125" style="109" bestFit="1" customWidth="1"/>
    <col min="7" max="7" width="9.85546875" style="109" bestFit="1" customWidth="1"/>
    <col min="8" max="8" width="10.85546875" style="109" bestFit="1" customWidth="1"/>
    <col min="9" max="9" width="9.7109375" style="109" bestFit="1" customWidth="1"/>
    <col min="10" max="10" width="10.5703125" style="109" bestFit="1" customWidth="1"/>
    <col min="11" max="11" width="15.28515625" style="109" bestFit="1" customWidth="1"/>
    <col min="12" max="16384" width="9.140625" style="109"/>
  </cols>
  <sheetData>
    <row r="1" spans="1:12">
      <c r="A1" s="107" t="s">
        <v>614</v>
      </c>
      <c r="B1" s="107" t="s">
        <v>587</v>
      </c>
      <c r="C1" s="107" t="s">
        <v>589</v>
      </c>
      <c r="D1" s="107" t="s">
        <v>615</v>
      </c>
      <c r="E1" s="107" t="s">
        <v>616</v>
      </c>
      <c r="F1" s="107" t="s">
        <v>617</v>
      </c>
      <c r="G1" s="107" t="s">
        <v>618</v>
      </c>
      <c r="H1" s="107" t="s">
        <v>508</v>
      </c>
      <c r="I1" s="107" t="s">
        <v>619</v>
      </c>
      <c r="J1" s="107" t="s">
        <v>620</v>
      </c>
      <c r="K1" s="107" t="s">
        <v>621</v>
      </c>
      <c r="L1" s="108"/>
    </row>
    <row r="2" spans="1:12">
      <c r="A2" s="105" t="s">
        <v>622</v>
      </c>
      <c r="B2" s="105" t="s">
        <v>623</v>
      </c>
      <c r="C2" s="105" t="s">
        <v>624</v>
      </c>
      <c r="D2" s="105" t="s">
        <v>625</v>
      </c>
      <c r="E2" s="105" t="s">
        <v>626</v>
      </c>
      <c r="F2" s="105" t="s">
        <v>577</v>
      </c>
      <c r="G2" s="105"/>
      <c r="H2" s="105" t="s">
        <v>627</v>
      </c>
      <c r="I2" s="105" t="s">
        <v>628</v>
      </c>
      <c r="J2" s="105" t="s">
        <v>629</v>
      </c>
      <c r="K2" s="105" t="s">
        <v>630</v>
      </c>
      <c r="L2" s="108"/>
    </row>
    <row r="3" spans="1:12">
      <c r="A3" s="105" t="s">
        <v>631</v>
      </c>
      <c r="B3" s="105" t="s">
        <v>632</v>
      </c>
      <c r="C3" s="105" t="s">
        <v>624</v>
      </c>
      <c r="D3" s="105" t="s">
        <v>625</v>
      </c>
      <c r="E3" s="105" t="s">
        <v>626</v>
      </c>
      <c r="F3" s="105" t="s">
        <v>577</v>
      </c>
      <c r="G3" s="105"/>
      <c r="H3" s="105" t="s">
        <v>627</v>
      </c>
      <c r="I3" s="105" t="s">
        <v>628</v>
      </c>
      <c r="J3" s="105" t="s">
        <v>629</v>
      </c>
      <c r="K3" s="105" t="s">
        <v>630</v>
      </c>
      <c r="L3" s="108"/>
    </row>
    <row r="4" spans="1:12">
      <c r="A4" s="105" t="s">
        <v>633</v>
      </c>
      <c r="B4" s="105" t="s">
        <v>634</v>
      </c>
      <c r="C4" s="105" t="s">
        <v>635</v>
      </c>
      <c r="D4" s="105" t="s">
        <v>625</v>
      </c>
      <c r="E4" s="105" t="s">
        <v>626</v>
      </c>
      <c r="F4" s="105" t="s">
        <v>577</v>
      </c>
      <c r="G4" s="105"/>
      <c r="H4" s="105" t="s">
        <v>627</v>
      </c>
      <c r="I4" s="105" t="s">
        <v>628</v>
      </c>
      <c r="J4" s="105" t="s">
        <v>629</v>
      </c>
      <c r="K4" s="105" t="s">
        <v>630</v>
      </c>
      <c r="L4" s="108"/>
    </row>
    <row r="5" spans="1:12">
      <c r="A5" s="105" t="s">
        <v>636</v>
      </c>
      <c r="B5" s="105" t="s">
        <v>637</v>
      </c>
      <c r="C5" s="105" t="s">
        <v>496</v>
      </c>
      <c r="D5" s="105" t="s">
        <v>625</v>
      </c>
      <c r="E5" s="105" t="s">
        <v>626</v>
      </c>
      <c r="F5" s="105" t="s">
        <v>577</v>
      </c>
      <c r="G5" s="105"/>
      <c r="H5" s="105" t="s">
        <v>627</v>
      </c>
      <c r="I5" s="105" t="s">
        <v>628</v>
      </c>
      <c r="J5" s="105" t="s">
        <v>629</v>
      </c>
      <c r="K5" s="105" t="s">
        <v>630</v>
      </c>
      <c r="L5" s="108"/>
    </row>
    <row r="6" spans="1:12">
      <c r="A6" s="105" t="s">
        <v>638</v>
      </c>
      <c r="B6" s="105" t="s">
        <v>639</v>
      </c>
      <c r="C6" s="105" t="s">
        <v>624</v>
      </c>
      <c r="D6" s="105" t="s">
        <v>625</v>
      </c>
      <c r="E6" s="105" t="s">
        <v>626</v>
      </c>
      <c r="F6" s="105" t="s">
        <v>577</v>
      </c>
      <c r="G6" s="105"/>
      <c r="H6" s="105" t="s">
        <v>627</v>
      </c>
      <c r="I6" s="105" t="s">
        <v>628</v>
      </c>
      <c r="J6" s="105" t="s">
        <v>629</v>
      </c>
      <c r="K6" s="105" t="s">
        <v>630</v>
      </c>
      <c r="L6" s="108"/>
    </row>
    <row r="7" spans="1:12">
      <c r="A7" s="105" t="s">
        <v>640</v>
      </c>
      <c r="B7" s="105" t="s">
        <v>623</v>
      </c>
      <c r="C7" s="105" t="s">
        <v>624</v>
      </c>
      <c r="D7" s="105" t="s">
        <v>625</v>
      </c>
      <c r="E7" s="105" t="s">
        <v>626</v>
      </c>
      <c r="F7" s="105" t="s">
        <v>577</v>
      </c>
      <c r="G7" s="105"/>
      <c r="H7" s="105" t="s">
        <v>627</v>
      </c>
      <c r="I7" s="105" t="s">
        <v>628</v>
      </c>
      <c r="J7" s="105" t="s">
        <v>641</v>
      </c>
      <c r="K7" s="105" t="s">
        <v>630</v>
      </c>
      <c r="L7" s="108"/>
    </row>
    <row r="8" spans="1:12">
      <c r="A8" s="105" t="s">
        <v>642</v>
      </c>
      <c r="B8" s="105" t="s">
        <v>632</v>
      </c>
      <c r="C8" s="105" t="s">
        <v>624</v>
      </c>
      <c r="D8" s="105" t="s">
        <v>625</v>
      </c>
      <c r="E8" s="105" t="s">
        <v>626</v>
      </c>
      <c r="F8" s="105" t="s">
        <v>577</v>
      </c>
      <c r="G8" s="105"/>
      <c r="H8" s="105" t="s">
        <v>627</v>
      </c>
      <c r="I8" s="105" t="s">
        <v>628</v>
      </c>
      <c r="J8" s="105" t="s">
        <v>641</v>
      </c>
      <c r="K8" s="105" t="s">
        <v>630</v>
      </c>
      <c r="L8" s="108"/>
    </row>
    <row r="9" spans="1:12">
      <c r="A9" s="105" t="s">
        <v>643</v>
      </c>
      <c r="B9" s="105" t="s">
        <v>634</v>
      </c>
      <c r="C9" s="105" t="s">
        <v>635</v>
      </c>
      <c r="D9" s="105" t="s">
        <v>625</v>
      </c>
      <c r="E9" s="105" t="s">
        <v>626</v>
      </c>
      <c r="F9" s="105" t="s">
        <v>577</v>
      </c>
      <c r="G9" s="105"/>
      <c r="H9" s="105" t="s">
        <v>627</v>
      </c>
      <c r="I9" s="105" t="s">
        <v>628</v>
      </c>
      <c r="J9" s="105" t="s">
        <v>641</v>
      </c>
      <c r="K9" s="105" t="s">
        <v>630</v>
      </c>
      <c r="L9" s="108"/>
    </row>
    <row r="10" spans="1:12">
      <c r="A10" s="105" t="s">
        <v>644</v>
      </c>
      <c r="B10" s="105" t="s">
        <v>637</v>
      </c>
      <c r="C10" s="105" t="s">
        <v>496</v>
      </c>
      <c r="D10" s="105" t="s">
        <v>625</v>
      </c>
      <c r="E10" s="105" t="s">
        <v>626</v>
      </c>
      <c r="F10" s="105" t="s">
        <v>577</v>
      </c>
      <c r="G10" s="105"/>
      <c r="H10" s="105" t="s">
        <v>627</v>
      </c>
      <c r="I10" s="105" t="s">
        <v>628</v>
      </c>
      <c r="J10" s="105" t="s">
        <v>641</v>
      </c>
      <c r="K10" s="105" t="s">
        <v>630</v>
      </c>
      <c r="L10" s="108"/>
    </row>
    <row r="11" spans="1:12">
      <c r="A11" s="105" t="s">
        <v>645</v>
      </c>
      <c r="B11" s="105" t="s">
        <v>639</v>
      </c>
      <c r="C11" s="105" t="s">
        <v>624</v>
      </c>
      <c r="D11" s="105" t="s">
        <v>625</v>
      </c>
      <c r="E11" s="105" t="s">
        <v>626</v>
      </c>
      <c r="F11" s="105" t="s">
        <v>577</v>
      </c>
      <c r="G11" s="105"/>
      <c r="H11" s="105" t="s">
        <v>627</v>
      </c>
      <c r="I11" s="105" t="s">
        <v>628</v>
      </c>
      <c r="J11" s="105" t="s">
        <v>641</v>
      </c>
      <c r="K11" s="105" t="s">
        <v>630</v>
      </c>
      <c r="L11" s="108"/>
    </row>
    <row r="12" spans="1:12">
      <c r="A12" s="105" t="s">
        <v>646</v>
      </c>
      <c r="B12" s="105" t="s">
        <v>623</v>
      </c>
      <c r="C12" s="105" t="s">
        <v>624</v>
      </c>
      <c r="D12" s="105" t="s">
        <v>625</v>
      </c>
      <c r="E12" s="105" t="s">
        <v>626</v>
      </c>
      <c r="F12" s="105" t="s">
        <v>579</v>
      </c>
      <c r="G12" s="105"/>
      <c r="H12" s="105" t="s">
        <v>627</v>
      </c>
      <c r="I12" s="105" t="s">
        <v>628</v>
      </c>
      <c r="J12" s="105" t="s">
        <v>629</v>
      </c>
      <c r="K12" s="105" t="s">
        <v>630</v>
      </c>
      <c r="L12" s="108"/>
    </row>
    <row r="13" spans="1:12">
      <c r="A13" s="105" t="s">
        <v>647</v>
      </c>
      <c r="B13" s="105" t="s">
        <v>632</v>
      </c>
      <c r="C13" s="105" t="s">
        <v>624</v>
      </c>
      <c r="D13" s="105" t="s">
        <v>625</v>
      </c>
      <c r="E13" s="105" t="s">
        <v>626</v>
      </c>
      <c r="F13" s="105" t="s">
        <v>579</v>
      </c>
      <c r="G13" s="105"/>
      <c r="H13" s="105" t="s">
        <v>627</v>
      </c>
      <c r="I13" s="105" t="s">
        <v>628</v>
      </c>
      <c r="J13" s="105" t="s">
        <v>629</v>
      </c>
      <c r="K13" s="105" t="s">
        <v>630</v>
      </c>
      <c r="L13" s="108"/>
    </row>
    <row r="14" spans="1:12">
      <c r="A14" s="105" t="s">
        <v>648</v>
      </c>
      <c r="B14" s="105" t="s">
        <v>634</v>
      </c>
      <c r="C14" s="105" t="s">
        <v>635</v>
      </c>
      <c r="D14" s="105" t="s">
        <v>625</v>
      </c>
      <c r="E14" s="105" t="s">
        <v>626</v>
      </c>
      <c r="F14" s="105" t="s">
        <v>579</v>
      </c>
      <c r="G14" s="105"/>
      <c r="H14" s="105" t="s">
        <v>627</v>
      </c>
      <c r="I14" s="105" t="s">
        <v>628</v>
      </c>
      <c r="J14" s="105" t="s">
        <v>629</v>
      </c>
      <c r="K14" s="105" t="s">
        <v>630</v>
      </c>
      <c r="L14" s="108"/>
    </row>
    <row r="15" spans="1:12">
      <c r="A15" s="105" t="s">
        <v>649</v>
      </c>
      <c r="B15" s="105" t="s">
        <v>650</v>
      </c>
      <c r="C15" s="105" t="s">
        <v>496</v>
      </c>
      <c r="D15" s="105" t="s">
        <v>625</v>
      </c>
      <c r="E15" s="105" t="s">
        <v>626</v>
      </c>
      <c r="F15" s="105" t="s">
        <v>579</v>
      </c>
      <c r="G15" s="105"/>
      <c r="H15" s="105" t="s">
        <v>627</v>
      </c>
      <c r="I15" s="105" t="s">
        <v>628</v>
      </c>
      <c r="J15" s="105" t="s">
        <v>629</v>
      </c>
      <c r="K15" s="105" t="s">
        <v>630</v>
      </c>
      <c r="L15" s="108"/>
    </row>
    <row r="16" spans="1:12">
      <c r="A16" s="105" t="s">
        <v>651</v>
      </c>
      <c r="B16" s="105" t="s">
        <v>639</v>
      </c>
      <c r="C16" s="105" t="s">
        <v>624</v>
      </c>
      <c r="D16" s="105" t="s">
        <v>625</v>
      </c>
      <c r="E16" s="105" t="s">
        <v>626</v>
      </c>
      <c r="F16" s="105" t="s">
        <v>579</v>
      </c>
      <c r="G16" s="105"/>
      <c r="H16" s="105" t="s">
        <v>627</v>
      </c>
      <c r="I16" s="105" t="s">
        <v>628</v>
      </c>
      <c r="J16" s="105" t="s">
        <v>629</v>
      </c>
      <c r="K16" s="105" t="s">
        <v>630</v>
      </c>
      <c r="L16" s="108"/>
    </row>
    <row r="17" spans="1:12">
      <c r="A17" s="105" t="s">
        <v>652</v>
      </c>
      <c r="B17" s="105" t="s">
        <v>623</v>
      </c>
      <c r="C17" s="105" t="s">
        <v>624</v>
      </c>
      <c r="D17" s="105" t="s">
        <v>625</v>
      </c>
      <c r="E17" s="105" t="s">
        <v>626</v>
      </c>
      <c r="F17" s="105" t="s">
        <v>579</v>
      </c>
      <c r="G17" s="105"/>
      <c r="H17" s="105" t="s">
        <v>627</v>
      </c>
      <c r="I17" s="105" t="s">
        <v>628</v>
      </c>
      <c r="J17" s="105" t="s">
        <v>641</v>
      </c>
      <c r="K17" s="105" t="s">
        <v>630</v>
      </c>
      <c r="L17" s="108"/>
    </row>
    <row r="18" spans="1:12">
      <c r="A18" s="105" t="s">
        <v>653</v>
      </c>
      <c r="B18" s="105" t="s">
        <v>632</v>
      </c>
      <c r="C18" s="105" t="s">
        <v>624</v>
      </c>
      <c r="D18" s="105" t="s">
        <v>625</v>
      </c>
      <c r="E18" s="105" t="s">
        <v>626</v>
      </c>
      <c r="F18" s="105" t="s">
        <v>579</v>
      </c>
      <c r="G18" s="105"/>
      <c r="H18" s="105" t="s">
        <v>627</v>
      </c>
      <c r="I18" s="105" t="s">
        <v>628</v>
      </c>
      <c r="J18" s="105" t="s">
        <v>641</v>
      </c>
      <c r="K18" s="105" t="s">
        <v>630</v>
      </c>
      <c r="L18" s="108"/>
    </row>
    <row r="19" spans="1:12">
      <c r="A19" s="105" t="s">
        <v>654</v>
      </c>
      <c r="B19" s="105" t="s">
        <v>634</v>
      </c>
      <c r="C19" s="105" t="s">
        <v>635</v>
      </c>
      <c r="D19" s="105" t="s">
        <v>625</v>
      </c>
      <c r="E19" s="105" t="s">
        <v>626</v>
      </c>
      <c r="F19" s="105" t="s">
        <v>579</v>
      </c>
      <c r="G19" s="105"/>
      <c r="H19" s="105" t="s">
        <v>627</v>
      </c>
      <c r="I19" s="105" t="s">
        <v>628</v>
      </c>
      <c r="J19" s="105" t="s">
        <v>641</v>
      </c>
      <c r="K19" s="105" t="s">
        <v>630</v>
      </c>
      <c r="L19" s="108"/>
    </row>
    <row r="20" spans="1:12">
      <c r="A20" s="105" t="s">
        <v>655</v>
      </c>
      <c r="B20" s="105" t="s">
        <v>637</v>
      </c>
      <c r="C20" s="105" t="s">
        <v>496</v>
      </c>
      <c r="D20" s="105" t="s">
        <v>625</v>
      </c>
      <c r="E20" s="105" t="s">
        <v>626</v>
      </c>
      <c r="F20" s="105" t="s">
        <v>579</v>
      </c>
      <c r="G20" s="105"/>
      <c r="H20" s="105" t="s">
        <v>627</v>
      </c>
      <c r="I20" s="105" t="s">
        <v>628</v>
      </c>
      <c r="J20" s="105" t="s">
        <v>641</v>
      </c>
      <c r="K20" s="105" t="s">
        <v>630</v>
      </c>
      <c r="L20" s="108"/>
    </row>
    <row r="21" spans="1:12">
      <c r="A21" s="105" t="s">
        <v>656</v>
      </c>
      <c r="B21" s="105" t="s">
        <v>639</v>
      </c>
      <c r="C21" s="105" t="s">
        <v>624</v>
      </c>
      <c r="D21" s="105" t="s">
        <v>625</v>
      </c>
      <c r="E21" s="105" t="s">
        <v>626</v>
      </c>
      <c r="F21" s="105" t="s">
        <v>579</v>
      </c>
      <c r="G21" s="105"/>
      <c r="H21" s="105" t="s">
        <v>627</v>
      </c>
      <c r="I21" s="105" t="s">
        <v>628</v>
      </c>
      <c r="J21" s="105" t="s">
        <v>641</v>
      </c>
      <c r="K21" s="105" t="s">
        <v>630</v>
      </c>
      <c r="L21" s="108"/>
    </row>
    <row r="22" spans="1:12" s="54" customFormat="1">
      <c r="A22" s="106" t="s">
        <v>657</v>
      </c>
      <c r="B22" s="106" t="s">
        <v>637</v>
      </c>
      <c r="C22" s="106" t="s">
        <v>624</v>
      </c>
      <c r="D22" s="106" t="s">
        <v>625</v>
      </c>
      <c r="E22" s="106" t="s">
        <v>626</v>
      </c>
      <c r="F22" s="106" t="s">
        <v>577</v>
      </c>
      <c r="G22" s="106" t="s">
        <v>658</v>
      </c>
      <c r="H22" s="106" t="s">
        <v>627</v>
      </c>
      <c r="I22" s="106" t="s">
        <v>659</v>
      </c>
      <c r="J22" s="106" t="s">
        <v>660</v>
      </c>
      <c r="K22" s="106" t="s">
        <v>661</v>
      </c>
      <c r="L22" s="110" t="s">
        <v>662</v>
      </c>
    </row>
    <row r="23" spans="1:12" s="54" customFormat="1">
      <c r="A23" s="106" t="s">
        <v>663</v>
      </c>
      <c r="B23" s="106" t="s">
        <v>664</v>
      </c>
      <c r="C23" s="106" t="s">
        <v>624</v>
      </c>
      <c r="D23" s="106" t="s">
        <v>625</v>
      </c>
      <c r="E23" s="106" t="s">
        <v>626</v>
      </c>
      <c r="F23" s="106" t="s">
        <v>577</v>
      </c>
      <c r="G23" s="106" t="s">
        <v>658</v>
      </c>
      <c r="H23" s="106" t="s">
        <v>627</v>
      </c>
      <c r="I23" s="106" t="s">
        <v>659</v>
      </c>
      <c r="J23" s="106" t="s">
        <v>665</v>
      </c>
      <c r="K23" s="106" t="s">
        <v>661</v>
      </c>
      <c r="L23" s="111"/>
    </row>
    <row r="24" spans="1:12" s="54" customFormat="1">
      <c r="A24" s="106" t="s">
        <v>666</v>
      </c>
      <c r="B24" s="106" t="s">
        <v>667</v>
      </c>
      <c r="C24" s="106" t="s">
        <v>624</v>
      </c>
      <c r="D24" s="106" t="s">
        <v>625</v>
      </c>
      <c r="E24" s="106" t="s">
        <v>626</v>
      </c>
      <c r="F24" s="106" t="s">
        <v>577</v>
      </c>
      <c r="G24" s="106" t="s">
        <v>658</v>
      </c>
      <c r="H24" s="106" t="s">
        <v>627</v>
      </c>
      <c r="I24" s="106" t="s">
        <v>659</v>
      </c>
      <c r="J24" s="106" t="s">
        <v>660</v>
      </c>
      <c r="K24" s="106" t="s">
        <v>661</v>
      </c>
      <c r="L24" s="110" t="s">
        <v>668</v>
      </c>
    </row>
    <row r="25" spans="1:12" s="54" customFormat="1">
      <c r="A25" s="106" t="s">
        <v>669</v>
      </c>
      <c r="B25" s="106" t="s">
        <v>667</v>
      </c>
      <c r="C25" s="106" t="s">
        <v>624</v>
      </c>
      <c r="D25" s="106" t="s">
        <v>625</v>
      </c>
      <c r="E25" s="106" t="s">
        <v>626</v>
      </c>
      <c r="F25" s="106" t="s">
        <v>577</v>
      </c>
      <c r="G25" s="106" t="s">
        <v>658</v>
      </c>
      <c r="H25" s="106" t="s">
        <v>627</v>
      </c>
      <c r="I25" s="106" t="s">
        <v>659</v>
      </c>
      <c r="J25" s="106" t="s">
        <v>665</v>
      </c>
      <c r="K25" s="106" t="s">
        <v>661</v>
      </c>
      <c r="L25" s="110" t="s">
        <v>670</v>
      </c>
    </row>
    <row r="26" spans="1:12" s="54" customFormat="1">
      <c r="A26" s="106" t="s">
        <v>671</v>
      </c>
      <c r="B26" s="106" t="s">
        <v>496</v>
      </c>
      <c r="C26" s="106" t="s">
        <v>624</v>
      </c>
      <c r="D26" s="106" t="s">
        <v>625</v>
      </c>
      <c r="E26" s="106" t="s">
        <v>626</v>
      </c>
      <c r="F26" s="106" t="s">
        <v>577</v>
      </c>
      <c r="G26" s="106" t="s">
        <v>658</v>
      </c>
      <c r="H26" s="106" t="s">
        <v>627</v>
      </c>
      <c r="I26" s="106" t="s">
        <v>659</v>
      </c>
      <c r="J26" s="106" t="s">
        <v>660</v>
      </c>
      <c r="K26" s="106" t="s">
        <v>661</v>
      </c>
      <c r="L26" s="110" t="s">
        <v>672</v>
      </c>
    </row>
    <row r="27" spans="1:12" s="54" customFormat="1">
      <c r="A27" s="106" t="s">
        <v>673</v>
      </c>
      <c r="B27" s="106" t="s">
        <v>496</v>
      </c>
      <c r="C27" s="106" t="s">
        <v>624</v>
      </c>
      <c r="D27" s="106" t="s">
        <v>625</v>
      </c>
      <c r="E27" s="106" t="s">
        <v>626</v>
      </c>
      <c r="F27" s="106" t="s">
        <v>577</v>
      </c>
      <c r="G27" s="106" t="s">
        <v>658</v>
      </c>
      <c r="H27" s="106" t="s">
        <v>627</v>
      </c>
      <c r="I27" s="106" t="s">
        <v>659</v>
      </c>
      <c r="J27" s="106" t="s">
        <v>665</v>
      </c>
      <c r="K27" s="106" t="s">
        <v>661</v>
      </c>
      <c r="L27" s="110" t="s">
        <v>674</v>
      </c>
    </row>
    <row r="28" spans="1:12" s="54" customFormat="1">
      <c r="A28" s="106" t="s">
        <v>675</v>
      </c>
      <c r="B28" s="106" t="s">
        <v>676</v>
      </c>
      <c r="C28" s="106" t="s">
        <v>624</v>
      </c>
      <c r="D28" s="106" t="s">
        <v>625</v>
      </c>
      <c r="E28" s="106" t="s">
        <v>626</v>
      </c>
      <c r="F28" s="106" t="s">
        <v>577</v>
      </c>
      <c r="G28" s="106" t="s">
        <v>658</v>
      </c>
      <c r="H28" s="106" t="s">
        <v>627</v>
      </c>
      <c r="I28" s="106" t="s">
        <v>659</v>
      </c>
      <c r="J28" s="106" t="s">
        <v>660</v>
      </c>
      <c r="K28" s="106" t="s">
        <v>661</v>
      </c>
      <c r="L28" s="110" t="s">
        <v>677</v>
      </c>
    </row>
    <row r="29" spans="1:12" s="54" customFormat="1">
      <c r="A29" s="106" t="s">
        <v>678</v>
      </c>
      <c r="B29" s="106" t="s">
        <v>676</v>
      </c>
      <c r="C29" s="106" t="s">
        <v>624</v>
      </c>
      <c r="D29" s="106" t="s">
        <v>625</v>
      </c>
      <c r="E29" s="106" t="s">
        <v>626</v>
      </c>
      <c r="F29" s="106" t="s">
        <v>577</v>
      </c>
      <c r="G29" s="106" t="s">
        <v>658</v>
      </c>
      <c r="H29" s="106" t="s">
        <v>627</v>
      </c>
      <c r="I29" s="106" t="s">
        <v>659</v>
      </c>
      <c r="J29" s="106" t="s">
        <v>665</v>
      </c>
      <c r="K29" s="106" t="s">
        <v>661</v>
      </c>
      <c r="L29" s="110" t="s">
        <v>679</v>
      </c>
    </row>
    <row r="30" spans="1:12" s="54" customFormat="1">
      <c r="A30" s="106" t="s">
        <v>680</v>
      </c>
      <c r="B30" s="106" t="s">
        <v>632</v>
      </c>
      <c r="C30" s="106" t="s">
        <v>624</v>
      </c>
      <c r="D30" s="106" t="s">
        <v>625</v>
      </c>
      <c r="E30" s="106" t="s">
        <v>626</v>
      </c>
      <c r="F30" s="106" t="s">
        <v>577</v>
      </c>
      <c r="G30" s="106" t="s">
        <v>658</v>
      </c>
      <c r="H30" s="106" t="s">
        <v>627</v>
      </c>
      <c r="I30" s="106" t="s">
        <v>659</v>
      </c>
      <c r="J30" s="106" t="s">
        <v>660</v>
      </c>
      <c r="K30" s="106" t="s">
        <v>661</v>
      </c>
      <c r="L30" s="112"/>
    </row>
    <row r="31" spans="1:12" s="54" customFormat="1">
      <c r="A31" s="106" t="s">
        <v>681</v>
      </c>
      <c r="B31" s="106" t="s">
        <v>632</v>
      </c>
      <c r="C31" s="106" t="s">
        <v>624</v>
      </c>
      <c r="D31" s="106" t="s">
        <v>625</v>
      </c>
      <c r="E31" s="106" t="s">
        <v>626</v>
      </c>
      <c r="F31" s="106" t="s">
        <v>577</v>
      </c>
      <c r="G31" s="106" t="s">
        <v>658</v>
      </c>
      <c r="H31" s="106" t="s">
        <v>627</v>
      </c>
      <c r="I31" s="106" t="s">
        <v>659</v>
      </c>
      <c r="J31" s="106" t="s">
        <v>665</v>
      </c>
      <c r="K31" s="106" t="s">
        <v>661</v>
      </c>
      <c r="L31" s="110" t="s">
        <v>682</v>
      </c>
    </row>
    <row r="32" spans="1:12" s="54" customFormat="1">
      <c r="A32" s="106" t="s">
        <v>683</v>
      </c>
      <c r="B32" s="106" t="s">
        <v>500</v>
      </c>
      <c r="C32" s="106" t="s">
        <v>624</v>
      </c>
      <c r="D32" s="106" t="s">
        <v>625</v>
      </c>
      <c r="E32" s="106" t="s">
        <v>626</v>
      </c>
      <c r="F32" s="106" t="s">
        <v>577</v>
      </c>
      <c r="G32" s="106" t="s">
        <v>658</v>
      </c>
      <c r="H32" s="106" t="s">
        <v>627</v>
      </c>
      <c r="I32" s="106" t="s">
        <v>659</v>
      </c>
      <c r="J32" s="106" t="s">
        <v>660</v>
      </c>
      <c r="K32" s="106" t="s">
        <v>661</v>
      </c>
      <c r="L32" s="110" t="s">
        <v>684</v>
      </c>
    </row>
    <row r="33" spans="1:12" s="54" customFormat="1">
      <c r="A33" s="106" t="s">
        <v>685</v>
      </c>
      <c r="B33" s="106" t="s">
        <v>500</v>
      </c>
      <c r="C33" s="106" t="s">
        <v>624</v>
      </c>
      <c r="D33" s="106" t="s">
        <v>625</v>
      </c>
      <c r="E33" s="106" t="s">
        <v>626</v>
      </c>
      <c r="F33" s="106" t="s">
        <v>577</v>
      </c>
      <c r="G33" s="106" t="s">
        <v>658</v>
      </c>
      <c r="H33" s="106" t="s">
        <v>627</v>
      </c>
      <c r="I33" s="106" t="s">
        <v>659</v>
      </c>
      <c r="J33" s="106" t="s">
        <v>665</v>
      </c>
      <c r="K33" s="106" t="s">
        <v>661</v>
      </c>
      <c r="L33" s="112"/>
    </row>
    <row r="34" spans="1:12" s="54" customFormat="1">
      <c r="A34" s="106" t="s">
        <v>686</v>
      </c>
      <c r="B34" s="106" t="s">
        <v>687</v>
      </c>
      <c r="C34" s="106" t="s">
        <v>635</v>
      </c>
      <c r="D34" s="106" t="s">
        <v>625</v>
      </c>
      <c r="E34" s="106" t="s">
        <v>626</v>
      </c>
      <c r="F34" s="106" t="s">
        <v>577</v>
      </c>
      <c r="G34" s="106" t="s">
        <v>658</v>
      </c>
      <c r="H34" s="106" t="s">
        <v>627</v>
      </c>
      <c r="I34" s="106" t="s">
        <v>659</v>
      </c>
      <c r="J34" s="106" t="s">
        <v>660</v>
      </c>
      <c r="K34" s="106" t="s">
        <v>661</v>
      </c>
      <c r="L34" s="110"/>
    </row>
    <row r="35" spans="1:12" s="54" customFormat="1">
      <c r="A35" s="106" t="s">
        <v>688</v>
      </c>
      <c r="B35" s="106" t="s">
        <v>687</v>
      </c>
      <c r="C35" s="106" t="s">
        <v>635</v>
      </c>
      <c r="D35" s="106" t="s">
        <v>625</v>
      </c>
      <c r="E35" s="106" t="s">
        <v>626</v>
      </c>
      <c r="F35" s="106" t="s">
        <v>577</v>
      </c>
      <c r="G35" s="106" t="s">
        <v>658</v>
      </c>
      <c r="H35" s="106" t="s">
        <v>627</v>
      </c>
      <c r="I35" s="106" t="s">
        <v>659</v>
      </c>
      <c r="J35" s="106" t="s">
        <v>665</v>
      </c>
      <c r="K35" s="106" t="s">
        <v>661</v>
      </c>
      <c r="L35" s="110"/>
    </row>
    <row r="36" spans="1:12" s="54" customFormat="1">
      <c r="A36" s="106" t="s">
        <v>689</v>
      </c>
      <c r="B36" s="106" t="s">
        <v>690</v>
      </c>
      <c r="C36" s="106" t="s">
        <v>496</v>
      </c>
      <c r="D36" s="106" t="s">
        <v>625</v>
      </c>
      <c r="E36" s="106" t="s">
        <v>626</v>
      </c>
      <c r="F36" s="106" t="s">
        <v>577</v>
      </c>
      <c r="G36" s="106" t="s">
        <v>658</v>
      </c>
      <c r="H36" s="106" t="s">
        <v>627</v>
      </c>
      <c r="I36" s="106" t="s">
        <v>659</v>
      </c>
      <c r="J36" s="106" t="s">
        <v>660</v>
      </c>
      <c r="K36" s="106" t="s">
        <v>661</v>
      </c>
      <c r="L36" s="111"/>
    </row>
    <row r="37" spans="1:12" s="54" customFormat="1">
      <c r="A37" s="106" t="s">
        <v>691</v>
      </c>
      <c r="B37" s="106" t="s">
        <v>664</v>
      </c>
      <c r="C37" s="106" t="s">
        <v>624</v>
      </c>
      <c r="D37" s="106" t="s">
        <v>625</v>
      </c>
      <c r="E37" s="106" t="s">
        <v>626</v>
      </c>
      <c r="F37" s="106" t="s">
        <v>577</v>
      </c>
      <c r="G37" s="106" t="s">
        <v>491</v>
      </c>
      <c r="H37" s="106" t="s">
        <v>627</v>
      </c>
      <c r="I37" s="106" t="s">
        <v>659</v>
      </c>
      <c r="J37" s="106" t="s">
        <v>660</v>
      </c>
      <c r="K37" s="106" t="s">
        <v>661</v>
      </c>
      <c r="L37" s="113"/>
    </row>
    <row r="38" spans="1:12" s="54" customFormat="1">
      <c r="A38" s="106" t="s">
        <v>692</v>
      </c>
      <c r="B38" s="106" t="s">
        <v>664</v>
      </c>
      <c r="C38" s="106" t="s">
        <v>624</v>
      </c>
      <c r="D38" s="106" t="s">
        <v>625</v>
      </c>
      <c r="E38" s="106" t="s">
        <v>626</v>
      </c>
      <c r="F38" s="106" t="s">
        <v>577</v>
      </c>
      <c r="G38" s="106" t="s">
        <v>491</v>
      </c>
      <c r="H38" s="106" t="s">
        <v>627</v>
      </c>
      <c r="I38" s="106" t="s">
        <v>659</v>
      </c>
      <c r="J38" s="106" t="s">
        <v>665</v>
      </c>
      <c r="K38" s="106" t="s">
        <v>661</v>
      </c>
      <c r="L38" s="113"/>
    </row>
    <row r="39" spans="1:12" s="54" customFormat="1">
      <c r="A39" s="106" t="s">
        <v>693</v>
      </c>
      <c r="B39" s="106" t="s">
        <v>667</v>
      </c>
      <c r="C39" s="106" t="s">
        <v>624</v>
      </c>
      <c r="D39" s="106" t="s">
        <v>625</v>
      </c>
      <c r="E39" s="106" t="s">
        <v>626</v>
      </c>
      <c r="F39" s="106" t="s">
        <v>577</v>
      </c>
      <c r="G39" s="106" t="s">
        <v>491</v>
      </c>
      <c r="H39" s="106" t="s">
        <v>627</v>
      </c>
      <c r="I39" s="106" t="s">
        <v>659</v>
      </c>
      <c r="J39" s="106" t="s">
        <v>660</v>
      </c>
      <c r="K39" s="106" t="s">
        <v>661</v>
      </c>
      <c r="L39" s="113"/>
    </row>
    <row r="40" spans="1:12" s="54" customFormat="1">
      <c r="A40" s="106" t="s">
        <v>694</v>
      </c>
      <c r="B40" s="106" t="s">
        <v>667</v>
      </c>
      <c r="C40" s="106" t="s">
        <v>624</v>
      </c>
      <c r="D40" s="106" t="s">
        <v>625</v>
      </c>
      <c r="E40" s="106" t="s">
        <v>626</v>
      </c>
      <c r="F40" s="106" t="s">
        <v>577</v>
      </c>
      <c r="G40" s="106" t="s">
        <v>491</v>
      </c>
      <c r="H40" s="106" t="s">
        <v>627</v>
      </c>
      <c r="I40" s="106" t="s">
        <v>659</v>
      </c>
      <c r="J40" s="106" t="s">
        <v>665</v>
      </c>
      <c r="K40" s="106" t="s">
        <v>661</v>
      </c>
      <c r="L40" s="113"/>
    </row>
    <row r="41" spans="1:12" s="54" customFormat="1">
      <c r="A41" s="106" t="s">
        <v>695</v>
      </c>
      <c r="B41" s="106" t="s">
        <v>496</v>
      </c>
      <c r="C41" s="106" t="s">
        <v>624</v>
      </c>
      <c r="D41" s="106" t="s">
        <v>625</v>
      </c>
      <c r="E41" s="106" t="s">
        <v>626</v>
      </c>
      <c r="F41" s="106" t="s">
        <v>577</v>
      </c>
      <c r="G41" s="106" t="s">
        <v>491</v>
      </c>
      <c r="H41" s="106" t="s">
        <v>627</v>
      </c>
      <c r="I41" s="106" t="s">
        <v>659</v>
      </c>
      <c r="J41" s="106" t="s">
        <v>660</v>
      </c>
      <c r="K41" s="106" t="s">
        <v>661</v>
      </c>
      <c r="L41" s="113"/>
    </row>
    <row r="42" spans="1:12" s="54" customFormat="1">
      <c r="A42" s="106" t="s">
        <v>696</v>
      </c>
      <c r="B42" s="106" t="s">
        <v>496</v>
      </c>
      <c r="C42" s="106" t="s">
        <v>624</v>
      </c>
      <c r="D42" s="106" t="s">
        <v>625</v>
      </c>
      <c r="E42" s="106" t="s">
        <v>626</v>
      </c>
      <c r="F42" s="106" t="s">
        <v>577</v>
      </c>
      <c r="G42" s="106" t="s">
        <v>491</v>
      </c>
      <c r="H42" s="106" t="s">
        <v>627</v>
      </c>
      <c r="I42" s="106" t="s">
        <v>659</v>
      </c>
      <c r="J42" s="106" t="s">
        <v>665</v>
      </c>
      <c r="K42" s="106" t="s">
        <v>661</v>
      </c>
      <c r="L42" s="113"/>
    </row>
    <row r="43" spans="1:12" s="54" customFormat="1">
      <c r="A43" s="106" t="s">
        <v>697</v>
      </c>
      <c r="B43" s="106" t="s">
        <v>676</v>
      </c>
      <c r="C43" s="106" t="s">
        <v>624</v>
      </c>
      <c r="D43" s="106" t="s">
        <v>625</v>
      </c>
      <c r="E43" s="106" t="s">
        <v>626</v>
      </c>
      <c r="F43" s="106" t="s">
        <v>577</v>
      </c>
      <c r="G43" s="106" t="s">
        <v>491</v>
      </c>
      <c r="H43" s="106" t="s">
        <v>627</v>
      </c>
      <c r="I43" s="106" t="s">
        <v>659</v>
      </c>
      <c r="J43" s="106" t="s">
        <v>660</v>
      </c>
      <c r="K43" s="106" t="s">
        <v>661</v>
      </c>
      <c r="L43" s="113"/>
    </row>
    <row r="44" spans="1:12" s="54" customFormat="1">
      <c r="A44" s="106" t="s">
        <v>698</v>
      </c>
      <c r="B44" s="106" t="s">
        <v>676</v>
      </c>
      <c r="C44" s="106" t="s">
        <v>624</v>
      </c>
      <c r="D44" s="106" t="s">
        <v>625</v>
      </c>
      <c r="E44" s="106" t="s">
        <v>626</v>
      </c>
      <c r="F44" s="106" t="s">
        <v>577</v>
      </c>
      <c r="G44" s="106" t="s">
        <v>491</v>
      </c>
      <c r="H44" s="106" t="s">
        <v>627</v>
      </c>
      <c r="I44" s="106" t="s">
        <v>659</v>
      </c>
      <c r="J44" s="106" t="s">
        <v>665</v>
      </c>
      <c r="K44" s="106" t="s">
        <v>661</v>
      </c>
      <c r="L44" s="113"/>
    </row>
    <row r="45" spans="1:12" s="54" customFormat="1">
      <c r="A45" s="106" t="s">
        <v>699</v>
      </c>
      <c r="B45" s="106" t="s">
        <v>632</v>
      </c>
      <c r="C45" s="106" t="s">
        <v>624</v>
      </c>
      <c r="D45" s="106" t="s">
        <v>625</v>
      </c>
      <c r="E45" s="106" t="s">
        <v>626</v>
      </c>
      <c r="F45" s="106" t="s">
        <v>577</v>
      </c>
      <c r="G45" s="106" t="s">
        <v>491</v>
      </c>
      <c r="H45" s="106" t="s">
        <v>627</v>
      </c>
      <c r="I45" s="106" t="s">
        <v>659</v>
      </c>
      <c r="J45" s="106" t="s">
        <v>660</v>
      </c>
      <c r="K45" s="106" t="s">
        <v>661</v>
      </c>
      <c r="L45" s="113"/>
    </row>
    <row r="46" spans="1:12" s="54" customFormat="1">
      <c r="A46" s="106" t="s">
        <v>700</v>
      </c>
      <c r="B46" s="106" t="s">
        <v>632</v>
      </c>
      <c r="C46" s="106" t="s">
        <v>624</v>
      </c>
      <c r="D46" s="106" t="s">
        <v>625</v>
      </c>
      <c r="E46" s="106" t="s">
        <v>626</v>
      </c>
      <c r="F46" s="106" t="s">
        <v>577</v>
      </c>
      <c r="G46" s="106" t="s">
        <v>491</v>
      </c>
      <c r="H46" s="106" t="s">
        <v>627</v>
      </c>
      <c r="I46" s="106" t="s">
        <v>659</v>
      </c>
      <c r="J46" s="106" t="s">
        <v>665</v>
      </c>
      <c r="K46" s="106" t="s">
        <v>661</v>
      </c>
      <c r="L46" s="113"/>
    </row>
    <row r="47" spans="1:12" s="54" customFormat="1">
      <c r="A47" s="106" t="s">
        <v>701</v>
      </c>
      <c r="B47" s="106" t="s">
        <v>500</v>
      </c>
      <c r="C47" s="106" t="s">
        <v>624</v>
      </c>
      <c r="D47" s="106" t="s">
        <v>625</v>
      </c>
      <c r="E47" s="106" t="s">
        <v>626</v>
      </c>
      <c r="F47" s="106" t="s">
        <v>577</v>
      </c>
      <c r="G47" s="106" t="s">
        <v>491</v>
      </c>
      <c r="H47" s="106" t="s">
        <v>627</v>
      </c>
      <c r="I47" s="106" t="s">
        <v>659</v>
      </c>
      <c r="J47" s="106" t="s">
        <v>660</v>
      </c>
      <c r="K47" s="106" t="s">
        <v>661</v>
      </c>
      <c r="L47" s="113"/>
    </row>
    <row r="48" spans="1:12" s="54" customFormat="1">
      <c r="A48" s="106" t="s">
        <v>702</v>
      </c>
      <c r="B48" s="106" t="s">
        <v>500</v>
      </c>
      <c r="C48" s="106" t="s">
        <v>624</v>
      </c>
      <c r="D48" s="106" t="s">
        <v>625</v>
      </c>
      <c r="E48" s="106" t="s">
        <v>626</v>
      </c>
      <c r="F48" s="106" t="s">
        <v>577</v>
      </c>
      <c r="G48" s="106" t="s">
        <v>491</v>
      </c>
      <c r="H48" s="106" t="s">
        <v>627</v>
      </c>
      <c r="I48" s="106" t="s">
        <v>659</v>
      </c>
      <c r="J48" s="106" t="s">
        <v>665</v>
      </c>
      <c r="K48" s="106" t="s">
        <v>661</v>
      </c>
      <c r="L48" s="113"/>
    </row>
    <row r="49" spans="1:12" s="54" customFormat="1">
      <c r="A49" s="106" t="s">
        <v>703</v>
      </c>
      <c r="B49" s="106" t="s">
        <v>687</v>
      </c>
      <c r="C49" s="106" t="s">
        <v>635</v>
      </c>
      <c r="D49" s="106" t="s">
        <v>625</v>
      </c>
      <c r="E49" s="106" t="s">
        <v>626</v>
      </c>
      <c r="F49" s="106" t="s">
        <v>577</v>
      </c>
      <c r="G49" s="106" t="s">
        <v>491</v>
      </c>
      <c r="H49" s="106" t="s">
        <v>627</v>
      </c>
      <c r="I49" s="106" t="s">
        <v>659</v>
      </c>
      <c r="J49" s="106" t="s">
        <v>660</v>
      </c>
      <c r="K49" s="106" t="s">
        <v>661</v>
      </c>
      <c r="L49" s="113"/>
    </row>
    <row r="50" spans="1:12" s="54" customFormat="1">
      <c r="A50" s="106" t="s">
        <v>704</v>
      </c>
      <c r="B50" s="106" t="s">
        <v>687</v>
      </c>
      <c r="C50" s="106" t="s">
        <v>635</v>
      </c>
      <c r="D50" s="106" t="s">
        <v>625</v>
      </c>
      <c r="E50" s="106" t="s">
        <v>626</v>
      </c>
      <c r="F50" s="106" t="s">
        <v>577</v>
      </c>
      <c r="G50" s="106" t="s">
        <v>491</v>
      </c>
      <c r="H50" s="106" t="s">
        <v>627</v>
      </c>
      <c r="I50" s="106" t="s">
        <v>659</v>
      </c>
      <c r="J50" s="106" t="s">
        <v>665</v>
      </c>
      <c r="K50" s="106" t="s">
        <v>661</v>
      </c>
      <c r="L50" s="113"/>
    </row>
    <row r="51" spans="1:12" s="54" customFormat="1">
      <c r="A51" s="106" t="s">
        <v>705</v>
      </c>
      <c r="B51" s="106" t="s">
        <v>690</v>
      </c>
      <c r="C51" s="106" t="s">
        <v>496</v>
      </c>
      <c r="D51" s="106" t="s">
        <v>625</v>
      </c>
      <c r="E51" s="106" t="s">
        <v>626</v>
      </c>
      <c r="F51" s="106" t="s">
        <v>577</v>
      </c>
      <c r="G51" s="106" t="s">
        <v>491</v>
      </c>
      <c r="H51" s="106" t="s">
        <v>627</v>
      </c>
      <c r="I51" s="106" t="s">
        <v>659</v>
      </c>
      <c r="J51" s="106" t="s">
        <v>660</v>
      </c>
      <c r="K51" s="106" t="s">
        <v>661</v>
      </c>
      <c r="L51" s="113"/>
    </row>
    <row r="52" spans="1:12" s="54" customFormat="1">
      <c r="A52" s="106" t="s">
        <v>706</v>
      </c>
      <c r="B52" s="106" t="s">
        <v>664</v>
      </c>
      <c r="C52" s="106" t="s">
        <v>624</v>
      </c>
      <c r="D52" s="106" t="s">
        <v>625</v>
      </c>
      <c r="E52" s="106" t="s">
        <v>626</v>
      </c>
      <c r="F52" s="106" t="s">
        <v>579</v>
      </c>
      <c r="G52" s="106" t="s">
        <v>707</v>
      </c>
      <c r="H52" s="106" t="s">
        <v>627</v>
      </c>
      <c r="I52" s="106" t="s">
        <v>659</v>
      </c>
      <c r="J52" s="106" t="s">
        <v>660</v>
      </c>
      <c r="K52" s="106" t="s">
        <v>661</v>
      </c>
      <c r="L52" s="113"/>
    </row>
    <row r="53" spans="1:12" s="54" customFormat="1">
      <c r="A53" s="106" t="s">
        <v>708</v>
      </c>
      <c r="B53" s="106" t="s">
        <v>667</v>
      </c>
      <c r="C53" s="106" t="s">
        <v>624</v>
      </c>
      <c r="D53" s="106" t="s">
        <v>625</v>
      </c>
      <c r="E53" s="106" t="s">
        <v>626</v>
      </c>
      <c r="F53" s="106" t="s">
        <v>579</v>
      </c>
      <c r="G53" s="106" t="s">
        <v>707</v>
      </c>
      <c r="H53" s="106" t="s">
        <v>627</v>
      </c>
      <c r="I53" s="106" t="s">
        <v>659</v>
      </c>
      <c r="J53" s="106" t="s">
        <v>660</v>
      </c>
      <c r="K53" s="106" t="s">
        <v>661</v>
      </c>
      <c r="L53" s="113"/>
    </row>
    <row r="54" spans="1:12" s="54" customFormat="1">
      <c r="A54" s="106" t="s">
        <v>709</v>
      </c>
      <c r="B54" s="106" t="s">
        <v>496</v>
      </c>
      <c r="C54" s="106" t="s">
        <v>624</v>
      </c>
      <c r="D54" s="106" t="s">
        <v>625</v>
      </c>
      <c r="E54" s="106" t="s">
        <v>626</v>
      </c>
      <c r="F54" s="106" t="s">
        <v>579</v>
      </c>
      <c r="G54" s="106" t="s">
        <v>707</v>
      </c>
      <c r="H54" s="106" t="s">
        <v>627</v>
      </c>
      <c r="I54" s="106" t="s">
        <v>659</v>
      </c>
      <c r="J54" s="106" t="s">
        <v>660</v>
      </c>
      <c r="K54" s="106" t="s">
        <v>661</v>
      </c>
      <c r="L54" s="113"/>
    </row>
    <row r="55" spans="1:12" s="54" customFormat="1">
      <c r="A55" s="106" t="s">
        <v>710</v>
      </c>
      <c r="B55" s="106" t="s">
        <v>676</v>
      </c>
      <c r="C55" s="106" t="s">
        <v>624</v>
      </c>
      <c r="D55" s="106" t="s">
        <v>625</v>
      </c>
      <c r="E55" s="106" t="s">
        <v>626</v>
      </c>
      <c r="F55" s="106" t="s">
        <v>579</v>
      </c>
      <c r="G55" s="106" t="s">
        <v>707</v>
      </c>
      <c r="H55" s="106" t="s">
        <v>627</v>
      </c>
      <c r="I55" s="106" t="s">
        <v>659</v>
      </c>
      <c r="J55" s="106" t="s">
        <v>660</v>
      </c>
      <c r="K55" s="106" t="s">
        <v>661</v>
      </c>
      <c r="L55" s="113"/>
    </row>
    <row r="56" spans="1:12" s="54" customFormat="1">
      <c r="A56" s="106" t="s">
        <v>711</v>
      </c>
      <c r="B56" s="106" t="s">
        <v>632</v>
      </c>
      <c r="C56" s="106" t="s">
        <v>624</v>
      </c>
      <c r="D56" s="106" t="s">
        <v>625</v>
      </c>
      <c r="E56" s="106" t="s">
        <v>626</v>
      </c>
      <c r="F56" s="106" t="s">
        <v>579</v>
      </c>
      <c r="G56" s="106" t="s">
        <v>707</v>
      </c>
      <c r="H56" s="106" t="s">
        <v>627</v>
      </c>
      <c r="I56" s="106" t="s">
        <v>659</v>
      </c>
      <c r="J56" s="106" t="s">
        <v>660</v>
      </c>
      <c r="K56" s="106" t="s">
        <v>661</v>
      </c>
      <c r="L56" s="113"/>
    </row>
    <row r="57" spans="1:12" s="54" customFormat="1">
      <c r="A57" s="106" t="s">
        <v>712</v>
      </c>
      <c r="B57" s="106" t="s">
        <v>500</v>
      </c>
      <c r="C57" s="106" t="s">
        <v>624</v>
      </c>
      <c r="D57" s="106" t="s">
        <v>625</v>
      </c>
      <c r="E57" s="106" t="s">
        <v>626</v>
      </c>
      <c r="F57" s="106" t="s">
        <v>579</v>
      </c>
      <c r="G57" s="106" t="s">
        <v>707</v>
      </c>
      <c r="H57" s="106" t="s">
        <v>627</v>
      </c>
      <c r="I57" s="106" t="s">
        <v>659</v>
      </c>
      <c r="J57" s="106" t="s">
        <v>660</v>
      </c>
      <c r="K57" s="106" t="s">
        <v>661</v>
      </c>
      <c r="L57" s="113"/>
    </row>
    <row r="58" spans="1:12" s="54" customFormat="1">
      <c r="A58" s="106" t="s">
        <v>713</v>
      </c>
      <c r="B58" s="106" t="s">
        <v>687</v>
      </c>
      <c r="C58" s="106" t="s">
        <v>635</v>
      </c>
      <c r="D58" s="106" t="s">
        <v>625</v>
      </c>
      <c r="E58" s="106" t="s">
        <v>626</v>
      </c>
      <c r="F58" s="106" t="s">
        <v>579</v>
      </c>
      <c r="G58" s="106" t="s">
        <v>707</v>
      </c>
      <c r="H58" s="106" t="s">
        <v>627</v>
      </c>
      <c r="I58" s="106" t="s">
        <v>659</v>
      </c>
      <c r="J58" s="106" t="s">
        <v>660</v>
      </c>
      <c r="K58" s="106" t="s">
        <v>661</v>
      </c>
      <c r="L58" s="113"/>
    </row>
    <row r="59" spans="1:12" s="54" customFormat="1">
      <c r="A59" s="106" t="s">
        <v>714</v>
      </c>
      <c r="B59" s="106" t="s">
        <v>690</v>
      </c>
      <c r="C59" s="106" t="s">
        <v>496</v>
      </c>
      <c r="D59" s="106" t="s">
        <v>625</v>
      </c>
      <c r="E59" s="106" t="s">
        <v>626</v>
      </c>
      <c r="F59" s="106" t="s">
        <v>579</v>
      </c>
      <c r="G59" s="106" t="s">
        <v>707</v>
      </c>
      <c r="H59" s="106" t="s">
        <v>627</v>
      </c>
      <c r="I59" s="106" t="s">
        <v>659</v>
      </c>
      <c r="J59" s="106" t="s">
        <v>660</v>
      </c>
      <c r="K59" s="106" t="s">
        <v>661</v>
      </c>
      <c r="L59" s="113"/>
    </row>
    <row r="60" spans="1:12" s="54" customFormat="1">
      <c r="A60" s="106" t="s">
        <v>715</v>
      </c>
      <c r="B60" s="106" t="s">
        <v>664</v>
      </c>
      <c r="C60" s="106" t="s">
        <v>624</v>
      </c>
      <c r="D60" s="106" t="s">
        <v>625</v>
      </c>
      <c r="E60" s="106" t="s">
        <v>626</v>
      </c>
      <c r="F60" s="106" t="s">
        <v>577</v>
      </c>
      <c r="G60" s="106" t="s">
        <v>658</v>
      </c>
      <c r="H60" s="106" t="s">
        <v>627</v>
      </c>
      <c r="I60" s="106" t="s">
        <v>659</v>
      </c>
      <c r="J60" s="106" t="s">
        <v>660</v>
      </c>
      <c r="K60" s="106" t="s">
        <v>716</v>
      </c>
      <c r="L60" s="113"/>
    </row>
    <row r="61" spans="1:12" s="54" customFormat="1">
      <c r="A61" s="106" t="s">
        <v>717</v>
      </c>
      <c r="B61" s="106" t="s">
        <v>664</v>
      </c>
      <c r="C61" s="106" t="s">
        <v>624</v>
      </c>
      <c r="D61" s="106" t="s">
        <v>625</v>
      </c>
      <c r="E61" s="106" t="s">
        <v>626</v>
      </c>
      <c r="F61" s="106" t="s">
        <v>577</v>
      </c>
      <c r="G61" s="106" t="s">
        <v>658</v>
      </c>
      <c r="H61" s="106" t="s">
        <v>627</v>
      </c>
      <c r="I61" s="106" t="s">
        <v>659</v>
      </c>
      <c r="J61" s="106" t="s">
        <v>665</v>
      </c>
      <c r="K61" s="106" t="s">
        <v>716</v>
      </c>
      <c r="L61" s="113"/>
    </row>
    <row r="62" spans="1:12" s="54" customFormat="1">
      <c r="A62" s="106" t="s">
        <v>718</v>
      </c>
      <c r="B62" s="106" t="s">
        <v>667</v>
      </c>
      <c r="C62" s="106" t="s">
        <v>624</v>
      </c>
      <c r="D62" s="106" t="s">
        <v>625</v>
      </c>
      <c r="E62" s="106" t="s">
        <v>626</v>
      </c>
      <c r="F62" s="106" t="s">
        <v>577</v>
      </c>
      <c r="G62" s="106" t="s">
        <v>658</v>
      </c>
      <c r="H62" s="106" t="s">
        <v>627</v>
      </c>
      <c r="I62" s="106" t="s">
        <v>659</v>
      </c>
      <c r="J62" s="106" t="s">
        <v>660</v>
      </c>
      <c r="K62" s="106" t="s">
        <v>716</v>
      </c>
      <c r="L62" s="113"/>
    </row>
    <row r="63" spans="1:12" s="54" customFormat="1">
      <c r="A63" s="106" t="s">
        <v>719</v>
      </c>
      <c r="B63" s="106" t="s">
        <v>667</v>
      </c>
      <c r="C63" s="106" t="s">
        <v>624</v>
      </c>
      <c r="D63" s="106" t="s">
        <v>625</v>
      </c>
      <c r="E63" s="106" t="s">
        <v>626</v>
      </c>
      <c r="F63" s="106" t="s">
        <v>577</v>
      </c>
      <c r="G63" s="106" t="s">
        <v>658</v>
      </c>
      <c r="H63" s="106" t="s">
        <v>627</v>
      </c>
      <c r="I63" s="106" t="s">
        <v>659</v>
      </c>
      <c r="J63" s="106" t="s">
        <v>665</v>
      </c>
      <c r="K63" s="106" t="s">
        <v>716</v>
      </c>
      <c r="L63" s="113"/>
    </row>
    <row r="64" spans="1:12" s="54" customFormat="1">
      <c r="A64" s="106" t="s">
        <v>720</v>
      </c>
      <c r="B64" s="106" t="s">
        <v>496</v>
      </c>
      <c r="C64" s="106" t="s">
        <v>624</v>
      </c>
      <c r="D64" s="106" t="s">
        <v>625</v>
      </c>
      <c r="E64" s="106" t="s">
        <v>626</v>
      </c>
      <c r="F64" s="106" t="s">
        <v>577</v>
      </c>
      <c r="G64" s="106" t="s">
        <v>658</v>
      </c>
      <c r="H64" s="106" t="s">
        <v>627</v>
      </c>
      <c r="I64" s="106" t="s">
        <v>659</v>
      </c>
      <c r="J64" s="106" t="s">
        <v>660</v>
      </c>
      <c r="K64" s="106" t="s">
        <v>716</v>
      </c>
      <c r="L64" s="113"/>
    </row>
    <row r="65" spans="1:12" s="54" customFormat="1">
      <c r="A65" s="106" t="s">
        <v>721</v>
      </c>
      <c r="B65" s="106" t="s">
        <v>496</v>
      </c>
      <c r="C65" s="106" t="s">
        <v>624</v>
      </c>
      <c r="D65" s="106" t="s">
        <v>625</v>
      </c>
      <c r="E65" s="106" t="s">
        <v>626</v>
      </c>
      <c r="F65" s="106" t="s">
        <v>577</v>
      </c>
      <c r="G65" s="106" t="s">
        <v>658</v>
      </c>
      <c r="H65" s="106" t="s">
        <v>627</v>
      </c>
      <c r="I65" s="106" t="s">
        <v>659</v>
      </c>
      <c r="J65" s="106" t="s">
        <v>665</v>
      </c>
      <c r="K65" s="106" t="s">
        <v>716</v>
      </c>
      <c r="L65" s="113"/>
    </row>
    <row r="66" spans="1:12" s="54" customFormat="1">
      <c r="A66" s="106" t="s">
        <v>722</v>
      </c>
      <c r="B66" s="106" t="s">
        <v>676</v>
      </c>
      <c r="C66" s="106" t="s">
        <v>624</v>
      </c>
      <c r="D66" s="106" t="s">
        <v>625</v>
      </c>
      <c r="E66" s="106" t="s">
        <v>626</v>
      </c>
      <c r="F66" s="106" t="s">
        <v>577</v>
      </c>
      <c r="G66" s="106" t="s">
        <v>658</v>
      </c>
      <c r="H66" s="106" t="s">
        <v>627</v>
      </c>
      <c r="I66" s="106" t="s">
        <v>659</v>
      </c>
      <c r="J66" s="106" t="s">
        <v>660</v>
      </c>
      <c r="K66" s="106" t="s">
        <v>716</v>
      </c>
      <c r="L66" s="113"/>
    </row>
    <row r="67" spans="1:12" s="54" customFormat="1">
      <c r="A67" s="106" t="s">
        <v>723</v>
      </c>
      <c r="B67" s="106" t="s">
        <v>676</v>
      </c>
      <c r="C67" s="106" t="s">
        <v>624</v>
      </c>
      <c r="D67" s="106" t="s">
        <v>625</v>
      </c>
      <c r="E67" s="106" t="s">
        <v>626</v>
      </c>
      <c r="F67" s="106" t="s">
        <v>577</v>
      </c>
      <c r="G67" s="106" t="s">
        <v>658</v>
      </c>
      <c r="H67" s="106" t="s">
        <v>627</v>
      </c>
      <c r="I67" s="106" t="s">
        <v>659</v>
      </c>
      <c r="J67" s="106" t="s">
        <v>665</v>
      </c>
      <c r="K67" s="106" t="s">
        <v>716</v>
      </c>
      <c r="L67" s="113"/>
    </row>
    <row r="68" spans="1:12" s="54" customFormat="1">
      <c r="A68" s="106" t="s">
        <v>724</v>
      </c>
      <c r="B68" s="106" t="s">
        <v>632</v>
      </c>
      <c r="C68" s="106" t="s">
        <v>624</v>
      </c>
      <c r="D68" s="106" t="s">
        <v>625</v>
      </c>
      <c r="E68" s="106" t="s">
        <v>626</v>
      </c>
      <c r="F68" s="106" t="s">
        <v>577</v>
      </c>
      <c r="G68" s="106" t="s">
        <v>658</v>
      </c>
      <c r="H68" s="106" t="s">
        <v>627</v>
      </c>
      <c r="I68" s="106" t="s">
        <v>659</v>
      </c>
      <c r="J68" s="106" t="s">
        <v>660</v>
      </c>
      <c r="K68" s="106" t="s">
        <v>716</v>
      </c>
      <c r="L68" s="113"/>
    </row>
    <row r="69" spans="1:12" s="54" customFormat="1">
      <c r="A69" s="106" t="s">
        <v>725</v>
      </c>
      <c r="B69" s="106" t="s">
        <v>632</v>
      </c>
      <c r="C69" s="106" t="s">
        <v>624</v>
      </c>
      <c r="D69" s="106" t="s">
        <v>625</v>
      </c>
      <c r="E69" s="106" t="s">
        <v>626</v>
      </c>
      <c r="F69" s="106" t="s">
        <v>577</v>
      </c>
      <c r="G69" s="106" t="s">
        <v>658</v>
      </c>
      <c r="H69" s="106" t="s">
        <v>627</v>
      </c>
      <c r="I69" s="106" t="s">
        <v>659</v>
      </c>
      <c r="J69" s="106" t="s">
        <v>665</v>
      </c>
      <c r="K69" s="106" t="s">
        <v>716</v>
      </c>
      <c r="L69" s="113"/>
    </row>
    <row r="70" spans="1:12" s="54" customFormat="1">
      <c r="A70" s="106" t="s">
        <v>726</v>
      </c>
      <c r="B70" s="106" t="s">
        <v>500</v>
      </c>
      <c r="C70" s="106" t="s">
        <v>624</v>
      </c>
      <c r="D70" s="106" t="s">
        <v>625</v>
      </c>
      <c r="E70" s="106" t="s">
        <v>626</v>
      </c>
      <c r="F70" s="106" t="s">
        <v>577</v>
      </c>
      <c r="G70" s="106" t="s">
        <v>658</v>
      </c>
      <c r="H70" s="106" t="s">
        <v>627</v>
      </c>
      <c r="I70" s="106" t="s">
        <v>659</v>
      </c>
      <c r="J70" s="106" t="s">
        <v>660</v>
      </c>
      <c r="K70" s="106" t="s">
        <v>716</v>
      </c>
      <c r="L70" s="113"/>
    </row>
    <row r="71" spans="1:12" s="54" customFormat="1">
      <c r="A71" s="106" t="s">
        <v>727</v>
      </c>
      <c r="B71" s="106" t="s">
        <v>500</v>
      </c>
      <c r="C71" s="106" t="s">
        <v>624</v>
      </c>
      <c r="D71" s="106" t="s">
        <v>625</v>
      </c>
      <c r="E71" s="106" t="s">
        <v>626</v>
      </c>
      <c r="F71" s="106" t="s">
        <v>577</v>
      </c>
      <c r="G71" s="106" t="s">
        <v>658</v>
      </c>
      <c r="H71" s="106" t="s">
        <v>627</v>
      </c>
      <c r="I71" s="106" t="s">
        <v>659</v>
      </c>
      <c r="J71" s="106" t="s">
        <v>665</v>
      </c>
      <c r="K71" s="106" t="s">
        <v>716</v>
      </c>
      <c r="L71" s="113"/>
    </row>
    <row r="72" spans="1:12" s="54" customFormat="1">
      <c r="A72" s="106" t="s">
        <v>728</v>
      </c>
      <c r="B72" s="106" t="s">
        <v>687</v>
      </c>
      <c r="C72" s="106" t="s">
        <v>635</v>
      </c>
      <c r="D72" s="106" t="s">
        <v>625</v>
      </c>
      <c r="E72" s="106" t="s">
        <v>626</v>
      </c>
      <c r="F72" s="106" t="s">
        <v>577</v>
      </c>
      <c r="G72" s="106" t="s">
        <v>658</v>
      </c>
      <c r="H72" s="106" t="s">
        <v>627</v>
      </c>
      <c r="I72" s="106" t="s">
        <v>659</v>
      </c>
      <c r="J72" s="106" t="s">
        <v>660</v>
      </c>
      <c r="K72" s="106" t="s">
        <v>716</v>
      </c>
      <c r="L72" s="113"/>
    </row>
    <row r="73" spans="1:12" s="54" customFormat="1">
      <c r="A73" s="106" t="s">
        <v>729</v>
      </c>
      <c r="B73" s="106" t="s">
        <v>687</v>
      </c>
      <c r="C73" s="106" t="s">
        <v>635</v>
      </c>
      <c r="D73" s="106" t="s">
        <v>625</v>
      </c>
      <c r="E73" s="106" t="s">
        <v>626</v>
      </c>
      <c r="F73" s="106" t="s">
        <v>577</v>
      </c>
      <c r="G73" s="106" t="s">
        <v>658</v>
      </c>
      <c r="H73" s="106" t="s">
        <v>627</v>
      </c>
      <c r="I73" s="106" t="s">
        <v>659</v>
      </c>
      <c r="J73" s="106" t="s">
        <v>665</v>
      </c>
      <c r="K73" s="106" t="s">
        <v>716</v>
      </c>
      <c r="L73" s="113"/>
    </row>
    <row r="74" spans="1:12" s="54" customFormat="1">
      <c r="A74" s="106" t="s">
        <v>730</v>
      </c>
      <c r="B74" s="106" t="s">
        <v>690</v>
      </c>
      <c r="C74" s="106" t="s">
        <v>496</v>
      </c>
      <c r="D74" s="106" t="s">
        <v>625</v>
      </c>
      <c r="E74" s="106" t="s">
        <v>626</v>
      </c>
      <c r="F74" s="106" t="s">
        <v>577</v>
      </c>
      <c r="G74" s="106" t="s">
        <v>658</v>
      </c>
      <c r="H74" s="106" t="s">
        <v>627</v>
      </c>
      <c r="I74" s="106" t="s">
        <v>659</v>
      </c>
      <c r="J74" s="106" t="s">
        <v>660</v>
      </c>
      <c r="K74" s="106" t="s">
        <v>716</v>
      </c>
      <c r="L74" s="113"/>
    </row>
    <row r="75" spans="1:12" s="54" customFormat="1">
      <c r="A75" s="106" t="s">
        <v>731</v>
      </c>
      <c r="B75" s="106" t="s">
        <v>664</v>
      </c>
      <c r="C75" s="106" t="s">
        <v>624</v>
      </c>
      <c r="D75" s="106" t="s">
        <v>625</v>
      </c>
      <c r="E75" s="106" t="s">
        <v>533</v>
      </c>
      <c r="F75" s="106" t="s">
        <v>577</v>
      </c>
      <c r="G75" s="106" t="s">
        <v>658</v>
      </c>
      <c r="H75" s="106" t="s">
        <v>627</v>
      </c>
      <c r="I75" s="106" t="s">
        <v>659</v>
      </c>
      <c r="J75" s="106" t="s">
        <v>660</v>
      </c>
      <c r="K75" s="106" t="s">
        <v>716</v>
      </c>
      <c r="L75" s="113"/>
    </row>
    <row r="76" spans="1:12" s="54" customFormat="1">
      <c r="A76" s="106" t="s">
        <v>732</v>
      </c>
      <c r="B76" s="106" t="s">
        <v>664</v>
      </c>
      <c r="C76" s="106" t="s">
        <v>624</v>
      </c>
      <c r="D76" s="106" t="s">
        <v>625</v>
      </c>
      <c r="E76" s="106" t="s">
        <v>533</v>
      </c>
      <c r="F76" s="106" t="s">
        <v>577</v>
      </c>
      <c r="G76" s="106" t="s">
        <v>658</v>
      </c>
      <c r="H76" s="106" t="s">
        <v>627</v>
      </c>
      <c r="I76" s="106" t="s">
        <v>659</v>
      </c>
      <c r="J76" s="106" t="s">
        <v>665</v>
      </c>
      <c r="K76" s="106" t="s">
        <v>716</v>
      </c>
      <c r="L76" s="113"/>
    </row>
    <row r="77" spans="1:12" s="54" customFormat="1">
      <c r="A77" s="106" t="s">
        <v>733</v>
      </c>
      <c r="B77" s="106" t="s">
        <v>667</v>
      </c>
      <c r="C77" s="106" t="s">
        <v>624</v>
      </c>
      <c r="D77" s="106" t="s">
        <v>625</v>
      </c>
      <c r="E77" s="106" t="s">
        <v>533</v>
      </c>
      <c r="F77" s="106" t="s">
        <v>577</v>
      </c>
      <c r="G77" s="106" t="s">
        <v>658</v>
      </c>
      <c r="H77" s="106" t="s">
        <v>627</v>
      </c>
      <c r="I77" s="106" t="s">
        <v>659</v>
      </c>
      <c r="J77" s="106" t="s">
        <v>660</v>
      </c>
      <c r="K77" s="106" t="s">
        <v>716</v>
      </c>
      <c r="L77" s="113"/>
    </row>
    <row r="78" spans="1:12" s="54" customFormat="1">
      <c r="A78" s="106" t="s">
        <v>734</v>
      </c>
      <c r="B78" s="106" t="s">
        <v>667</v>
      </c>
      <c r="C78" s="106" t="s">
        <v>624</v>
      </c>
      <c r="D78" s="106" t="s">
        <v>625</v>
      </c>
      <c r="E78" s="106" t="s">
        <v>533</v>
      </c>
      <c r="F78" s="106" t="s">
        <v>577</v>
      </c>
      <c r="G78" s="106" t="s">
        <v>658</v>
      </c>
      <c r="H78" s="106" t="s">
        <v>627</v>
      </c>
      <c r="I78" s="106" t="s">
        <v>659</v>
      </c>
      <c r="J78" s="106" t="s">
        <v>665</v>
      </c>
      <c r="K78" s="106" t="s">
        <v>716</v>
      </c>
      <c r="L78" s="113"/>
    </row>
    <row r="79" spans="1:12" s="54" customFormat="1">
      <c r="A79" s="106" t="s">
        <v>735</v>
      </c>
      <c r="B79" s="106" t="s">
        <v>496</v>
      </c>
      <c r="C79" s="106" t="s">
        <v>624</v>
      </c>
      <c r="D79" s="106" t="s">
        <v>625</v>
      </c>
      <c r="E79" s="106" t="s">
        <v>533</v>
      </c>
      <c r="F79" s="106" t="s">
        <v>577</v>
      </c>
      <c r="G79" s="106" t="s">
        <v>658</v>
      </c>
      <c r="H79" s="106" t="s">
        <v>627</v>
      </c>
      <c r="I79" s="106" t="s">
        <v>659</v>
      </c>
      <c r="J79" s="106" t="s">
        <v>660</v>
      </c>
      <c r="K79" s="106" t="s">
        <v>716</v>
      </c>
      <c r="L79" s="113"/>
    </row>
    <row r="80" spans="1:12" s="54" customFormat="1">
      <c r="A80" s="106" t="s">
        <v>736</v>
      </c>
      <c r="B80" s="106" t="s">
        <v>496</v>
      </c>
      <c r="C80" s="106" t="s">
        <v>624</v>
      </c>
      <c r="D80" s="106" t="s">
        <v>625</v>
      </c>
      <c r="E80" s="106" t="s">
        <v>533</v>
      </c>
      <c r="F80" s="106" t="s">
        <v>577</v>
      </c>
      <c r="G80" s="106" t="s">
        <v>658</v>
      </c>
      <c r="H80" s="106" t="s">
        <v>627</v>
      </c>
      <c r="I80" s="106" t="s">
        <v>659</v>
      </c>
      <c r="J80" s="106" t="s">
        <v>665</v>
      </c>
      <c r="K80" s="106" t="s">
        <v>716</v>
      </c>
      <c r="L80" s="113"/>
    </row>
    <row r="81" spans="1:12" s="54" customFormat="1">
      <c r="A81" s="106" t="s">
        <v>737</v>
      </c>
      <c r="B81" s="106" t="s">
        <v>676</v>
      </c>
      <c r="C81" s="106" t="s">
        <v>624</v>
      </c>
      <c r="D81" s="106" t="s">
        <v>625</v>
      </c>
      <c r="E81" s="106" t="s">
        <v>533</v>
      </c>
      <c r="F81" s="106" t="s">
        <v>577</v>
      </c>
      <c r="G81" s="106" t="s">
        <v>658</v>
      </c>
      <c r="H81" s="106" t="s">
        <v>627</v>
      </c>
      <c r="I81" s="106" t="s">
        <v>659</v>
      </c>
      <c r="J81" s="106" t="s">
        <v>660</v>
      </c>
      <c r="K81" s="106" t="s">
        <v>716</v>
      </c>
      <c r="L81" s="113"/>
    </row>
    <row r="82" spans="1:12" s="54" customFormat="1">
      <c r="A82" s="106" t="s">
        <v>738</v>
      </c>
      <c r="B82" s="106" t="s">
        <v>676</v>
      </c>
      <c r="C82" s="106" t="s">
        <v>624</v>
      </c>
      <c r="D82" s="106" t="s">
        <v>625</v>
      </c>
      <c r="E82" s="106" t="s">
        <v>533</v>
      </c>
      <c r="F82" s="106" t="s">
        <v>577</v>
      </c>
      <c r="G82" s="106" t="s">
        <v>658</v>
      </c>
      <c r="H82" s="106" t="s">
        <v>627</v>
      </c>
      <c r="I82" s="106" t="s">
        <v>659</v>
      </c>
      <c r="J82" s="106" t="s">
        <v>665</v>
      </c>
      <c r="K82" s="106" t="s">
        <v>716</v>
      </c>
      <c r="L82" s="113"/>
    </row>
    <row r="83" spans="1:12" s="54" customFormat="1">
      <c r="A83" s="106" t="s">
        <v>739</v>
      </c>
      <c r="B83" s="106" t="s">
        <v>632</v>
      </c>
      <c r="C83" s="106" t="s">
        <v>624</v>
      </c>
      <c r="D83" s="106" t="s">
        <v>625</v>
      </c>
      <c r="E83" s="106" t="s">
        <v>533</v>
      </c>
      <c r="F83" s="106" t="s">
        <v>577</v>
      </c>
      <c r="G83" s="106" t="s">
        <v>658</v>
      </c>
      <c r="H83" s="106" t="s">
        <v>627</v>
      </c>
      <c r="I83" s="106" t="s">
        <v>659</v>
      </c>
      <c r="J83" s="106" t="s">
        <v>660</v>
      </c>
      <c r="K83" s="106" t="s">
        <v>716</v>
      </c>
      <c r="L83" s="113"/>
    </row>
    <row r="84" spans="1:12" s="54" customFormat="1">
      <c r="A84" s="106" t="s">
        <v>740</v>
      </c>
      <c r="B84" s="106" t="s">
        <v>632</v>
      </c>
      <c r="C84" s="106" t="s">
        <v>624</v>
      </c>
      <c r="D84" s="106" t="s">
        <v>625</v>
      </c>
      <c r="E84" s="106" t="s">
        <v>533</v>
      </c>
      <c r="F84" s="106" t="s">
        <v>577</v>
      </c>
      <c r="G84" s="106" t="s">
        <v>658</v>
      </c>
      <c r="H84" s="106" t="s">
        <v>627</v>
      </c>
      <c r="I84" s="106" t="s">
        <v>659</v>
      </c>
      <c r="J84" s="106" t="s">
        <v>665</v>
      </c>
      <c r="K84" s="106" t="s">
        <v>716</v>
      </c>
      <c r="L84" s="113"/>
    </row>
    <row r="85" spans="1:12" s="54" customFormat="1">
      <c r="A85" s="106" t="s">
        <v>741</v>
      </c>
      <c r="B85" s="106" t="s">
        <v>500</v>
      </c>
      <c r="C85" s="106" t="s">
        <v>624</v>
      </c>
      <c r="D85" s="106" t="s">
        <v>625</v>
      </c>
      <c r="E85" s="106" t="s">
        <v>533</v>
      </c>
      <c r="F85" s="106" t="s">
        <v>577</v>
      </c>
      <c r="G85" s="106" t="s">
        <v>658</v>
      </c>
      <c r="H85" s="106" t="s">
        <v>627</v>
      </c>
      <c r="I85" s="106" t="s">
        <v>659</v>
      </c>
      <c r="J85" s="106" t="s">
        <v>660</v>
      </c>
      <c r="K85" s="106" t="s">
        <v>716</v>
      </c>
      <c r="L85" s="113"/>
    </row>
    <row r="86" spans="1:12" s="54" customFormat="1">
      <c r="A86" s="106" t="s">
        <v>742</v>
      </c>
      <c r="B86" s="106" t="s">
        <v>500</v>
      </c>
      <c r="C86" s="106" t="s">
        <v>624</v>
      </c>
      <c r="D86" s="106" t="s">
        <v>625</v>
      </c>
      <c r="E86" s="106" t="s">
        <v>533</v>
      </c>
      <c r="F86" s="106" t="s">
        <v>577</v>
      </c>
      <c r="G86" s="106" t="s">
        <v>658</v>
      </c>
      <c r="H86" s="106" t="s">
        <v>627</v>
      </c>
      <c r="I86" s="106" t="s">
        <v>659</v>
      </c>
      <c r="J86" s="106" t="s">
        <v>665</v>
      </c>
      <c r="K86" s="106" t="s">
        <v>716</v>
      </c>
      <c r="L86" s="113"/>
    </row>
    <row r="87" spans="1:12" s="54" customFormat="1">
      <c r="A87" s="106" t="s">
        <v>743</v>
      </c>
      <c r="B87" s="106" t="s">
        <v>687</v>
      </c>
      <c r="C87" s="106" t="s">
        <v>635</v>
      </c>
      <c r="D87" s="106" t="s">
        <v>625</v>
      </c>
      <c r="E87" s="106" t="s">
        <v>533</v>
      </c>
      <c r="F87" s="106" t="s">
        <v>577</v>
      </c>
      <c r="G87" s="106" t="s">
        <v>658</v>
      </c>
      <c r="H87" s="106" t="s">
        <v>627</v>
      </c>
      <c r="I87" s="106" t="s">
        <v>659</v>
      </c>
      <c r="J87" s="106" t="s">
        <v>660</v>
      </c>
      <c r="K87" s="106" t="s">
        <v>716</v>
      </c>
      <c r="L87" s="113"/>
    </row>
    <row r="88" spans="1:12" s="54" customFormat="1">
      <c r="A88" s="106" t="s">
        <v>744</v>
      </c>
      <c r="B88" s="106" t="s">
        <v>687</v>
      </c>
      <c r="C88" s="106" t="s">
        <v>635</v>
      </c>
      <c r="D88" s="106" t="s">
        <v>625</v>
      </c>
      <c r="E88" s="106" t="s">
        <v>533</v>
      </c>
      <c r="F88" s="106" t="s">
        <v>577</v>
      </c>
      <c r="G88" s="106" t="s">
        <v>658</v>
      </c>
      <c r="H88" s="106" t="s">
        <v>627</v>
      </c>
      <c r="I88" s="106" t="s">
        <v>659</v>
      </c>
      <c r="J88" s="106" t="s">
        <v>665</v>
      </c>
      <c r="K88" s="106" t="s">
        <v>716</v>
      </c>
      <c r="L88" s="113"/>
    </row>
    <row r="89" spans="1:12" s="54" customFormat="1">
      <c r="A89" s="106" t="s">
        <v>745</v>
      </c>
      <c r="B89" s="106" t="s">
        <v>690</v>
      </c>
      <c r="C89" s="106" t="s">
        <v>496</v>
      </c>
      <c r="D89" s="106" t="s">
        <v>625</v>
      </c>
      <c r="E89" s="106" t="s">
        <v>533</v>
      </c>
      <c r="F89" s="106" t="s">
        <v>577</v>
      </c>
      <c r="G89" s="106" t="s">
        <v>658</v>
      </c>
      <c r="H89" s="106" t="s">
        <v>627</v>
      </c>
      <c r="I89" s="106" t="s">
        <v>659</v>
      </c>
      <c r="J89" s="106" t="s">
        <v>660</v>
      </c>
      <c r="K89" s="106" t="s">
        <v>716</v>
      </c>
      <c r="L89" s="113"/>
    </row>
    <row r="90" spans="1:12">
      <c r="A90" s="105" t="s">
        <v>590</v>
      </c>
      <c r="B90" s="105" t="s">
        <v>664</v>
      </c>
      <c r="C90" s="105" t="s">
        <v>624</v>
      </c>
      <c r="D90" s="105" t="s">
        <v>625</v>
      </c>
      <c r="E90" s="105" t="s">
        <v>626</v>
      </c>
      <c r="F90" s="105" t="s">
        <v>577</v>
      </c>
      <c r="G90" s="105" t="s">
        <v>491</v>
      </c>
      <c r="H90" s="105" t="s">
        <v>627</v>
      </c>
      <c r="I90" s="105" t="s">
        <v>659</v>
      </c>
      <c r="J90" s="105" t="s">
        <v>660</v>
      </c>
      <c r="K90" s="105" t="s">
        <v>716</v>
      </c>
      <c r="L90" s="114"/>
    </row>
    <row r="91" spans="1:12" s="54" customFormat="1">
      <c r="A91" s="106" t="s">
        <v>746</v>
      </c>
      <c r="B91" s="106" t="s">
        <v>664</v>
      </c>
      <c r="C91" s="106" t="s">
        <v>624</v>
      </c>
      <c r="D91" s="106" t="s">
        <v>625</v>
      </c>
      <c r="E91" s="106" t="s">
        <v>626</v>
      </c>
      <c r="F91" s="106" t="s">
        <v>577</v>
      </c>
      <c r="G91" s="106" t="s">
        <v>491</v>
      </c>
      <c r="H91" s="106" t="s">
        <v>627</v>
      </c>
      <c r="I91" s="106" t="s">
        <v>659</v>
      </c>
      <c r="J91" s="106" t="s">
        <v>665</v>
      </c>
      <c r="K91" s="106" t="s">
        <v>716</v>
      </c>
      <c r="L91" s="113"/>
    </row>
    <row r="92" spans="1:12">
      <c r="A92" s="105" t="s">
        <v>592</v>
      </c>
      <c r="B92" s="105" t="s">
        <v>667</v>
      </c>
      <c r="C92" s="105" t="s">
        <v>624</v>
      </c>
      <c r="D92" s="105" t="s">
        <v>625</v>
      </c>
      <c r="E92" s="105" t="s">
        <v>626</v>
      </c>
      <c r="F92" s="105" t="s">
        <v>577</v>
      </c>
      <c r="G92" s="105" t="s">
        <v>491</v>
      </c>
      <c r="H92" s="105" t="s">
        <v>627</v>
      </c>
      <c r="I92" s="105" t="s">
        <v>659</v>
      </c>
      <c r="J92" s="105" t="s">
        <v>660</v>
      </c>
      <c r="K92" s="105" t="s">
        <v>716</v>
      </c>
      <c r="L92" s="114"/>
    </row>
    <row r="93" spans="1:12" s="54" customFormat="1">
      <c r="A93" s="106" t="s">
        <v>747</v>
      </c>
      <c r="B93" s="106" t="s">
        <v>667</v>
      </c>
      <c r="C93" s="106" t="s">
        <v>624</v>
      </c>
      <c r="D93" s="106" t="s">
        <v>625</v>
      </c>
      <c r="E93" s="106" t="s">
        <v>626</v>
      </c>
      <c r="F93" s="106" t="s">
        <v>577</v>
      </c>
      <c r="G93" s="106" t="s">
        <v>491</v>
      </c>
      <c r="H93" s="106" t="s">
        <v>627</v>
      </c>
      <c r="I93" s="106" t="s">
        <v>659</v>
      </c>
      <c r="J93" s="106" t="s">
        <v>665</v>
      </c>
      <c r="K93" s="106" t="s">
        <v>716</v>
      </c>
      <c r="L93" s="113"/>
    </row>
    <row r="94" spans="1:12">
      <c r="A94" s="105" t="s">
        <v>594</v>
      </c>
      <c r="B94" s="105" t="s">
        <v>496</v>
      </c>
      <c r="C94" s="105" t="s">
        <v>624</v>
      </c>
      <c r="D94" s="105" t="s">
        <v>625</v>
      </c>
      <c r="E94" s="105" t="s">
        <v>626</v>
      </c>
      <c r="F94" s="105" t="s">
        <v>577</v>
      </c>
      <c r="G94" s="105" t="s">
        <v>491</v>
      </c>
      <c r="H94" s="105" t="s">
        <v>627</v>
      </c>
      <c r="I94" s="105" t="s">
        <v>659</v>
      </c>
      <c r="J94" s="105" t="s">
        <v>660</v>
      </c>
      <c r="K94" s="105" t="s">
        <v>716</v>
      </c>
      <c r="L94" s="114"/>
    </row>
    <row r="95" spans="1:12" s="54" customFormat="1">
      <c r="A95" s="106" t="s">
        <v>748</v>
      </c>
      <c r="B95" s="106" t="s">
        <v>496</v>
      </c>
      <c r="C95" s="106" t="s">
        <v>624</v>
      </c>
      <c r="D95" s="106" t="s">
        <v>625</v>
      </c>
      <c r="E95" s="106" t="s">
        <v>626</v>
      </c>
      <c r="F95" s="106" t="s">
        <v>577</v>
      </c>
      <c r="G95" s="106" t="s">
        <v>491</v>
      </c>
      <c r="H95" s="106" t="s">
        <v>627</v>
      </c>
      <c r="I95" s="106" t="s">
        <v>659</v>
      </c>
      <c r="J95" s="106" t="s">
        <v>665</v>
      </c>
      <c r="K95" s="106" t="s">
        <v>716</v>
      </c>
      <c r="L95" s="113"/>
    </row>
    <row r="96" spans="1:12">
      <c r="A96" s="105" t="s">
        <v>596</v>
      </c>
      <c r="B96" s="105" t="s">
        <v>676</v>
      </c>
      <c r="C96" s="105" t="s">
        <v>624</v>
      </c>
      <c r="D96" s="105" t="s">
        <v>625</v>
      </c>
      <c r="E96" s="105" t="s">
        <v>626</v>
      </c>
      <c r="F96" s="105" t="s">
        <v>577</v>
      </c>
      <c r="G96" s="105" t="s">
        <v>491</v>
      </c>
      <c r="H96" s="105" t="s">
        <v>627</v>
      </c>
      <c r="I96" s="105" t="s">
        <v>659</v>
      </c>
      <c r="J96" s="105" t="s">
        <v>660</v>
      </c>
      <c r="K96" s="105" t="s">
        <v>716</v>
      </c>
      <c r="L96" s="114"/>
    </row>
    <row r="97" spans="1:12" s="54" customFormat="1">
      <c r="A97" s="106" t="s">
        <v>749</v>
      </c>
      <c r="B97" s="106" t="s">
        <v>676</v>
      </c>
      <c r="C97" s="106" t="s">
        <v>624</v>
      </c>
      <c r="D97" s="106" t="s">
        <v>625</v>
      </c>
      <c r="E97" s="106" t="s">
        <v>626</v>
      </c>
      <c r="F97" s="106" t="s">
        <v>577</v>
      </c>
      <c r="G97" s="106" t="s">
        <v>491</v>
      </c>
      <c r="H97" s="106" t="s">
        <v>627</v>
      </c>
      <c r="I97" s="106" t="s">
        <v>659</v>
      </c>
      <c r="J97" s="106" t="s">
        <v>665</v>
      </c>
      <c r="K97" s="106" t="s">
        <v>716</v>
      </c>
      <c r="L97" s="113"/>
    </row>
    <row r="98" spans="1:12">
      <c r="A98" s="105" t="s">
        <v>598</v>
      </c>
      <c r="B98" s="105" t="s">
        <v>632</v>
      </c>
      <c r="C98" s="105" t="s">
        <v>624</v>
      </c>
      <c r="D98" s="105" t="s">
        <v>625</v>
      </c>
      <c r="E98" s="105" t="s">
        <v>626</v>
      </c>
      <c r="F98" s="105" t="s">
        <v>577</v>
      </c>
      <c r="G98" s="105" t="s">
        <v>491</v>
      </c>
      <c r="H98" s="105" t="s">
        <v>627</v>
      </c>
      <c r="I98" s="105" t="s">
        <v>659</v>
      </c>
      <c r="J98" s="105" t="s">
        <v>660</v>
      </c>
      <c r="K98" s="105" t="s">
        <v>716</v>
      </c>
      <c r="L98" s="114"/>
    </row>
    <row r="99" spans="1:12" s="54" customFormat="1">
      <c r="A99" s="106" t="s">
        <v>750</v>
      </c>
      <c r="B99" s="106" t="s">
        <v>632</v>
      </c>
      <c r="C99" s="106" t="s">
        <v>624</v>
      </c>
      <c r="D99" s="106" t="s">
        <v>625</v>
      </c>
      <c r="E99" s="106" t="s">
        <v>626</v>
      </c>
      <c r="F99" s="106" t="s">
        <v>577</v>
      </c>
      <c r="G99" s="106" t="s">
        <v>491</v>
      </c>
      <c r="H99" s="106" t="s">
        <v>627</v>
      </c>
      <c r="I99" s="106" t="s">
        <v>659</v>
      </c>
      <c r="J99" s="106" t="s">
        <v>665</v>
      </c>
      <c r="K99" s="106" t="s">
        <v>716</v>
      </c>
      <c r="L99" s="113"/>
    </row>
    <row r="100" spans="1:12">
      <c r="A100" s="105" t="s">
        <v>751</v>
      </c>
      <c r="B100" s="105" t="s">
        <v>632</v>
      </c>
      <c r="C100" s="105" t="s">
        <v>624</v>
      </c>
      <c r="D100" s="105" t="s">
        <v>625</v>
      </c>
      <c r="E100" s="105" t="s">
        <v>626</v>
      </c>
      <c r="F100" s="105" t="s">
        <v>577</v>
      </c>
      <c r="G100" s="105" t="s">
        <v>491</v>
      </c>
      <c r="H100" s="105" t="s">
        <v>627</v>
      </c>
      <c r="I100" s="105" t="s">
        <v>659</v>
      </c>
      <c r="J100" s="105" t="s">
        <v>752</v>
      </c>
      <c r="K100" s="105" t="s">
        <v>716</v>
      </c>
      <c r="L100" s="114"/>
    </row>
    <row r="101" spans="1:12">
      <c r="A101" s="105" t="s">
        <v>600</v>
      </c>
      <c r="B101" s="105" t="s">
        <v>500</v>
      </c>
      <c r="C101" s="105" t="s">
        <v>624</v>
      </c>
      <c r="D101" s="105" t="s">
        <v>625</v>
      </c>
      <c r="E101" s="105" t="s">
        <v>626</v>
      </c>
      <c r="F101" s="105" t="s">
        <v>577</v>
      </c>
      <c r="G101" s="105" t="s">
        <v>491</v>
      </c>
      <c r="H101" s="105" t="s">
        <v>627</v>
      </c>
      <c r="I101" s="105" t="s">
        <v>659</v>
      </c>
      <c r="J101" s="105" t="s">
        <v>660</v>
      </c>
      <c r="K101" s="105" t="s">
        <v>716</v>
      </c>
      <c r="L101" s="114"/>
    </row>
    <row r="102" spans="1:12" s="54" customFormat="1">
      <c r="A102" s="106" t="s">
        <v>753</v>
      </c>
      <c r="B102" s="106" t="s">
        <v>500</v>
      </c>
      <c r="C102" s="106" t="s">
        <v>624</v>
      </c>
      <c r="D102" s="106" t="s">
        <v>625</v>
      </c>
      <c r="E102" s="106" t="s">
        <v>626</v>
      </c>
      <c r="F102" s="106" t="s">
        <v>577</v>
      </c>
      <c r="G102" s="106" t="s">
        <v>491</v>
      </c>
      <c r="H102" s="106" t="s">
        <v>627</v>
      </c>
      <c r="I102" s="106" t="s">
        <v>659</v>
      </c>
      <c r="J102" s="106" t="s">
        <v>665</v>
      </c>
      <c r="K102" s="106" t="s">
        <v>716</v>
      </c>
      <c r="L102" s="113"/>
    </row>
    <row r="103" spans="1:12">
      <c r="A103" s="105" t="s">
        <v>754</v>
      </c>
      <c r="B103" s="105" t="s">
        <v>500</v>
      </c>
      <c r="C103" s="105" t="s">
        <v>624</v>
      </c>
      <c r="D103" s="105" t="s">
        <v>625</v>
      </c>
      <c r="E103" s="105" t="s">
        <v>626</v>
      </c>
      <c r="F103" s="105" t="s">
        <v>577</v>
      </c>
      <c r="G103" s="105" t="s">
        <v>491</v>
      </c>
      <c r="H103" s="105" t="s">
        <v>627</v>
      </c>
      <c r="I103" s="105" t="s">
        <v>659</v>
      </c>
      <c r="J103" s="105" t="s">
        <v>752</v>
      </c>
      <c r="K103" s="105" t="s">
        <v>716</v>
      </c>
      <c r="L103" s="114"/>
    </row>
    <row r="104" spans="1:12">
      <c r="A104" s="105" t="s">
        <v>602</v>
      </c>
      <c r="B104" s="105" t="s">
        <v>687</v>
      </c>
      <c r="C104" s="105" t="s">
        <v>635</v>
      </c>
      <c r="D104" s="105" t="s">
        <v>625</v>
      </c>
      <c r="E104" s="105" t="s">
        <v>626</v>
      </c>
      <c r="F104" s="105" t="s">
        <v>577</v>
      </c>
      <c r="G104" s="105" t="s">
        <v>491</v>
      </c>
      <c r="H104" s="105" t="s">
        <v>627</v>
      </c>
      <c r="I104" s="105" t="s">
        <v>659</v>
      </c>
      <c r="J104" s="105" t="s">
        <v>660</v>
      </c>
      <c r="K104" s="105" t="s">
        <v>716</v>
      </c>
      <c r="L104" s="114"/>
    </row>
    <row r="105" spans="1:12" s="54" customFormat="1">
      <c r="A105" s="106" t="s">
        <v>755</v>
      </c>
      <c r="B105" s="106" t="s">
        <v>687</v>
      </c>
      <c r="C105" s="106" t="s">
        <v>635</v>
      </c>
      <c r="D105" s="106" t="s">
        <v>625</v>
      </c>
      <c r="E105" s="106" t="s">
        <v>626</v>
      </c>
      <c r="F105" s="106" t="s">
        <v>577</v>
      </c>
      <c r="G105" s="106" t="s">
        <v>491</v>
      </c>
      <c r="H105" s="106" t="s">
        <v>627</v>
      </c>
      <c r="I105" s="106" t="s">
        <v>659</v>
      </c>
      <c r="J105" s="106" t="s">
        <v>665</v>
      </c>
      <c r="K105" s="106" t="s">
        <v>716</v>
      </c>
      <c r="L105" s="113"/>
    </row>
    <row r="106" spans="1:12">
      <c r="A106" s="105" t="s">
        <v>604</v>
      </c>
      <c r="B106" s="105" t="s">
        <v>690</v>
      </c>
      <c r="C106" s="105" t="s">
        <v>496</v>
      </c>
      <c r="D106" s="105" t="s">
        <v>625</v>
      </c>
      <c r="E106" s="105" t="s">
        <v>626</v>
      </c>
      <c r="F106" s="105" t="s">
        <v>577</v>
      </c>
      <c r="G106" s="105" t="s">
        <v>491</v>
      </c>
      <c r="H106" s="105" t="s">
        <v>627</v>
      </c>
      <c r="I106" s="105" t="s">
        <v>659</v>
      </c>
      <c r="J106" s="105" t="s">
        <v>660</v>
      </c>
      <c r="K106" s="105" t="s">
        <v>716</v>
      </c>
      <c r="L106" s="114"/>
    </row>
    <row r="107" spans="1:12" s="54" customFormat="1">
      <c r="A107" s="106" t="s">
        <v>756</v>
      </c>
      <c r="B107" s="106" t="s">
        <v>664</v>
      </c>
      <c r="C107" s="106" t="s">
        <v>624</v>
      </c>
      <c r="D107" s="106" t="s">
        <v>625</v>
      </c>
      <c r="E107" s="106" t="s">
        <v>533</v>
      </c>
      <c r="F107" s="106" t="s">
        <v>577</v>
      </c>
      <c r="G107" s="106" t="s">
        <v>491</v>
      </c>
      <c r="H107" s="106" t="s">
        <v>627</v>
      </c>
      <c r="I107" s="106" t="s">
        <v>659</v>
      </c>
      <c r="J107" s="106" t="s">
        <v>660</v>
      </c>
      <c r="K107" s="106" t="s">
        <v>716</v>
      </c>
      <c r="L107" s="113"/>
    </row>
    <row r="108" spans="1:12" s="54" customFormat="1">
      <c r="A108" s="106" t="s">
        <v>757</v>
      </c>
      <c r="B108" s="106" t="s">
        <v>664</v>
      </c>
      <c r="C108" s="106" t="s">
        <v>624</v>
      </c>
      <c r="D108" s="106" t="s">
        <v>625</v>
      </c>
      <c r="E108" s="106" t="s">
        <v>533</v>
      </c>
      <c r="F108" s="106" t="s">
        <v>577</v>
      </c>
      <c r="G108" s="106" t="s">
        <v>491</v>
      </c>
      <c r="H108" s="106" t="s">
        <v>627</v>
      </c>
      <c r="I108" s="106" t="s">
        <v>659</v>
      </c>
      <c r="J108" s="106" t="s">
        <v>665</v>
      </c>
      <c r="K108" s="106" t="s">
        <v>716</v>
      </c>
      <c r="L108" s="113"/>
    </row>
    <row r="109" spans="1:12" s="54" customFormat="1">
      <c r="A109" s="106" t="s">
        <v>758</v>
      </c>
      <c r="B109" s="106" t="s">
        <v>667</v>
      </c>
      <c r="C109" s="106" t="s">
        <v>624</v>
      </c>
      <c r="D109" s="106" t="s">
        <v>625</v>
      </c>
      <c r="E109" s="106" t="s">
        <v>533</v>
      </c>
      <c r="F109" s="106" t="s">
        <v>577</v>
      </c>
      <c r="G109" s="106" t="s">
        <v>491</v>
      </c>
      <c r="H109" s="106" t="s">
        <v>627</v>
      </c>
      <c r="I109" s="106" t="s">
        <v>659</v>
      </c>
      <c r="J109" s="106" t="s">
        <v>660</v>
      </c>
      <c r="K109" s="106" t="s">
        <v>716</v>
      </c>
      <c r="L109" s="113"/>
    </row>
    <row r="110" spans="1:12" s="54" customFormat="1">
      <c r="A110" s="106" t="s">
        <v>759</v>
      </c>
      <c r="B110" s="106" t="s">
        <v>667</v>
      </c>
      <c r="C110" s="106" t="s">
        <v>624</v>
      </c>
      <c r="D110" s="106" t="s">
        <v>625</v>
      </c>
      <c r="E110" s="106" t="s">
        <v>533</v>
      </c>
      <c r="F110" s="106" t="s">
        <v>577</v>
      </c>
      <c r="G110" s="106" t="s">
        <v>491</v>
      </c>
      <c r="H110" s="106" t="s">
        <v>627</v>
      </c>
      <c r="I110" s="106" t="s">
        <v>659</v>
      </c>
      <c r="J110" s="106" t="s">
        <v>665</v>
      </c>
      <c r="K110" s="106" t="s">
        <v>716</v>
      </c>
      <c r="L110" s="113"/>
    </row>
    <row r="111" spans="1:12" s="54" customFormat="1">
      <c r="A111" s="106" t="s">
        <v>760</v>
      </c>
      <c r="B111" s="106" t="s">
        <v>496</v>
      </c>
      <c r="C111" s="106" t="s">
        <v>624</v>
      </c>
      <c r="D111" s="106" t="s">
        <v>625</v>
      </c>
      <c r="E111" s="106" t="s">
        <v>533</v>
      </c>
      <c r="F111" s="106" t="s">
        <v>577</v>
      </c>
      <c r="G111" s="106" t="s">
        <v>491</v>
      </c>
      <c r="H111" s="106" t="s">
        <v>627</v>
      </c>
      <c r="I111" s="106" t="s">
        <v>659</v>
      </c>
      <c r="J111" s="106" t="s">
        <v>660</v>
      </c>
      <c r="K111" s="106" t="s">
        <v>716</v>
      </c>
      <c r="L111" s="113"/>
    </row>
    <row r="112" spans="1:12" s="54" customFormat="1">
      <c r="A112" s="106" t="s">
        <v>761</v>
      </c>
      <c r="B112" s="106" t="s">
        <v>496</v>
      </c>
      <c r="C112" s="106" t="s">
        <v>624</v>
      </c>
      <c r="D112" s="106" t="s">
        <v>625</v>
      </c>
      <c r="E112" s="106" t="s">
        <v>533</v>
      </c>
      <c r="F112" s="106" t="s">
        <v>577</v>
      </c>
      <c r="G112" s="106" t="s">
        <v>491</v>
      </c>
      <c r="H112" s="106" t="s">
        <v>627</v>
      </c>
      <c r="I112" s="106" t="s">
        <v>659</v>
      </c>
      <c r="J112" s="106" t="s">
        <v>665</v>
      </c>
      <c r="K112" s="106" t="s">
        <v>716</v>
      </c>
      <c r="L112" s="113"/>
    </row>
    <row r="113" spans="1:12" s="54" customFormat="1">
      <c r="A113" s="106" t="s">
        <v>762</v>
      </c>
      <c r="B113" s="106" t="s">
        <v>676</v>
      </c>
      <c r="C113" s="106" t="s">
        <v>624</v>
      </c>
      <c r="D113" s="106" t="s">
        <v>625</v>
      </c>
      <c r="E113" s="106" t="s">
        <v>533</v>
      </c>
      <c r="F113" s="106" t="s">
        <v>577</v>
      </c>
      <c r="G113" s="106" t="s">
        <v>491</v>
      </c>
      <c r="H113" s="106" t="s">
        <v>627</v>
      </c>
      <c r="I113" s="106" t="s">
        <v>659</v>
      </c>
      <c r="J113" s="106" t="s">
        <v>660</v>
      </c>
      <c r="K113" s="106" t="s">
        <v>716</v>
      </c>
      <c r="L113" s="113"/>
    </row>
    <row r="114" spans="1:12" s="54" customFormat="1">
      <c r="A114" s="106" t="s">
        <v>763</v>
      </c>
      <c r="B114" s="106" t="s">
        <v>676</v>
      </c>
      <c r="C114" s="106" t="s">
        <v>624</v>
      </c>
      <c r="D114" s="106" t="s">
        <v>625</v>
      </c>
      <c r="E114" s="106" t="s">
        <v>533</v>
      </c>
      <c r="F114" s="106" t="s">
        <v>577</v>
      </c>
      <c r="G114" s="106" t="s">
        <v>491</v>
      </c>
      <c r="H114" s="106" t="s">
        <v>627</v>
      </c>
      <c r="I114" s="106" t="s">
        <v>659</v>
      </c>
      <c r="J114" s="106" t="s">
        <v>665</v>
      </c>
      <c r="K114" s="106" t="s">
        <v>716</v>
      </c>
      <c r="L114" s="113"/>
    </row>
    <row r="115" spans="1:12" s="54" customFormat="1">
      <c r="A115" s="106" t="s">
        <v>764</v>
      </c>
      <c r="B115" s="106" t="s">
        <v>632</v>
      </c>
      <c r="C115" s="106" t="s">
        <v>624</v>
      </c>
      <c r="D115" s="106" t="s">
        <v>625</v>
      </c>
      <c r="E115" s="106" t="s">
        <v>533</v>
      </c>
      <c r="F115" s="106" t="s">
        <v>577</v>
      </c>
      <c r="G115" s="106" t="s">
        <v>491</v>
      </c>
      <c r="H115" s="106" t="s">
        <v>627</v>
      </c>
      <c r="I115" s="106" t="s">
        <v>659</v>
      </c>
      <c r="J115" s="106" t="s">
        <v>660</v>
      </c>
      <c r="K115" s="106" t="s">
        <v>716</v>
      </c>
      <c r="L115" s="113"/>
    </row>
    <row r="116" spans="1:12" s="54" customFormat="1">
      <c r="A116" s="106" t="s">
        <v>765</v>
      </c>
      <c r="B116" s="106" t="s">
        <v>632</v>
      </c>
      <c r="C116" s="106" t="s">
        <v>624</v>
      </c>
      <c r="D116" s="106" t="s">
        <v>625</v>
      </c>
      <c r="E116" s="106" t="s">
        <v>533</v>
      </c>
      <c r="F116" s="106" t="s">
        <v>577</v>
      </c>
      <c r="G116" s="106" t="s">
        <v>491</v>
      </c>
      <c r="H116" s="106" t="s">
        <v>627</v>
      </c>
      <c r="I116" s="106" t="s">
        <v>659</v>
      </c>
      <c r="J116" s="106" t="s">
        <v>665</v>
      </c>
      <c r="K116" s="106" t="s">
        <v>716</v>
      </c>
      <c r="L116" s="113"/>
    </row>
    <row r="117" spans="1:12" s="54" customFormat="1">
      <c r="A117" s="106" t="s">
        <v>766</v>
      </c>
      <c r="B117" s="106" t="s">
        <v>632</v>
      </c>
      <c r="C117" s="106" t="s">
        <v>624</v>
      </c>
      <c r="D117" s="106" t="s">
        <v>625</v>
      </c>
      <c r="E117" s="106" t="s">
        <v>533</v>
      </c>
      <c r="F117" s="106" t="s">
        <v>577</v>
      </c>
      <c r="G117" s="106" t="s">
        <v>491</v>
      </c>
      <c r="H117" s="106" t="s">
        <v>627</v>
      </c>
      <c r="I117" s="106" t="s">
        <v>659</v>
      </c>
      <c r="J117" s="106" t="s">
        <v>752</v>
      </c>
      <c r="K117" s="106" t="s">
        <v>716</v>
      </c>
      <c r="L117" s="113"/>
    </row>
    <row r="118" spans="1:12" s="54" customFormat="1">
      <c r="A118" s="106" t="s">
        <v>767</v>
      </c>
      <c r="B118" s="106" t="s">
        <v>500</v>
      </c>
      <c r="C118" s="106" t="s">
        <v>624</v>
      </c>
      <c r="D118" s="106" t="s">
        <v>625</v>
      </c>
      <c r="E118" s="106" t="s">
        <v>533</v>
      </c>
      <c r="F118" s="106" t="s">
        <v>577</v>
      </c>
      <c r="G118" s="106" t="s">
        <v>491</v>
      </c>
      <c r="H118" s="106" t="s">
        <v>627</v>
      </c>
      <c r="I118" s="106" t="s">
        <v>659</v>
      </c>
      <c r="J118" s="106" t="s">
        <v>660</v>
      </c>
      <c r="K118" s="106" t="s">
        <v>716</v>
      </c>
      <c r="L118" s="113"/>
    </row>
    <row r="119" spans="1:12" s="54" customFormat="1">
      <c r="A119" s="106" t="s">
        <v>768</v>
      </c>
      <c r="B119" s="106" t="s">
        <v>500</v>
      </c>
      <c r="C119" s="106" t="s">
        <v>624</v>
      </c>
      <c r="D119" s="106" t="s">
        <v>625</v>
      </c>
      <c r="E119" s="106" t="s">
        <v>533</v>
      </c>
      <c r="F119" s="106" t="s">
        <v>577</v>
      </c>
      <c r="G119" s="106" t="s">
        <v>491</v>
      </c>
      <c r="H119" s="106" t="s">
        <v>627</v>
      </c>
      <c r="I119" s="106" t="s">
        <v>659</v>
      </c>
      <c r="J119" s="106" t="s">
        <v>665</v>
      </c>
      <c r="K119" s="106" t="s">
        <v>716</v>
      </c>
      <c r="L119" s="113"/>
    </row>
    <row r="120" spans="1:12" s="54" customFormat="1">
      <c r="A120" s="106" t="s">
        <v>769</v>
      </c>
      <c r="B120" s="106" t="s">
        <v>500</v>
      </c>
      <c r="C120" s="106" t="s">
        <v>624</v>
      </c>
      <c r="D120" s="106" t="s">
        <v>625</v>
      </c>
      <c r="E120" s="106" t="s">
        <v>533</v>
      </c>
      <c r="F120" s="106" t="s">
        <v>577</v>
      </c>
      <c r="G120" s="106" t="s">
        <v>491</v>
      </c>
      <c r="H120" s="106" t="s">
        <v>627</v>
      </c>
      <c r="I120" s="106" t="s">
        <v>659</v>
      </c>
      <c r="J120" s="106" t="s">
        <v>752</v>
      </c>
      <c r="K120" s="106" t="s">
        <v>716</v>
      </c>
      <c r="L120" s="113"/>
    </row>
    <row r="121" spans="1:12" s="54" customFormat="1">
      <c r="A121" s="106" t="s">
        <v>770</v>
      </c>
      <c r="B121" s="106" t="s">
        <v>687</v>
      </c>
      <c r="C121" s="106" t="s">
        <v>635</v>
      </c>
      <c r="D121" s="106" t="s">
        <v>625</v>
      </c>
      <c r="E121" s="106" t="s">
        <v>533</v>
      </c>
      <c r="F121" s="106" t="s">
        <v>577</v>
      </c>
      <c r="G121" s="106" t="s">
        <v>491</v>
      </c>
      <c r="H121" s="106" t="s">
        <v>627</v>
      </c>
      <c r="I121" s="106" t="s">
        <v>659</v>
      </c>
      <c r="J121" s="106" t="s">
        <v>660</v>
      </c>
      <c r="K121" s="106" t="s">
        <v>716</v>
      </c>
      <c r="L121" s="113"/>
    </row>
    <row r="122" spans="1:12" s="54" customFormat="1">
      <c r="A122" s="106" t="s">
        <v>771</v>
      </c>
      <c r="B122" s="106" t="s">
        <v>687</v>
      </c>
      <c r="C122" s="106" t="s">
        <v>635</v>
      </c>
      <c r="D122" s="106" t="s">
        <v>625</v>
      </c>
      <c r="E122" s="106" t="s">
        <v>533</v>
      </c>
      <c r="F122" s="106" t="s">
        <v>577</v>
      </c>
      <c r="G122" s="106" t="s">
        <v>491</v>
      </c>
      <c r="H122" s="106" t="s">
        <v>627</v>
      </c>
      <c r="I122" s="106" t="s">
        <v>659</v>
      </c>
      <c r="J122" s="106" t="s">
        <v>665</v>
      </c>
      <c r="K122" s="106" t="s">
        <v>716</v>
      </c>
      <c r="L122" s="113"/>
    </row>
    <row r="123" spans="1:12" s="54" customFormat="1">
      <c r="A123" s="106" t="s">
        <v>772</v>
      </c>
      <c r="B123" s="106" t="s">
        <v>690</v>
      </c>
      <c r="C123" s="106" t="s">
        <v>496</v>
      </c>
      <c r="D123" s="106" t="s">
        <v>625</v>
      </c>
      <c r="E123" s="106" t="s">
        <v>533</v>
      </c>
      <c r="F123" s="106" t="s">
        <v>577</v>
      </c>
      <c r="G123" s="106" t="s">
        <v>491</v>
      </c>
      <c r="H123" s="106" t="s">
        <v>627</v>
      </c>
      <c r="I123" s="106" t="s">
        <v>659</v>
      </c>
      <c r="J123" s="106" t="s">
        <v>660</v>
      </c>
      <c r="K123" s="106" t="s">
        <v>716</v>
      </c>
      <c r="L123" s="113"/>
    </row>
    <row r="124" spans="1:12" s="54" customFormat="1">
      <c r="A124" s="106" t="s">
        <v>591</v>
      </c>
      <c r="B124" s="106" t="s">
        <v>664</v>
      </c>
      <c r="C124" s="106" t="s">
        <v>624</v>
      </c>
      <c r="D124" s="106" t="s">
        <v>625</v>
      </c>
      <c r="E124" s="106" t="s">
        <v>626</v>
      </c>
      <c r="F124" s="106" t="s">
        <v>579</v>
      </c>
      <c r="G124" s="106" t="s">
        <v>707</v>
      </c>
      <c r="H124" s="106" t="s">
        <v>627</v>
      </c>
      <c r="I124" s="106" t="s">
        <v>659</v>
      </c>
      <c r="J124" s="106" t="s">
        <v>660</v>
      </c>
      <c r="K124" s="106" t="s">
        <v>716</v>
      </c>
      <c r="L124" s="113"/>
    </row>
    <row r="125" spans="1:12" s="54" customFormat="1">
      <c r="A125" s="106" t="s">
        <v>593</v>
      </c>
      <c r="B125" s="106" t="s">
        <v>667</v>
      </c>
      <c r="C125" s="106" t="s">
        <v>624</v>
      </c>
      <c r="D125" s="106" t="s">
        <v>625</v>
      </c>
      <c r="E125" s="106" t="s">
        <v>626</v>
      </c>
      <c r="F125" s="106" t="s">
        <v>579</v>
      </c>
      <c r="G125" s="106" t="s">
        <v>707</v>
      </c>
      <c r="H125" s="106" t="s">
        <v>627</v>
      </c>
      <c r="I125" s="106" t="s">
        <v>659</v>
      </c>
      <c r="J125" s="106" t="s">
        <v>660</v>
      </c>
      <c r="K125" s="106" t="s">
        <v>716</v>
      </c>
      <c r="L125" s="113"/>
    </row>
    <row r="126" spans="1:12" s="54" customFormat="1">
      <c r="A126" s="106" t="s">
        <v>595</v>
      </c>
      <c r="B126" s="106" t="s">
        <v>496</v>
      </c>
      <c r="C126" s="106" t="s">
        <v>624</v>
      </c>
      <c r="D126" s="106" t="s">
        <v>625</v>
      </c>
      <c r="E126" s="106" t="s">
        <v>626</v>
      </c>
      <c r="F126" s="106" t="s">
        <v>579</v>
      </c>
      <c r="G126" s="106" t="s">
        <v>707</v>
      </c>
      <c r="H126" s="106" t="s">
        <v>627</v>
      </c>
      <c r="I126" s="106" t="s">
        <v>659</v>
      </c>
      <c r="J126" s="106" t="s">
        <v>660</v>
      </c>
      <c r="K126" s="106" t="s">
        <v>716</v>
      </c>
      <c r="L126" s="113"/>
    </row>
    <row r="127" spans="1:12" s="54" customFormat="1">
      <c r="A127" s="106" t="s">
        <v>597</v>
      </c>
      <c r="B127" s="106" t="s">
        <v>676</v>
      </c>
      <c r="C127" s="106" t="s">
        <v>624</v>
      </c>
      <c r="D127" s="106" t="s">
        <v>625</v>
      </c>
      <c r="E127" s="106" t="s">
        <v>626</v>
      </c>
      <c r="F127" s="106" t="s">
        <v>579</v>
      </c>
      <c r="G127" s="106" t="s">
        <v>707</v>
      </c>
      <c r="H127" s="106" t="s">
        <v>627</v>
      </c>
      <c r="I127" s="106" t="s">
        <v>659</v>
      </c>
      <c r="J127" s="106" t="s">
        <v>660</v>
      </c>
      <c r="K127" s="106" t="s">
        <v>716</v>
      </c>
      <c r="L127" s="113"/>
    </row>
    <row r="128" spans="1:12" s="54" customFormat="1">
      <c r="A128" s="106" t="s">
        <v>599</v>
      </c>
      <c r="B128" s="106" t="s">
        <v>632</v>
      </c>
      <c r="C128" s="106" t="s">
        <v>624</v>
      </c>
      <c r="D128" s="106" t="s">
        <v>625</v>
      </c>
      <c r="E128" s="106" t="s">
        <v>626</v>
      </c>
      <c r="F128" s="106" t="s">
        <v>579</v>
      </c>
      <c r="G128" s="106" t="s">
        <v>707</v>
      </c>
      <c r="H128" s="106" t="s">
        <v>627</v>
      </c>
      <c r="I128" s="106" t="s">
        <v>659</v>
      </c>
      <c r="J128" s="106" t="s">
        <v>660</v>
      </c>
      <c r="K128" s="106" t="s">
        <v>716</v>
      </c>
      <c r="L128" s="113"/>
    </row>
    <row r="129" spans="1:12" s="54" customFormat="1">
      <c r="A129" s="106" t="s">
        <v>601</v>
      </c>
      <c r="B129" s="106" t="s">
        <v>500</v>
      </c>
      <c r="C129" s="106" t="s">
        <v>624</v>
      </c>
      <c r="D129" s="106" t="s">
        <v>625</v>
      </c>
      <c r="E129" s="106" t="s">
        <v>626</v>
      </c>
      <c r="F129" s="106" t="s">
        <v>579</v>
      </c>
      <c r="G129" s="106" t="s">
        <v>707</v>
      </c>
      <c r="H129" s="106" t="s">
        <v>627</v>
      </c>
      <c r="I129" s="106" t="s">
        <v>659</v>
      </c>
      <c r="J129" s="106" t="s">
        <v>660</v>
      </c>
      <c r="K129" s="106" t="s">
        <v>716</v>
      </c>
      <c r="L129" s="113"/>
    </row>
    <row r="130" spans="1:12" s="54" customFormat="1">
      <c r="A130" s="106" t="s">
        <v>603</v>
      </c>
      <c r="B130" s="106" t="s">
        <v>687</v>
      </c>
      <c r="C130" s="106" t="s">
        <v>635</v>
      </c>
      <c r="D130" s="106" t="s">
        <v>625</v>
      </c>
      <c r="E130" s="106" t="s">
        <v>626</v>
      </c>
      <c r="F130" s="106" t="s">
        <v>579</v>
      </c>
      <c r="G130" s="106" t="s">
        <v>707</v>
      </c>
      <c r="H130" s="106" t="s">
        <v>627</v>
      </c>
      <c r="I130" s="106" t="s">
        <v>659</v>
      </c>
      <c r="J130" s="106" t="s">
        <v>660</v>
      </c>
      <c r="K130" s="106" t="s">
        <v>716</v>
      </c>
      <c r="L130" s="113"/>
    </row>
    <row r="131" spans="1:12" s="54" customFormat="1">
      <c r="A131" s="106" t="s">
        <v>605</v>
      </c>
      <c r="B131" s="106" t="s">
        <v>690</v>
      </c>
      <c r="C131" s="106" t="s">
        <v>496</v>
      </c>
      <c r="D131" s="106" t="s">
        <v>625</v>
      </c>
      <c r="E131" s="106" t="s">
        <v>626</v>
      </c>
      <c r="F131" s="106" t="s">
        <v>579</v>
      </c>
      <c r="G131" s="106" t="s">
        <v>707</v>
      </c>
      <c r="H131" s="106" t="s">
        <v>627</v>
      </c>
      <c r="I131" s="106" t="s">
        <v>659</v>
      </c>
      <c r="J131" s="106" t="s">
        <v>660</v>
      </c>
      <c r="K131" s="106" t="s">
        <v>716</v>
      </c>
      <c r="L131" s="113"/>
    </row>
    <row r="132" spans="1:12" s="54" customFormat="1">
      <c r="A132" s="106" t="s">
        <v>773</v>
      </c>
      <c r="B132" s="106" t="s">
        <v>664</v>
      </c>
      <c r="C132" s="106" t="s">
        <v>624</v>
      </c>
      <c r="D132" s="106" t="s">
        <v>625</v>
      </c>
      <c r="E132" s="106" t="s">
        <v>533</v>
      </c>
      <c r="F132" s="106" t="s">
        <v>579</v>
      </c>
      <c r="G132" s="106" t="s">
        <v>707</v>
      </c>
      <c r="H132" s="106" t="s">
        <v>627</v>
      </c>
      <c r="I132" s="106" t="s">
        <v>659</v>
      </c>
      <c r="J132" s="106" t="s">
        <v>660</v>
      </c>
      <c r="K132" s="106" t="s">
        <v>716</v>
      </c>
      <c r="L132" s="113"/>
    </row>
    <row r="133" spans="1:12" s="54" customFormat="1">
      <c r="A133" s="106" t="s">
        <v>774</v>
      </c>
      <c r="B133" s="106" t="s">
        <v>667</v>
      </c>
      <c r="C133" s="106" t="s">
        <v>624</v>
      </c>
      <c r="D133" s="106" t="s">
        <v>625</v>
      </c>
      <c r="E133" s="106" t="s">
        <v>533</v>
      </c>
      <c r="F133" s="106" t="s">
        <v>579</v>
      </c>
      <c r="G133" s="106" t="s">
        <v>707</v>
      </c>
      <c r="H133" s="106" t="s">
        <v>627</v>
      </c>
      <c r="I133" s="106" t="s">
        <v>659</v>
      </c>
      <c r="J133" s="106" t="s">
        <v>660</v>
      </c>
      <c r="K133" s="106" t="s">
        <v>716</v>
      </c>
      <c r="L133" s="113"/>
    </row>
    <row r="134" spans="1:12" s="54" customFormat="1">
      <c r="A134" s="106" t="s">
        <v>775</v>
      </c>
      <c r="B134" s="106" t="s">
        <v>496</v>
      </c>
      <c r="C134" s="106" t="s">
        <v>624</v>
      </c>
      <c r="D134" s="106" t="s">
        <v>625</v>
      </c>
      <c r="E134" s="106" t="s">
        <v>533</v>
      </c>
      <c r="F134" s="106" t="s">
        <v>579</v>
      </c>
      <c r="G134" s="106" t="s">
        <v>707</v>
      </c>
      <c r="H134" s="106" t="s">
        <v>627</v>
      </c>
      <c r="I134" s="106" t="s">
        <v>659</v>
      </c>
      <c r="J134" s="106" t="s">
        <v>660</v>
      </c>
      <c r="K134" s="106" t="s">
        <v>716</v>
      </c>
      <c r="L134" s="113"/>
    </row>
    <row r="135" spans="1:12" s="54" customFormat="1">
      <c r="A135" s="106" t="s">
        <v>776</v>
      </c>
      <c r="B135" s="106" t="s">
        <v>676</v>
      </c>
      <c r="C135" s="106" t="s">
        <v>624</v>
      </c>
      <c r="D135" s="106" t="s">
        <v>625</v>
      </c>
      <c r="E135" s="106" t="s">
        <v>533</v>
      </c>
      <c r="F135" s="106" t="s">
        <v>579</v>
      </c>
      <c r="G135" s="106" t="s">
        <v>707</v>
      </c>
      <c r="H135" s="106" t="s">
        <v>627</v>
      </c>
      <c r="I135" s="106" t="s">
        <v>659</v>
      </c>
      <c r="J135" s="106" t="s">
        <v>660</v>
      </c>
      <c r="K135" s="106" t="s">
        <v>716</v>
      </c>
      <c r="L135" s="113"/>
    </row>
    <row r="136" spans="1:12" s="54" customFormat="1">
      <c r="A136" s="106" t="s">
        <v>777</v>
      </c>
      <c r="B136" s="106" t="s">
        <v>632</v>
      </c>
      <c r="C136" s="106" t="s">
        <v>624</v>
      </c>
      <c r="D136" s="106" t="s">
        <v>625</v>
      </c>
      <c r="E136" s="106" t="s">
        <v>533</v>
      </c>
      <c r="F136" s="106" t="s">
        <v>579</v>
      </c>
      <c r="G136" s="106" t="s">
        <v>707</v>
      </c>
      <c r="H136" s="106" t="s">
        <v>627</v>
      </c>
      <c r="I136" s="106" t="s">
        <v>659</v>
      </c>
      <c r="J136" s="106" t="s">
        <v>660</v>
      </c>
      <c r="K136" s="106" t="s">
        <v>716</v>
      </c>
      <c r="L136" s="113"/>
    </row>
    <row r="137" spans="1:12" s="54" customFormat="1">
      <c r="A137" s="106" t="s">
        <v>778</v>
      </c>
      <c r="B137" s="106" t="s">
        <v>500</v>
      </c>
      <c r="C137" s="106" t="s">
        <v>624</v>
      </c>
      <c r="D137" s="106" t="s">
        <v>625</v>
      </c>
      <c r="E137" s="106" t="s">
        <v>533</v>
      </c>
      <c r="F137" s="106" t="s">
        <v>579</v>
      </c>
      <c r="G137" s="106" t="s">
        <v>707</v>
      </c>
      <c r="H137" s="106" t="s">
        <v>627</v>
      </c>
      <c r="I137" s="106" t="s">
        <v>659</v>
      </c>
      <c r="J137" s="106" t="s">
        <v>660</v>
      </c>
      <c r="K137" s="106" t="s">
        <v>716</v>
      </c>
      <c r="L137" s="113"/>
    </row>
    <row r="138" spans="1:12" s="54" customFormat="1">
      <c r="A138" s="106" t="s">
        <v>779</v>
      </c>
      <c r="B138" s="106" t="s">
        <v>687</v>
      </c>
      <c r="C138" s="106" t="s">
        <v>635</v>
      </c>
      <c r="D138" s="106" t="s">
        <v>625</v>
      </c>
      <c r="E138" s="106" t="s">
        <v>533</v>
      </c>
      <c r="F138" s="106" t="s">
        <v>579</v>
      </c>
      <c r="G138" s="106" t="s">
        <v>707</v>
      </c>
      <c r="H138" s="106" t="s">
        <v>627</v>
      </c>
      <c r="I138" s="106" t="s">
        <v>659</v>
      </c>
      <c r="J138" s="106" t="s">
        <v>660</v>
      </c>
      <c r="K138" s="106" t="s">
        <v>716</v>
      </c>
      <c r="L138" s="113"/>
    </row>
    <row r="139" spans="1:12" s="54" customFormat="1">
      <c r="A139" s="106" t="s">
        <v>780</v>
      </c>
      <c r="B139" s="106" t="s">
        <v>690</v>
      </c>
      <c r="C139" s="106" t="s">
        <v>496</v>
      </c>
      <c r="D139" s="106" t="s">
        <v>625</v>
      </c>
      <c r="E139" s="106" t="s">
        <v>533</v>
      </c>
      <c r="F139" s="106" t="s">
        <v>579</v>
      </c>
      <c r="G139" s="106" t="s">
        <v>707</v>
      </c>
      <c r="H139" s="106" t="s">
        <v>627</v>
      </c>
      <c r="I139" s="106" t="s">
        <v>659</v>
      </c>
      <c r="J139" s="106" t="s">
        <v>660</v>
      </c>
      <c r="K139" s="106" t="s">
        <v>716</v>
      </c>
      <c r="L139" s="113"/>
    </row>
    <row r="140" spans="1:12" s="54" customFormat="1">
      <c r="A140" s="106" t="s">
        <v>606</v>
      </c>
      <c r="B140" s="106" t="s">
        <v>781</v>
      </c>
      <c r="C140" s="106" t="s">
        <v>608</v>
      </c>
      <c r="D140" s="106" t="s">
        <v>625</v>
      </c>
      <c r="E140" s="106" t="s">
        <v>626</v>
      </c>
      <c r="F140" s="106" t="s">
        <v>577</v>
      </c>
      <c r="G140" s="106" t="s">
        <v>491</v>
      </c>
      <c r="H140" s="106" t="s">
        <v>627</v>
      </c>
      <c r="I140" s="106" t="s">
        <v>659</v>
      </c>
      <c r="J140" s="106" t="s">
        <v>660</v>
      </c>
      <c r="K140" s="106" t="s">
        <v>716</v>
      </c>
      <c r="L140" s="113"/>
    </row>
    <row r="141" spans="1:12" s="54" customFormat="1">
      <c r="A141" s="106" t="s">
        <v>782</v>
      </c>
      <c r="B141" s="106" t="s">
        <v>781</v>
      </c>
      <c r="C141" s="106" t="s">
        <v>608</v>
      </c>
      <c r="D141" s="106" t="s">
        <v>625</v>
      </c>
      <c r="E141" s="106" t="s">
        <v>626</v>
      </c>
      <c r="F141" s="106" t="s">
        <v>577</v>
      </c>
      <c r="G141" s="106" t="s">
        <v>658</v>
      </c>
      <c r="H141" s="106" t="s">
        <v>627</v>
      </c>
      <c r="I141" s="106" t="s">
        <v>659</v>
      </c>
      <c r="J141" s="106" t="s">
        <v>660</v>
      </c>
      <c r="K141" s="106" t="s">
        <v>716</v>
      </c>
      <c r="L141" s="113"/>
    </row>
    <row r="142" spans="1:12" s="54" customFormat="1">
      <c r="A142" s="106" t="s">
        <v>607</v>
      </c>
      <c r="B142" s="106" t="s">
        <v>781</v>
      </c>
      <c r="C142" s="106" t="s">
        <v>608</v>
      </c>
      <c r="D142" s="106" t="s">
        <v>625</v>
      </c>
      <c r="E142" s="106" t="s">
        <v>626</v>
      </c>
      <c r="F142" s="106" t="s">
        <v>577</v>
      </c>
      <c r="G142" s="106" t="s">
        <v>707</v>
      </c>
      <c r="H142" s="106" t="s">
        <v>627</v>
      </c>
      <c r="I142" s="106" t="s">
        <v>659</v>
      </c>
      <c r="J142" s="106" t="s">
        <v>660</v>
      </c>
      <c r="K142" s="106" t="s">
        <v>716</v>
      </c>
      <c r="L142" s="113"/>
    </row>
    <row r="143" spans="1:12" s="54" customFormat="1">
      <c r="A143" s="106" t="s">
        <v>609</v>
      </c>
      <c r="B143" s="106" t="s">
        <v>783</v>
      </c>
      <c r="C143" s="106" t="s">
        <v>611</v>
      </c>
      <c r="D143" s="106" t="s">
        <v>625</v>
      </c>
      <c r="E143" s="106" t="s">
        <v>626</v>
      </c>
      <c r="F143" s="106" t="s">
        <v>577</v>
      </c>
      <c r="G143" s="106" t="s">
        <v>491</v>
      </c>
      <c r="H143" s="106" t="s">
        <v>627</v>
      </c>
      <c r="I143" s="106" t="s">
        <v>659</v>
      </c>
      <c r="J143" s="106" t="s">
        <v>660</v>
      </c>
      <c r="K143" s="106" t="s">
        <v>716</v>
      </c>
      <c r="L143" s="113"/>
    </row>
    <row r="144" spans="1:12" s="54" customFormat="1">
      <c r="A144" s="106" t="s">
        <v>784</v>
      </c>
      <c r="B144" s="106" t="s">
        <v>783</v>
      </c>
      <c r="C144" s="106" t="s">
        <v>611</v>
      </c>
      <c r="D144" s="106" t="s">
        <v>625</v>
      </c>
      <c r="E144" s="106" t="s">
        <v>626</v>
      </c>
      <c r="F144" s="106" t="s">
        <v>577</v>
      </c>
      <c r="G144" s="106" t="s">
        <v>658</v>
      </c>
      <c r="H144" s="106" t="s">
        <v>627</v>
      </c>
      <c r="I144" s="106" t="s">
        <v>659</v>
      </c>
      <c r="J144" s="106" t="s">
        <v>660</v>
      </c>
      <c r="K144" s="106" t="s">
        <v>716</v>
      </c>
      <c r="L144" s="113"/>
    </row>
    <row r="145" spans="1:12" s="54" customFormat="1">
      <c r="A145" s="105" t="s">
        <v>610</v>
      </c>
      <c r="B145" s="105" t="s">
        <v>783</v>
      </c>
      <c r="C145" s="105" t="s">
        <v>611</v>
      </c>
      <c r="D145" s="105" t="s">
        <v>625</v>
      </c>
      <c r="E145" s="105" t="s">
        <v>626</v>
      </c>
      <c r="F145" s="105" t="s">
        <v>577</v>
      </c>
      <c r="G145" s="105" t="s">
        <v>707</v>
      </c>
      <c r="H145" s="105" t="s">
        <v>627</v>
      </c>
      <c r="I145" s="105">
        <v>250</v>
      </c>
      <c r="J145" s="106" t="s">
        <v>660</v>
      </c>
      <c r="K145" s="106" t="s">
        <v>716</v>
      </c>
      <c r="L145" s="113"/>
    </row>
    <row r="146" spans="1:12" s="54" customFormat="1">
      <c r="A146" s="105" t="s">
        <v>785</v>
      </c>
      <c r="B146" s="105">
        <v>1</v>
      </c>
      <c r="C146" s="105">
        <v>0.5</v>
      </c>
      <c r="D146" s="105" t="s">
        <v>625</v>
      </c>
      <c r="E146" s="105" t="s">
        <v>533</v>
      </c>
      <c r="F146" s="105" t="s">
        <v>577</v>
      </c>
      <c r="G146" s="105" t="s">
        <v>491</v>
      </c>
      <c r="H146" s="105" t="s">
        <v>627</v>
      </c>
      <c r="I146" s="105">
        <v>250</v>
      </c>
      <c r="J146" s="106" t="s">
        <v>660</v>
      </c>
      <c r="K146" s="106" t="s">
        <v>786</v>
      </c>
      <c r="L146" s="113"/>
    </row>
    <row r="147" spans="1:12" s="54" customFormat="1">
      <c r="A147" s="105" t="s">
        <v>787</v>
      </c>
      <c r="B147" s="105">
        <v>1.6</v>
      </c>
      <c r="C147" s="105">
        <v>0.5</v>
      </c>
      <c r="D147" s="105" t="s">
        <v>625</v>
      </c>
      <c r="E147" s="105" t="s">
        <v>533</v>
      </c>
      <c r="F147" s="105" t="s">
        <v>577</v>
      </c>
      <c r="G147" s="105" t="s">
        <v>491</v>
      </c>
      <c r="H147" s="105" t="s">
        <v>627</v>
      </c>
      <c r="I147" s="105">
        <v>250</v>
      </c>
      <c r="J147" s="106" t="s">
        <v>660</v>
      </c>
      <c r="K147" s="106" t="s">
        <v>786</v>
      </c>
      <c r="L147" s="113"/>
    </row>
    <row r="148" spans="1:12" s="54" customFormat="1">
      <c r="A148" s="105" t="s">
        <v>788</v>
      </c>
      <c r="B148" s="105">
        <v>2.5</v>
      </c>
      <c r="C148" s="105">
        <v>0.5</v>
      </c>
      <c r="D148" s="105" t="s">
        <v>625</v>
      </c>
      <c r="E148" s="105" t="s">
        <v>533</v>
      </c>
      <c r="F148" s="105" t="s">
        <v>577</v>
      </c>
      <c r="G148" s="105" t="s">
        <v>491</v>
      </c>
      <c r="H148" s="105" t="s">
        <v>627</v>
      </c>
      <c r="I148" s="105">
        <v>250</v>
      </c>
      <c r="J148" s="106" t="s">
        <v>660</v>
      </c>
      <c r="K148" s="106" t="s">
        <v>786</v>
      </c>
      <c r="L148" s="113"/>
    </row>
    <row r="149" spans="1:12" s="54" customFormat="1">
      <c r="A149" s="105" t="s">
        <v>789</v>
      </c>
      <c r="B149" s="105">
        <v>4</v>
      </c>
      <c r="C149" s="105" t="s">
        <v>624</v>
      </c>
      <c r="D149" s="105" t="s">
        <v>625</v>
      </c>
      <c r="E149" s="105" t="s">
        <v>533</v>
      </c>
      <c r="F149" s="105" t="s">
        <v>577</v>
      </c>
      <c r="G149" s="105" t="s">
        <v>491</v>
      </c>
      <c r="H149" s="105" t="s">
        <v>627</v>
      </c>
      <c r="I149" s="105">
        <v>250</v>
      </c>
      <c r="J149" s="106" t="s">
        <v>660</v>
      </c>
      <c r="K149" s="106" t="s">
        <v>786</v>
      </c>
      <c r="L149" s="113"/>
    </row>
    <row r="150" spans="1:12" s="54" customFormat="1">
      <c r="A150" s="105" t="s">
        <v>790</v>
      </c>
      <c r="B150" s="105">
        <v>6.3</v>
      </c>
      <c r="C150" s="105" t="s">
        <v>635</v>
      </c>
      <c r="D150" s="105" t="s">
        <v>625</v>
      </c>
      <c r="E150" s="105" t="s">
        <v>533</v>
      </c>
      <c r="F150" s="105" t="s">
        <v>577</v>
      </c>
      <c r="G150" s="105" t="s">
        <v>491</v>
      </c>
      <c r="H150" s="105" t="s">
        <v>627</v>
      </c>
      <c r="I150" s="105">
        <v>250</v>
      </c>
      <c r="J150" s="106" t="s">
        <v>660</v>
      </c>
      <c r="K150" s="106" t="s">
        <v>786</v>
      </c>
      <c r="L150" s="113"/>
    </row>
    <row r="151" spans="1:12" s="54" customFormat="1">
      <c r="A151" s="105" t="s">
        <v>791</v>
      </c>
      <c r="B151" s="105">
        <v>10</v>
      </c>
      <c r="C151" s="105" t="s">
        <v>496</v>
      </c>
      <c r="D151" s="105" t="s">
        <v>625</v>
      </c>
      <c r="E151" s="105" t="s">
        <v>533</v>
      </c>
      <c r="F151" s="105" t="s">
        <v>577</v>
      </c>
      <c r="G151" s="105" t="s">
        <v>491</v>
      </c>
      <c r="H151" s="105" t="s">
        <v>627</v>
      </c>
      <c r="I151" s="105">
        <v>250</v>
      </c>
      <c r="J151" s="106" t="s">
        <v>660</v>
      </c>
      <c r="K151" s="106" t="s">
        <v>786</v>
      </c>
      <c r="L151" s="113"/>
    </row>
    <row r="152" spans="1:12" s="54" customFormat="1">
      <c r="A152" s="105" t="s">
        <v>792</v>
      </c>
      <c r="B152" s="105">
        <v>16</v>
      </c>
      <c r="C152" s="105" t="s">
        <v>608</v>
      </c>
      <c r="D152" s="105" t="s">
        <v>625</v>
      </c>
      <c r="E152" s="105" t="s">
        <v>533</v>
      </c>
      <c r="F152" s="105" t="s">
        <v>577</v>
      </c>
      <c r="G152" s="105" t="s">
        <v>491</v>
      </c>
      <c r="H152" s="105" t="s">
        <v>627</v>
      </c>
      <c r="I152" s="105">
        <v>250</v>
      </c>
      <c r="J152" s="106" t="s">
        <v>660</v>
      </c>
      <c r="K152" s="106" t="s">
        <v>786</v>
      </c>
      <c r="L152" s="113"/>
    </row>
    <row r="153" spans="1:12" s="54" customFormat="1">
      <c r="A153" s="105" t="s">
        <v>793</v>
      </c>
      <c r="B153" s="105">
        <v>25</v>
      </c>
      <c r="C153" s="105" t="s">
        <v>611</v>
      </c>
      <c r="D153" s="105" t="s">
        <v>625</v>
      </c>
      <c r="E153" s="105" t="s">
        <v>533</v>
      </c>
      <c r="F153" s="105" t="s">
        <v>577</v>
      </c>
      <c r="G153" s="105" t="s">
        <v>491</v>
      </c>
      <c r="H153" s="105" t="s">
        <v>627</v>
      </c>
      <c r="I153" s="105">
        <v>250</v>
      </c>
      <c r="J153" s="106" t="s">
        <v>660</v>
      </c>
      <c r="K153" s="106" t="s">
        <v>786</v>
      </c>
      <c r="L153" s="113"/>
    </row>
    <row r="154" spans="1:12" s="54" customFormat="1">
      <c r="A154" s="105" t="s">
        <v>794</v>
      </c>
      <c r="B154" s="105">
        <v>40</v>
      </c>
      <c r="C154" s="105" t="s">
        <v>795</v>
      </c>
      <c r="D154" s="105" t="s">
        <v>625</v>
      </c>
      <c r="E154" s="105" t="s">
        <v>533</v>
      </c>
      <c r="F154" s="105" t="s">
        <v>577</v>
      </c>
      <c r="G154" s="105" t="s">
        <v>491</v>
      </c>
      <c r="H154" s="105" t="s">
        <v>627</v>
      </c>
      <c r="I154" s="105">
        <v>250</v>
      </c>
      <c r="J154" s="106" t="s">
        <v>660</v>
      </c>
      <c r="K154" s="106" t="s">
        <v>786</v>
      </c>
      <c r="L154" s="113"/>
    </row>
    <row r="155" spans="1:12" s="54" customFormat="1">
      <c r="A155" s="106" t="s">
        <v>796</v>
      </c>
      <c r="B155" s="106">
        <v>1</v>
      </c>
      <c r="C155" s="106">
        <v>0.5</v>
      </c>
      <c r="D155" s="106" t="s">
        <v>625</v>
      </c>
      <c r="E155" s="106" t="s">
        <v>533</v>
      </c>
      <c r="F155" s="106" t="s">
        <v>577</v>
      </c>
      <c r="G155" s="106" t="s">
        <v>658</v>
      </c>
      <c r="H155" s="106" t="s">
        <v>627</v>
      </c>
      <c r="I155" s="106">
        <v>250</v>
      </c>
      <c r="J155" s="106" t="s">
        <v>660</v>
      </c>
      <c r="K155" s="106" t="s">
        <v>786</v>
      </c>
      <c r="L155" s="113"/>
    </row>
    <row r="156" spans="1:12" s="54" customFormat="1">
      <c r="A156" s="105" t="s">
        <v>797</v>
      </c>
      <c r="B156" s="105">
        <v>1.6</v>
      </c>
      <c r="C156" s="105">
        <v>0.5</v>
      </c>
      <c r="D156" s="105" t="s">
        <v>625</v>
      </c>
      <c r="E156" s="105" t="s">
        <v>533</v>
      </c>
      <c r="F156" s="105" t="s">
        <v>577</v>
      </c>
      <c r="G156" s="105" t="s">
        <v>658</v>
      </c>
      <c r="H156" s="105" t="s">
        <v>627</v>
      </c>
      <c r="I156" s="105">
        <v>250</v>
      </c>
      <c r="J156" s="106" t="s">
        <v>660</v>
      </c>
      <c r="K156" s="106" t="s">
        <v>786</v>
      </c>
      <c r="L156" s="113"/>
    </row>
    <row r="157" spans="1:12" s="54" customFormat="1">
      <c r="A157" s="105" t="s">
        <v>798</v>
      </c>
      <c r="B157" s="105">
        <v>2.5</v>
      </c>
      <c r="C157" s="105">
        <v>0.5</v>
      </c>
      <c r="D157" s="105" t="s">
        <v>625</v>
      </c>
      <c r="E157" s="105" t="s">
        <v>533</v>
      </c>
      <c r="F157" s="105" t="s">
        <v>577</v>
      </c>
      <c r="G157" s="105" t="s">
        <v>658</v>
      </c>
      <c r="H157" s="105" t="s">
        <v>627</v>
      </c>
      <c r="I157" s="105">
        <v>250</v>
      </c>
      <c r="J157" s="106" t="s">
        <v>660</v>
      </c>
      <c r="K157" s="106" t="s">
        <v>786</v>
      </c>
      <c r="L157" s="113"/>
    </row>
    <row r="158" spans="1:12" s="54" customFormat="1">
      <c r="A158" s="105" t="s">
        <v>799</v>
      </c>
      <c r="B158" s="105">
        <v>4</v>
      </c>
      <c r="C158" s="105" t="s">
        <v>624</v>
      </c>
      <c r="D158" s="105" t="s">
        <v>625</v>
      </c>
      <c r="E158" s="105" t="s">
        <v>533</v>
      </c>
      <c r="F158" s="105" t="s">
        <v>577</v>
      </c>
      <c r="G158" s="105" t="s">
        <v>658</v>
      </c>
      <c r="H158" s="105" t="s">
        <v>627</v>
      </c>
      <c r="I158" s="105">
        <v>250</v>
      </c>
      <c r="J158" s="106" t="s">
        <v>660</v>
      </c>
      <c r="K158" s="106" t="s">
        <v>786</v>
      </c>
      <c r="L158" s="113"/>
    </row>
    <row r="159" spans="1:12" s="54" customFormat="1">
      <c r="A159" s="105" t="s">
        <v>800</v>
      </c>
      <c r="B159" s="105">
        <v>6.3</v>
      </c>
      <c r="C159" s="105" t="s">
        <v>635</v>
      </c>
      <c r="D159" s="105" t="s">
        <v>625</v>
      </c>
      <c r="E159" s="105" t="s">
        <v>533</v>
      </c>
      <c r="F159" s="105" t="s">
        <v>577</v>
      </c>
      <c r="G159" s="105" t="s">
        <v>658</v>
      </c>
      <c r="H159" s="105" t="s">
        <v>627</v>
      </c>
      <c r="I159" s="105">
        <v>250</v>
      </c>
      <c r="J159" s="106" t="s">
        <v>660</v>
      </c>
      <c r="K159" s="106" t="s">
        <v>786</v>
      </c>
      <c r="L159" s="113"/>
    </row>
    <row r="160" spans="1:12" s="54" customFormat="1">
      <c r="A160" s="105" t="s">
        <v>801</v>
      </c>
      <c r="B160" s="105">
        <v>10</v>
      </c>
      <c r="C160" s="105" t="s">
        <v>496</v>
      </c>
      <c r="D160" s="105" t="s">
        <v>625</v>
      </c>
      <c r="E160" s="105" t="s">
        <v>533</v>
      </c>
      <c r="F160" s="105" t="s">
        <v>577</v>
      </c>
      <c r="G160" s="105" t="s">
        <v>658</v>
      </c>
      <c r="H160" s="105" t="s">
        <v>627</v>
      </c>
      <c r="I160" s="105">
        <v>250</v>
      </c>
      <c r="J160" s="106" t="s">
        <v>660</v>
      </c>
      <c r="K160" s="106" t="s">
        <v>786</v>
      </c>
      <c r="L160" s="113"/>
    </row>
    <row r="161" spans="1:12" s="54" customFormat="1">
      <c r="A161" s="105" t="s">
        <v>802</v>
      </c>
      <c r="B161" s="105">
        <v>16</v>
      </c>
      <c r="C161" s="105" t="s">
        <v>608</v>
      </c>
      <c r="D161" s="105" t="s">
        <v>625</v>
      </c>
      <c r="E161" s="105" t="s">
        <v>533</v>
      </c>
      <c r="F161" s="105" t="s">
        <v>577</v>
      </c>
      <c r="G161" s="105" t="s">
        <v>658</v>
      </c>
      <c r="H161" s="105" t="s">
        <v>627</v>
      </c>
      <c r="I161" s="105">
        <v>250</v>
      </c>
      <c r="J161" s="106" t="s">
        <v>660</v>
      </c>
      <c r="K161" s="106" t="s">
        <v>786</v>
      </c>
      <c r="L161" s="113"/>
    </row>
    <row r="162" spans="1:12" s="54" customFormat="1">
      <c r="A162" s="105" t="s">
        <v>803</v>
      </c>
      <c r="B162" s="105">
        <v>25</v>
      </c>
      <c r="C162" s="105" t="s">
        <v>611</v>
      </c>
      <c r="D162" s="105" t="s">
        <v>625</v>
      </c>
      <c r="E162" s="105" t="s">
        <v>533</v>
      </c>
      <c r="F162" s="105" t="s">
        <v>577</v>
      </c>
      <c r="G162" s="105" t="s">
        <v>658</v>
      </c>
      <c r="H162" s="105" t="s">
        <v>627</v>
      </c>
      <c r="I162" s="105">
        <v>250</v>
      </c>
      <c r="J162" s="106" t="s">
        <v>660</v>
      </c>
      <c r="K162" s="106" t="s">
        <v>786</v>
      </c>
      <c r="L162" s="113"/>
    </row>
    <row r="163" spans="1:12" s="54" customFormat="1">
      <c r="A163" s="105" t="s">
        <v>804</v>
      </c>
      <c r="B163" s="105">
        <v>40</v>
      </c>
      <c r="C163" s="105" t="s">
        <v>795</v>
      </c>
      <c r="D163" s="105" t="s">
        <v>625</v>
      </c>
      <c r="E163" s="105" t="s">
        <v>533</v>
      </c>
      <c r="F163" s="105" t="s">
        <v>577</v>
      </c>
      <c r="G163" s="105" t="s">
        <v>658</v>
      </c>
      <c r="H163" s="105" t="s">
        <v>627</v>
      </c>
      <c r="I163" s="105">
        <v>250</v>
      </c>
      <c r="J163" s="106" t="s">
        <v>660</v>
      </c>
      <c r="K163" s="106" t="s">
        <v>786</v>
      </c>
      <c r="L163" s="113"/>
    </row>
    <row r="164" spans="1:12" s="54" customFormat="1">
      <c r="A164" s="105" t="s">
        <v>805</v>
      </c>
      <c r="B164" s="105">
        <v>1</v>
      </c>
      <c r="C164" s="105">
        <v>0.5</v>
      </c>
      <c r="D164" s="105" t="s">
        <v>806</v>
      </c>
      <c r="E164" s="105" t="s">
        <v>533</v>
      </c>
      <c r="F164" s="105" t="s">
        <v>577</v>
      </c>
      <c r="G164" s="105" t="s">
        <v>491</v>
      </c>
      <c r="H164" s="105" t="s">
        <v>627</v>
      </c>
      <c r="I164" s="105">
        <v>250</v>
      </c>
      <c r="J164" s="106" t="s">
        <v>660</v>
      </c>
      <c r="K164" s="106" t="s">
        <v>786</v>
      </c>
      <c r="L164" s="113"/>
    </row>
    <row r="165" spans="1:12" s="54" customFormat="1">
      <c r="A165" s="105" t="s">
        <v>807</v>
      </c>
      <c r="B165" s="105">
        <v>1.6</v>
      </c>
      <c r="C165" s="105">
        <v>0.5</v>
      </c>
      <c r="D165" s="105" t="s">
        <v>806</v>
      </c>
      <c r="E165" s="105" t="s">
        <v>533</v>
      </c>
      <c r="F165" s="105" t="s">
        <v>577</v>
      </c>
      <c r="G165" s="105" t="s">
        <v>491</v>
      </c>
      <c r="H165" s="105" t="s">
        <v>627</v>
      </c>
      <c r="I165" s="105">
        <v>250</v>
      </c>
      <c r="J165" s="106" t="s">
        <v>660</v>
      </c>
      <c r="K165" s="106" t="s">
        <v>786</v>
      </c>
      <c r="L165" s="113"/>
    </row>
    <row r="166" spans="1:12" s="54" customFormat="1">
      <c r="A166" s="105" t="s">
        <v>808</v>
      </c>
      <c r="B166" s="105">
        <v>2.5</v>
      </c>
      <c r="C166" s="105">
        <v>0.5</v>
      </c>
      <c r="D166" s="105" t="s">
        <v>806</v>
      </c>
      <c r="E166" s="105" t="s">
        <v>533</v>
      </c>
      <c r="F166" s="105" t="s">
        <v>577</v>
      </c>
      <c r="G166" s="105" t="s">
        <v>491</v>
      </c>
      <c r="H166" s="105" t="s">
        <v>627</v>
      </c>
      <c r="I166" s="105">
        <v>250</v>
      </c>
      <c r="J166" s="106" t="s">
        <v>660</v>
      </c>
      <c r="K166" s="106" t="s">
        <v>786</v>
      </c>
      <c r="L166" s="113"/>
    </row>
    <row r="167" spans="1:12" s="54" customFormat="1">
      <c r="A167" s="105" t="s">
        <v>809</v>
      </c>
      <c r="B167" s="105">
        <v>4</v>
      </c>
      <c r="C167" s="105" t="s">
        <v>624</v>
      </c>
      <c r="D167" s="105" t="s">
        <v>806</v>
      </c>
      <c r="E167" s="105" t="s">
        <v>533</v>
      </c>
      <c r="F167" s="105" t="s">
        <v>577</v>
      </c>
      <c r="G167" s="105" t="s">
        <v>491</v>
      </c>
      <c r="H167" s="105" t="s">
        <v>627</v>
      </c>
      <c r="I167" s="105">
        <v>250</v>
      </c>
      <c r="J167" s="106" t="s">
        <v>660</v>
      </c>
      <c r="K167" s="106" t="s">
        <v>786</v>
      </c>
      <c r="L167" s="113"/>
    </row>
    <row r="168" spans="1:12" s="54" customFormat="1">
      <c r="A168" s="105" t="s">
        <v>810</v>
      </c>
      <c r="B168" s="105">
        <v>6.3</v>
      </c>
      <c r="C168" s="105" t="s">
        <v>635</v>
      </c>
      <c r="D168" s="105" t="s">
        <v>806</v>
      </c>
      <c r="E168" s="105" t="s">
        <v>533</v>
      </c>
      <c r="F168" s="105" t="s">
        <v>577</v>
      </c>
      <c r="G168" s="105" t="s">
        <v>491</v>
      </c>
      <c r="H168" s="105" t="s">
        <v>627</v>
      </c>
      <c r="I168" s="105">
        <v>250</v>
      </c>
      <c r="J168" s="106" t="s">
        <v>660</v>
      </c>
      <c r="K168" s="106" t="s">
        <v>786</v>
      </c>
      <c r="L168" s="113"/>
    </row>
    <row r="169" spans="1:12" s="54" customFormat="1">
      <c r="A169" s="105" t="s">
        <v>811</v>
      </c>
      <c r="B169" s="105">
        <v>10</v>
      </c>
      <c r="C169" s="105" t="s">
        <v>496</v>
      </c>
      <c r="D169" s="105" t="s">
        <v>806</v>
      </c>
      <c r="E169" s="105" t="s">
        <v>533</v>
      </c>
      <c r="F169" s="105" t="s">
        <v>577</v>
      </c>
      <c r="G169" s="105" t="s">
        <v>491</v>
      </c>
      <c r="H169" s="105" t="s">
        <v>627</v>
      </c>
      <c r="I169" s="105">
        <v>250</v>
      </c>
      <c r="J169" s="106" t="s">
        <v>660</v>
      </c>
      <c r="K169" s="106" t="s">
        <v>786</v>
      </c>
      <c r="L169" s="113"/>
    </row>
    <row r="170" spans="1:12" s="54" customFormat="1">
      <c r="A170" s="105" t="s">
        <v>812</v>
      </c>
      <c r="B170" s="105">
        <v>16</v>
      </c>
      <c r="C170" s="105" t="s">
        <v>608</v>
      </c>
      <c r="D170" s="105" t="s">
        <v>806</v>
      </c>
      <c r="E170" s="105" t="s">
        <v>533</v>
      </c>
      <c r="F170" s="105" t="s">
        <v>577</v>
      </c>
      <c r="G170" s="105" t="s">
        <v>491</v>
      </c>
      <c r="H170" s="105" t="s">
        <v>627</v>
      </c>
      <c r="I170" s="105">
        <v>250</v>
      </c>
      <c r="J170" s="106" t="s">
        <v>660</v>
      </c>
      <c r="K170" s="106" t="s">
        <v>786</v>
      </c>
      <c r="L170" s="113"/>
    </row>
    <row r="171" spans="1:12" s="54" customFormat="1">
      <c r="A171" s="105" t="s">
        <v>813</v>
      </c>
      <c r="B171" s="105">
        <v>25</v>
      </c>
      <c r="C171" s="105" t="s">
        <v>611</v>
      </c>
      <c r="D171" s="105" t="s">
        <v>806</v>
      </c>
      <c r="E171" s="105" t="s">
        <v>533</v>
      </c>
      <c r="F171" s="105" t="s">
        <v>577</v>
      </c>
      <c r="G171" s="105" t="s">
        <v>491</v>
      </c>
      <c r="H171" s="105" t="s">
        <v>627</v>
      </c>
      <c r="I171" s="105">
        <v>250</v>
      </c>
      <c r="J171" s="106" t="s">
        <v>660</v>
      </c>
      <c r="K171" s="106" t="s">
        <v>786</v>
      </c>
      <c r="L171" s="113"/>
    </row>
    <row r="172" spans="1:12" s="54" customFormat="1">
      <c r="A172" s="105" t="s">
        <v>814</v>
      </c>
      <c r="B172" s="105">
        <v>40</v>
      </c>
      <c r="C172" s="105" t="s">
        <v>795</v>
      </c>
      <c r="D172" s="105" t="s">
        <v>806</v>
      </c>
      <c r="E172" s="105" t="s">
        <v>533</v>
      </c>
      <c r="F172" s="105" t="s">
        <v>577</v>
      </c>
      <c r="G172" s="105" t="s">
        <v>491</v>
      </c>
      <c r="H172" s="105" t="s">
        <v>627</v>
      </c>
      <c r="I172" s="105">
        <v>250</v>
      </c>
      <c r="J172" s="106" t="s">
        <v>660</v>
      </c>
      <c r="K172" s="106" t="s">
        <v>786</v>
      </c>
      <c r="L172" s="113"/>
    </row>
    <row r="173" spans="1:12" s="54" customFormat="1">
      <c r="A173" s="105" t="s">
        <v>815</v>
      </c>
      <c r="B173" s="105">
        <v>1</v>
      </c>
      <c r="C173" s="105">
        <v>0.5</v>
      </c>
      <c r="D173" s="105" t="s">
        <v>806</v>
      </c>
      <c r="E173" s="105" t="s">
        <v>533</v>
      </c>
      <c r="F173" s="105" t="s">
        <v>577</v>
      </c>
      <c r="G173" s="105" t="s">
        <v>658</v>
      </c>
      <c r="H173" s="105" t="s">
        <v>627</v>
      </c>
      <c r="I173" s="105">
        <v>250</v>
      </c>
      <c r="J173" s="106" t="s">
        <v>660</v>
      </c>
      <c r="K173" s="106" t="s">
        <v>786</v>
      </c>
      <c r="L173" s="113"/>
    </row>
    <row r="174" spans="1:12" s="54" customFormat="1">
      <c r="A174" s="105" t="s">
        <v>816</v>
      </c>
      <c r="B174" s="105">
        <v>1.6</v>
      </c>
      <c r="C174" s="105">
        <v>0.5</v>
      </c>
      <c r="D174" s="105" t="s">
        <v>806</v>
      </c>
      <c r="E174" s="105" t="s">
        <v>533</v>
      </c>
      <c r="F174" s="105" t="s">
        <v>577</v>
      </c>
      <c r="G174" s="105" t="s">
        <v>658</v>
      </c>
      <c r="H174" s="105" t="s">
        <v>627</v>
      </c>
      <c r="I174" s="105">
        <v>250</v>
      </c>
      <c r="J174" s="106" t="s">
        <v>660</v>
      </c>
      <c r="K174" s="106" t="s">
        <v>786</v>
      </c>
      <c r="L174" s="113"/>
    </row>
    <row r="175" spans="1:12" s="54" customFormat="1">
      <c r="A175" s="105" t="s">
        <v>817</v>
      </c>
      <c r="B175" s="105">
        <v>2.5</v>
      </c>
      <c r="C175" s="105">
        <v>0.5</v>
      </c>
      <c r="D175" s="105" t="s">
        <v>806</v>
      </c>
      <c r="E175" s="105" t="s">
        <v>533</v>
      </c>
      <c r="F175" s="105" t="s">
        <v>577</v>
      </c>
      <c r="G175" s="105" t="s">
        <v>658</v>
      </c>
      <c r="H175" s="105" t="s">
        <v>627</v>
      </c>
      <c r="I175" s="105">
        <v>250</v>
      </c>
      <c r="J175" s="106" t="s">
        <v>660</v>
      </c>
      <c r="K175" s="106" t="s">
        <v>786</v>
      </c>
      <c r="L175" s="113"/>
    </row>
    <row r="176" spans="1:12" s="54" customFormat="1">
      <c r="A176" s="105" t="s">
        <v>818</v>
      </c>
      <c r="B176" s="105">
        <v>4</v>
      </c>
      <c r="C176" s="105" t="s">
        <v>624</v>
      </c>
      <c r="D176" s="105" t="s">
        <v>806</v>
      </c>
      <c r="E176" s="105" t="s">
        <v>533</v>
      </c>
      <c r="F176" s="105" t="s">
        <v>577</v>
      </c>
      <c r="G176" s="105" t="s">
        <v>658</v>
      </c>
      <c r="H176" s="105" t="s">
        <v>627</v>
      </c>
      <c r="I176" s="105">
        <v>250</v>
      </c>
      <c r="J176" s="106" t="s">
        <v>660</v>
      </c>
      <c r="K176" s="106" t="s">
        <v>786</v>
      </c>
      <c r="L176" s="113"/>
    </row>
    <row r="177" spans="1:12" s="54" customFormat="1">
      <c r="A177" s="105" t="s">
        <v>819</v>
      </c>
      <c r="B177" s="105">
        <v>6.3</v>
      </c>
      <c r="C177" s="105" t="s">
        <v>635</v>
      </c>
      <c r="D177" s="105" t="s">
        <v>806</v>
      </c>
      <c r="E177" s="105" t="s">
        <v>533</v>
      </c>
      <c r="F177" s="105" t="s">
        <v>577</v>
      </c>
      <c r="G177" s="105" t="s">
        <v>658</v>
      </c>
      <c r="H177" s="105" t="s">
        <v>627</v>
      </c>
      <c r="I177" s="105">
        <v>250</v>
      </c>
      <c r="J177" s="106" t="s">
        <v>660</v>
      </c>
      <c r="K177" s="106" t="s">
        <v>786</v>
      </c>
      <c r="L177" s="113"/>
    </row>
    <row r="178" spans="1:12" s="54" customFormat="1">
      <c r="A178" s="105" t="s">
        <v>820</v>
      </c>
      <c r="B178" s="105">
        <v>10</v>
      </c>
      <c r="C178" s="105" t="s">
        <v>496</v>
      </c>
      <c r="D178" s="105" t="s">
        <v>806</v>
      </c>
      <c r="E178" s="105" t="s">
        <v>533</v>
      </c>
      <c r="F178" s="105" t="s">
        <v>577</v>
      </c>
      <c r="G178" s="105" t="s">
        <v>658</v>
      </c>
      <c r="H178" s="105" t="s">
        <v>627</v>
      </c>
      <c r="I178" s="105">
        <v>250</v>
      </c>
      <c r="J178" s="106" t="s">
        <v>660</v>
      </c>
      <c r="K178" s="106" t="s">
        <v>786</v>
      </c>
      <c r="L178" s="113"/>
    </row>
    <row r="179" spans="1:12" s="54" customFormat="1">
      <c r="A179" s="105" t="s">
        <v>821</v>
      </c>
      <c r="B179" s="105">
        <v>16</v>
      </c>
      <c r="C179" s="105" t="s">
        <v>608</v>
      </c>
      <c r="D179" s="105" t="s">
        <v>806</v>
      </c>
      <c r="E179" s="105" t="s">
        <v>533</v>
      </c>
      <c r="F179" s="105" t="s">
        <v>577</v>
      </c>
      <c r="G179" s="105" t="s">
        <v>658</v>
      </c>
      <c r="H179" s="105" t="s">
        <v>627</v>
      </c>
      <c r="I179" s="105">
        <v>250</v>
      </c>
      <c r="J179" s="106" t="s">
        <v>660</v>
      </c>
      <c r="K179" s="106" t="s">
        <v>786</v>
      </c>
      <c r="L179" s="113"/>
    </row>
    <row r="180" spans="1:12" s="54" customFormat="1">
      <c r="A180" s="105" t="s">
        <v>822</v>
      </c>
      <c r="B180" s="105">
        <v>25</v>
      </c>
      <c r="C180" s="105" t="s">
        <v>611</v>
      </c>
      <c r="D180" s="105" t="s">
        <v>806</v>
      </c>
      <c r="E180" s="105" t="s">
        <v>533</v>
      </c>
      <c r="F180" s="105" t="s">
        <v>577</v>
      </c>
      <c r="G180" s="105" t="s">
        <v>658</v>
      </c>
      <c r="H180" s="105" t="s">
        <v>627</v>
      </c>
      <c r="I180" s="105">
        <v>250</v>
      </c>
      <c r="J180" s="106" t="s">
        <v>660</v>
      </c>
      <c r="K180" s="106" t="s">
        <v>786</v>
      </c>
      <c r="L180" s="113"/>
    </row>
    <row r="181" spans="1:12" s="54" customFormat="1">
      <c r="A181" s="105" t="s">
        <v>823</v>
      </c>
      <c r="B181" s="105">
        <v>40</v>
      </c>
      <c r="C181" s="105" t="s">
        <v>795</v>
      </c>
      <c r="D181" s="105" t="s">
        <v>806</v>
      </c>
      <c r="E181" s="105" t="s">
        <v>533</v>
      </c>
      <c r="F181" s="105" t="s">
        <v>577</v>
      </c>
      <c r="G181" s="105" t="s">
        <v>658</v>
      </c>
      <c r="H181" s="105" t="s">
        <v>627</v>
      </c>
      <c r="I181" s="105">
        <v>250</v>
      </c>
      <c r="J181" s="106" t="s">
        <v>660</v>
      </c>
      <c r="K181" s="106" t="s">
        <v>786</v>
      </c>
      <c r="L181" s="113"/>
    </row>
    <row r="182" spans="1:12" s="54" customFormat="1">
      <c r="A182" s="105" t="s">
        <v>824</v>
      </c>
      <c r="B182" s="105">
        <v>1</v>
      </c>
      <c r="C182" s="105">
        <v>0.5</v>
      </c>
      <c r="D182" s="105" t="s">
        <v>625</v>
      </c>
      <c r="E182" s="105" t="s">
        <v>533</v>
      </c>
      <c r="F182" s="105" t="s">
        <v>577</v>
      </c>
      <c r="G182" s="105" t="s">
        <v>491</v>
      </c>
      <c r="H182" s="105" t="s">
        <v>825</v>
      </c>
      <c r="I182" s="105">
        <v>250</v>
      </c>
      <c r="J182" s="106" t="s">
        <v>660</v>
      </c>
      <c r="K182" s="106" t="s">
        <v>786</v>
      </c>
      <c r="L182" s="113"/>
    </row>
    <row r="183" spans="1:12" s="54" customFormat="1">
      <c r="A183" s="105" t="s">
        <v>826</v>
      </c>
      <c r="B183" s="105">
        <v>1.6</v>
      </c>
      <c r="C183" s="105">
        <v>0.5</v>
      </c>
      <c r="D183" s="105" t="s">
        <v>625</v>
      </c>
      <c r="E183" s="105" t="s">
        <v>533</v>
      </c>
      <c r="F183" s="105" t="s">
        <v>577</v>
      </c>
      <c r="G183" s="105" t="s">
        <v>491</v>
      </c>
      <c r="H183" s="105" t="s">
        <v>825</v>
      </c>
      <c r="I183" s="105">
        <v>250</v>
      </c>
      <c r="J183" s="106" t="s">
        <v>660</v>
      </c>
      <c r="K183" s="106" t="s">
        <v>786</v>
      </c>
      <c r="L183" s="113"/>
    </row>
    <row r="184" spans="1:12" s="54" customFormat="1">
      <c r="A184" s="105" t="s">
        <v>827</v>
      </c>
      <c r="B184" s="105">
        <v>2.5</v>
      </c>
      <c r="C184" s="105">
        <v>0.5</v>
      </c>
      <c r="D184" s="105" t="s">
        <v>625</v>
      </c>
      <c r="E184" s="105" t="s">
        <v>533</v>
      </c>
      <c r="F184" s="105" t="s">
        <v>577</v>
      </c>
      <c r="G184" s="105" t="s">
        <v>491</v>
      </c>
      <c r="H184" s="105" t="s">
        <v>825</v>
      </c>
      <c r="I184" s="105">
        <v>250</v>
      </c>
      <c r="J184" s="106" t="s">
        <v>660</v>
      </c>
      <c r="K184" s="106" t="s">
        <v>786</v>
      </c>
      <c r="L184" s="113"/>
    </row>
    <row r="185" spans="1:12" s="54" customFormat="1">
      <c r="A185" s="105" t="s">
        <v>828</v>
      </c>
      <c r="B185" s="105">
        <v>4</v>
      </c>
      <c r="C185" s="105" t="s">
        <v>624</v>
      </c>
      <c r="D185" s="105" t="s">
        <v>625</v>
      </c>
      <c r="E185" s="105" t="s">
        <v>533</v>
      </c>
      <c r="F185" s="105" t="s">
        <v>577</v>
      </c>
      <c r="G185" s="105" t="s">
        <v>491</v>
      </c>
      <c r="H185" s="105" t="s">
        <v>825</v>
      </c>
      <c r="I185" s="105">
        <v>250</v>
      </c>
      <c r="J185" s="106" t="s">
        <v>660</v>
      </c>
      <c r="K185" s="106" t="s">
        <v>786</v>
      </c>
      <c r="L185" s="113"/>
    </row>
    <row r="186" spans="1:12" s="54" customFormat="1">
      <c r="A186" s="105" t="s">
        <v>829</v>
      </c>
      <c r="B186" s="105">
        <v>6.3</v>
      </c>
      <c r="C186" s="105" t="s">
        <v>635</v>
      </c>
      <c r="D186" s="105" t="s">
        <v>625</v>
      </c>
      <c r="E186" s="105" t="s">
        <v>533</v>
      </c>
      <c r="F186" s="105" t="s">
        <v>577</v>
      </c>
      <c r="G186" s="105" t="s">
        <v>491</v>
      </c>
      <c r="H186" s="105" t="s">
        <v>825</v>
      </c>
      <c r="I186" s="105">
        <v>250</v>
      </c>
      <c r="J186" s="106" t="s">
        <v>660</v>
      </c>
      <c r="K186" s="106" t="s">
        <v>786</v>
      </c>
      <c r="L186" s="113"/>
    </row>
    <row r="187" spans="1:12" s="54" customFormat="1">
      <c r="A187" s="105" t="s">
        <v>830</v>
      </c>
      <c r="B187" s="105">
        <v>10</v>
      </c>
      <c r="C187" s="105" t="s">
        <v>496</v>
      </c>
      <c r="D187" s="105" t="s">
        <v>625</v>
      </c>
      <c r="E187" s="105" t="s">
        <v>533</v>
      </c>
      <c r="F187" s="105" t="s">
        <v>577</v>
      </c>
      <c r="G187" s="105" t="s">
        <v>491</v>
      </c>
      <c r="H187" s="105" t="s">
        <v>825</v>
      </c>
      <c r="I187" s="105">
        <v>250</v>
      </c>
      <c r="J187" s="106" t="s">
        <v>660</v>
      </c>
      <c r="K187" s="106" t="s">
        <v>786</v>
      </c>
      <c r="L187" s="113"/>
    </row>
    <row r="188" spans="1:12" s="54" customFormat="1">
      <c r="A188" s="105" t="s">
        <v>831</v>
      </c>
      <c r="B188" s="105">
        <v>16</v>
      </c>
      <c r="C188" s="105" t="s">
        <v>608</v>
      </c>
      <c r="D188" s="105" t="s">
        <v>625</v>
      </c>
      <c r="E188" s="105" t="s">
        <v>533</v>
      </c>
      <c r="F188" s="105" t="s">
        <v>577</v>
      </c>
      <c r="G188" s="105" t="s">
        <v>491</v>
      </c>
      <c r="H188" s="105" t="s">
        <v>825</v>
      </c>
      <c r="I188" s="105">
        <v>250</v>
      </c>
      <c r="J188" s="106" t="s">
        <v>660</v>
      </c>
      <c r="K188" s="106" t="s">
        <v>786</v>
      </c>
      <c r="L188" s="113"/>
    </row>
    <row r="189" spans="1:12" s="54" customFormat="1">
      <c r="A189" s="105" t="s">
        <v>832</v>
      </c>
      <c r="B189" s="105">
        <v>25</v>
      </c>
      <c r="C189" s="105" t="s">
        <v>611</v>
      </c>
      <c r="D189" s="105" t="s">
        <v>625</v>
      </c>
      <c r="E189" s="105" t="s">
        <v>533</v>
      </c>
      <c r="F189" s="105" t="s">
        <v>577</v>
      </c>
      <c r="G189" s="105" t="s">
        <v>491</v>
      </c>
      <c r="H189" s="105" t="s">
        <v>825</v>
      </c>
      <c r="I189" s="105">
        <v>250</v>
      </c>
      <c r="J189" s="106" t="s">
        <v>660</v>
      </c>
      <c r="K189" s="106" t="s">
        <v>786</v>
      </c>
      <c r="L189" s="113"/>
    </row>
    <row r="190" spans="1:12" s="54" customFormat="1">
      <c r="A190" s="105" t="s">
        <v>833</v>
      </c>
      <c r="B190" s="105">
        <v>40</v>
      </c>
      <c r="C190" s="105" t="s">
        <v>795</v>
      </c>
      <c r="D190" s="105" t="s">
        <v>625</v>
      </c>
      <c r="E190" s="105" t="s">
        <v>533</v>
      </c>
      <c r="F190" s="105" t="s">
        <v>577</v>
      </c>
      <c r="G190" s="105" t="s">
        <v>491</v>
      </c>
      <c r="H190" s="105" t="s">
        <v>825</v>
      </c>
      <c r="I190" s="105">
        <v>250</v>
      </c>
      <c r="J190" s="106" t="s">
        <v>660</v>
      </c>
      <c r="K190" s="106" t="s">
        <v>786</v>
      </c>
      <c r="L190" s="113"/>
    </row>
    <row r="191" spans="1:12" s="54" customFormat="1">
      <c r="A191" s="105" t="s">
        <v>834</v>
      </c>
      <c r="B191" s="105">
        <v>1</v>
      </c>
      <c r="C191" s="105">
        <v>0.5</v>
      </c>
      <c r="D191" s="105" t="s">
        <v>625</v>
      </c>
      <c r="E191" s="105" t="s">
        <v>533</v>
      </c>
      <c r="F191" s="105" t="s">
        <v>577</v>
      </c>
      <c r="G191" s="105" t="s">
        <v>658</v>
      </c>
      <c r="H191" s="105" t="s">
        <v>825</v>
      </c>
      <c r="I191" s="105">
        <v>250</v>
      </c>
      <c r="J191" s="106" t="s">
        <v>660</v>
      </c>
      <c r="K191" s="106" t="s">
        <v>786</v>
      </c>
      <c r="L191" s="113"/>
    </row>
    <row r="192" spans="1:12" s="54" customFormat="1">
      <c r="A192" s="105" t="s">
        <v>835</v>
      </c>
      <c r="B192" s="105">
        <v>1.6</v>
      </c>
      <c r="C192" s="105">
        <v>0.5</v>
      </c>
      <c r="D192" s="105" t="s">
        <v>625</v>
      </c>
      <c r="E192" s="105" t="s">
        <v>533</v>
      </c>
      <c r="F192" s="105" t="s">
        <v>577</v>
      </c>
      <c r="G192" s="105" t="s">
        <v>658</v>
      </c>
      <c r="H192" s="105" t="s">
        <v>825</v>
      </c>
      <c r="I192" s="105">
        <v>250</v>
      </c>
      <c r="J192" s="106" t="s">
        <v>660</v>
      </c>
      <c r="K192" s="106" t="s">
        <v>786</v>
      </c>
      <c r="L192" s="113"/>
    </row>
    <row r="193" spans="1:12" s="54" customFormat="1">
      <c r="A193" s="105" t="s">
        <v>836</v>
      </c>
      <c r="B193" s="105">
        <v>2.5</v>
      </c>
      <c r="C193" s="105">
        <v>0.5</v>
      </c>
      <c r="D193" s="105" t="s">
        <v>625</v>
      </c>
      <c r="E193" s="105" t="s">
        <v>533</v>
      </c>
      <c r="F193" s="105" t="s">
        <v>577</v>
      </c>
      <c r="G193" s="105" t="s">
        <v>658</v>
      </c>
      <c r="H193" s="105" t="s">
        <v>825</v>
      </c>
      <c r="I193" s="105">
        <v>250</v>
      </c>
      <c r="J193" s="106" t="s">
        <v>660</v>
      </c>
      <c r="K193" s="106" t="s">
        <v>786</v>
      </c>
      <c r="L193" s="113"/>
    </row>
    <row r="194" spans="1:12" s="54" customFormat="1">
      <c r="A194" s="105" t="s">
        <v>837</v>
      </c>
      <c r="B194" s="105">
        <v>4</v>
      </c>
      <c r="C194" s="105" t="s">
        <v>624</v>
      </c>
      <c r="D194" s="105" t="s">
        <v>625</v>
      </c>
      <c r="E194" s="105" t="s">
        <v>533</v>
      </c>
      <c r="F194" s="105" t="s">
        <v>577</v>
      </c>
      <c r="G194" s="105" t="s">
        <v>658</v>
      </c>
      <c r="H194" s="105" t="s">
        <v>825</v>
      </c>
      <c r="I194" s="105">
        <v>250</v>
      </c>
      <c r="J194" s="106" t="s">
        <v>660</v>
      </c>
      <c r="K194" s="106" t="s">
        <v>786</v>
      </c>
      <c r="L194" s="113"/>
    </row>
    <row r="195" spans="1:12" s="54" customFormat="1">
      <c r="A195" s="105" t="s">
        <v>838</v>
      </c>
      <c r="B195" s="105">
        <v>6.3</v>
      </c>
      <c r="C195" s="105" t="s">
        <v>635</v>
      </c>
      <c r="D195" s="105" t="s">
        <v>625</v>
      </c>
      <c r="E195" s="105" t="s">
        <v>533</v>
      </c>
      <c r="F195" s="105" t="s">
        <v>577</v>
      </c>
      <c r="G195" s="105" t="s">
        <v>658</v>
      </c>
      <c r="H195" s="105" t="s">
        <v>825</v>
      </c>
      <c r="I195" s="105">
        <v>250</v>
      </c>
      <c r="J195" s="106" t="s">
        <v>660</v>
      </c>
      <c r="K195" s="106" t="s">
        <v>786</v>
      </c>
      <c r="L195" s="113"/>
    </row>
    <row r="196" spans="1:12" s="54" customFormat="1">
      <c r="A196" s="105" t="s">
        <v>839</v>
      </c>
      <c r="B196" s="105">
        <v>10</v>
      </c>
      <c r="C196" s="105" t="s">
        <v>496</v>
      </c>
      <c r="D196" s="105" t="s">
        <v>625</v>
      </c>
      <c r="E196" s="105" t="s">
        <v>533</v>
      </c>
      <c r="F196" s="105" t="s">
        <v>577</v>
      </c>
      <c r="G196" s="105" t="s">
        <v>658</v>
      </c>
      <c r="H196" s="105" t="s">
        <v>825</v>
      </c>
      <c r="I196" s="105">
        <v>250</v>
      </c>
      <c r="J196" s="106" t="s">
        <v>660</v>
      </c>
      <c r="K196" s="106" t="s">
        <v>786</v>
      </c>
      <c r="L196" s="113"/>
    </row>
    <row r="197" spans="1:12" s="54" customFormat="1">
      <c r="A197" s="105" t="s">
        <v>840</v>
      </c>
      <c r="B197" s="105">
        <v>16</v>
      </c>
      <c r="C197" s="105" t="s">
        <v>608</v>
      </c>
      <c r="D197" s="105" t="s">
        <v>625</v>
      </c>
      <c r="E197" s="105" t="s">
        <v>533</v>
      </c>
      <c r="F197" s="105" t="s">
        <v>577</v>
      </c>
      <c r="G197" s="105" t="s">
        <v>658</v>
      </c>
      <c r="H197" s="105" t="s">
        <v>825</v>
      </c>
      <c r="I197" s="105">
        <v>250</v>
      </c>
      <c r="J197" s="106" t="s">
        <v>660</v>
      </c>
      <c r="K197" s="106" t="s">
        <v>786</v>
      </c>
      <c r="L197" s="113"/>
    </row>
    <row r="198" spans="1:12" s="54" customFormat="1">
      <c r="A198" s="105" t="s">
        <v>841</v>
      </c>
      <c r="B198" s="105">
        <v>25</v>
      </c>
      <c r="C198" s="105" t="s">
        <v>611</v>
      </c>
      <c r="D198" s="105" t="s">
        <v>625</v>
      </c>
      <c r="E198" s="105" t="s">
        <v>533</v>
      </c>
      <c r="F198" s="105" t="s">
        <v>577</v>
      </c>
      <c r="G198" s="105" t="s">
        <v>658</v>
      </c>
      <c r="H198" s="105" t="s">
        <v>825</v>
      </c>
      <c r="I198" s="105">
        <v>250</v>
      </c>
      <c r="J198" s="106" t="s">
        <v>660</v>
      </c>
      <c r="K198" s="106" t="s">
        <v>786</v>
      </c>
      <c r="L198" s="113"/>
    </row>
    <row r="199" spans="1:12" s="54" customFormat="1">
      <c r="A199" s="105" t="s">
        <v>842</v>
      </c>
      <c r="B199" s="105">
        <v>40</v>
      </c>
      <c r="C199" s="105" t="s">
        <v>795</v>
      </c>
      <c r="D199" s="105" t="s">
        <v>625</v>
      </c>
      <c r="E199" s="105" t="s">
        <v>533</v>
      </c>
      <c r="F199" s="105" t="s">
        <v>577</v>
      </c>
      <c r="G199" s="105" t="s">
        <v>658</v>
      </c>
      <c r="H199" s="105" t="s">
        <v>825</v>
      </c>
      <c r="I199" s="105">
        <v>250</v>
      </c>
      <c r="J199" s="106" t="s">
        <v>660</v>
      </c>
      <c r="K199" s="106" t="s">
        <v>786</v>
      </c>
      <c r="L199" s="113"/>
    </row>
    <row r="200" spans="1:12" s="54" customFormat="1">
      <c r="A200" s="105" t="s">
        <v>843</v>
      </c>
      <c r="B200" s="105">
        <v>1</v>
      </c>
      <c r="C200" s="105">
        <v>0.5</v>
      </c>
      <c r="D200" s="105" t="s">
        <v>625</v>
      </c>
      <c r="E200" s="105" t="s">
        <v>533</v>
      </c>
      <c r="F200" s="105" t="s">
        <v>579</v>
      </c>
      <c r="G200" s="105" t="s">
        <v>707</v>
      </c>
      <c r="H200" s="105" t="s">
        <v>844</v>
      </c>
      <c r="I200" s="105">
        <v>250</v>
      </c>
      <c r="J200" s="106" t="s">
        <v>660</v>
      </c>
      <c r="K200" s="106" t="s">
        <v>786</v>
      </c>
      <c r="L200" s="113"/>
    </row>
    <row r="201" spans="1:12" s="54" customFormat="1">
      <c r="A201" s="105" t="s">
        <v>845</v>
      </c>
      <c r="B201" s="105">
        <v>1.6</v>
      </c>
      <c r="C201" s="105">
        <v>0.5</v>
      </c>
      <c r="D201" s="105" t="s">
        <v>625</v>
      </c>
      <c r="E201" s="105" t="s">
        <v>533</v>
      </c>
      <c r="F201" s="105" t="s">
        <v>579</v>
      </c>
      <c r="G201" s="105" t="s">
        <v>707</v>
      </c>
      <c r="H201" s="105" t="s">
        <v>844</v>
      </c>
      <c r="I201" s="105">
        <v>250</v>
      </c>
      <c r="J201" s="106" t="s">
        <v>660</v>
      </c>
      <c r="K201" s="106" t="s">
        <v>786</v>
      </c>
      <c r="L201" s="113"/>
    </row>
    <row r="202" spans="1:12" s="54" customFormat="1">
      <c r="A202" s="105" t="s">
        <v>846</v>
      </c>
      <c r="B202" s="105">
        <v>2.5</v>
      </c>
      <c r="C202" s="105">
        <v>0.5</v>
      </c>
      <c r="D202" s="105" t="s">
        <v>625</v>
      </c>
      <c r="E202" s="105" t="s">
        <v>533</v>
      </c>
      <c r="F202" s="105" t="s">
        <v>579</v>
      </c>
      <c r="G202" s="105" t="s">
        <v>707</v>
      </c>
      <c r="H202" s="105" t="s">
        <v>844</v>
      </c>
      <c r="I202" s="105">
        <v>250</v>
      </c>
      <c r="J202" s="106" t="s">
        <v>660</v>
      </c>
      <c r="K202" s="106" t="s">
        <v>786</v>
      </c>
      <c r="L202" s="113"/>
    </row>
    <row r="203" spans="1:12" s="54" customFormat="1">
      <c r="A203" s="105" t="s">
        <v>847</v>
      </c>
      <c r="B203" s="105">
        <v>4</v>
      </c>
      <c r="C203" s="105" t="s">
        <v>624</v>
      </c>
      <c r="D203" s="105" t="s">
        <v>625</v>
      </c>
      <c r="E203" s="105" t="s">
        <v>533</v>
      </c>
      <c r="F203" s="105" t="s">
        <v>579</v>
      </c>
      <c r="G203" s="105" t="s">
        <v>707</v>
      </c>
      <c r="H203" s="105" t="s">
        <v>844</v>
      </c>
      <c r="I203" s="105">
        <v>250</v>
      </c>
      <c r="J203" s="106" t="s">
        <v>660</v>
      </c>
      <c r="K203" s="106" t="s">
        <v>786</v>
      </c>
      <c r="L203" s="113"/>
    </row>
    <row r="204" spans="1:12" s="54" customFormat="1">
      <c r="A204" s="105" t="s">
        <v>848</v>
      </c>
      <c r="B204" s="105">
        <v>6.3</v>
      </c>
      <c r="C204" s="105" t="s">
        <v>635</v>
      </c>
      <c r="D204" s="105" t="s">
        <v>625</v>
      </c>
      <c r="E204" s="105" t="s">
        <v>533</v>
      </c>
      <c r="F204" s="105" t="s">
        <v>579</v>
      </c>
      <c r="G204" s="105" t="s">
        <v>707</v>
      </c>
      <c r="H204" s="105" t="s">
        <v>844</v>
      </c>
      <c r="I204" s="105">
        <v>250</v>
      </c>
      <c r="J204" s="106" t="s">
        <v>660</v>
      </c>
      <c r="K204" s="106" t="s">
        <v>786</v>
      </c>
      <c r="L204" s="113"/>
    </row>
    <row r="205" spans="1:12" s="54" customFormat="1">
      <c r="A205" s="105" t="s">
        <v>849</v>
      </c>
      <c r="B205" s="105">
        <v>10</v>
      </c>
      <c r="C205" s="105" t="s">
        <v>496</v>
      </c>
      <c r="D205" s="105" t="s">
        <v>625</v>
      </c>
      <c r="E205" s="105" t="s">
        <v>533</v>
      </c>
      <c r="F205" s="105" t="s">
        <v>579</v>
      </c>
      <c r="G205" s="105" t="s">
        <v>707</v>
      </c>
      <c r="H205" s="105" t="s">
        <v>844</v>
      </c>
      <c r="I205" s="105">
        <v>250</v>
      </c>
      <c r="J205" s="106" t="s">
        <v>660</v>
      </c>
      <c r="K205" s="106" t="s">
        <v>786</v>
      </c>
      <c r="L205" s="113"/>
    </row>
    <row r="206" spans="1:12" s="54" customFormat="1">
      <c r="A206" s="105" t="s">
        <v>850</v>
      </c>
      <c r="B206" s="105">
        <v>16</v>
      </c>
      <c r="C206" s="105" t="s">
        <v>608</v>
      </c>
      <c r="D206" s="105" t="s">
        <v>625</v>
      </c>
      <c r="E206" s="105" t="s">
        <v>533</v>
      </c>
      <c r="F206" s="105" t="s">
        <v>579</v>
      </c>
      <c r="G206" s="105" t="s">
        <v>707</v>
      </c>
      <c r="H206" s="105" t="s">
        <v>844</v>
      </c>
      <c r="I206" s="105">
        <v>250</v>
      </c>
      <c r="J206" s="106" t="s">
        <v>660</v>
      </c>
      <c r="K206" s="106" t="s">
        <v>786</v>
      </c>
      <c r="L206" s="113"/>
    </row>
    <row r="207" spans="1:12" s="54" customFormat="1">
      <c r="A207" s="105" t="s">
        <v>851</v>
      </c>
      <c r="B207" s="105">
        <v>25</v>
      </c>
      <c r="C207" s="105" t="s">
        <v>611</v>
      </c>
      <c r="D207" s="105" t="s">
        <v>625</v>
      </c>
      <c r="E207" s="105" t="s">
        <v>533</v>
      </c>
      <c r="F207" s="105" t="s">
        <v>579</v>
      </c>
      <c r="G207" s="105" t="s">
        <v>707</v>
      </c>
      <c r="H207" s="105" t="s">
        <v>844</v>
      </c>
      <c r="I207" s="105">
        <v>250</v>
      </c>
      <c r="J207" s="106" t="s">
        <v>660</v>
      </c>
      <c r="K207" s="106" t="s">
        <v>786</v>
      </c>
      <c r="L207" s="113"/>
    </row>
    <row r="208" spans="1:12" s="54" customFormat="1">
      <c r="A208" s="105" t="s">
        <v>852</v>
      </c>
      <c r="B208" s="105">
        <v>40</v>
      </c>
      <c r="C208" s="105" t="s">
        <v>795</v>
      </c>
      <c r="D208" s="105" t="s">
        <v>625</v>
      </c>
      <c r="E208" s="105" t="s">
        <v>533</v>
      </c>
      <c r="F208" s="105" t="s">
        <v>579</v>
      </c>
      <c r="G208" s="105" t="s">
        <v>707</v>
      </c>
      <c r="H208" s="105" t="s">
        <v>844</v>
      </c>
      <c r="I208" s="105">
        <v>250</v>
      </c>
      <c r="J208" s="106" t="s">
        <v>660</v>
      </c>
      <c r="K208" s="106" t="s">
        <v>786</v>
      </c>
      <c r="L208" s="113"/>
    </row>
    <row r="209" spans="1:12" s="54" customFormat="1">
      <c r="A209" s="105" t="s">
        <v>853</v>
      </c>
      <c r="B209" s="105">
        <v>1</v>
      </c>
      <c r="C209" s="105">
        <v>0.5</v>
      </c>
      <c r="D209" s="105" t="s">
        <v>625</v>
      </c>
      <c r="E209" s="105" t="s">
        <v>626</v>
      </c>
      <c r="F209" s="105" t="s">
        <v>577</v>
      </c>
      <c r="G209" s="105" t="s">
        <v>491</v>
      </c>
      <c r="H209" s="105" t="s">
        <v>825</v>
      </c>
      <c r="I209" s="105">
        <v>250</v>
      </c>
      <c r="J209" s="106" t="s">
        <v>660</v>
      </c>
      <c r="K209" s="106" t="s">
        <v>786</v>
      </c>
      <c r="L209" s="113"/>
    </row>
    <row r="210" spans="1:12" s="54" customFormat="1">
      <c r="A210" s="105" t="s">
        <v>854</v>
      </c>
      <c r="B210" s="105">
        <v>1.6</v>
      </c>
      <c r="C210" s="105">
        <v>0.5</v>
      </c>
      <c r="D210" s="105" t="s">
        <v>625</v>
      </c>
      <c r="E210" s="105" t="s">
        <v>626</v>
      </c>
      <c r="F210" s="105" t="s">
        <v>577</v>
      </c>
      <c r="G210" s="105" t="s">
        <v>491</v>
      </c>
      <c r="H210" s="105" t="s">
        <v>825</v>
      </c>
      <c r="I210" s="105">
        <v>250</v>
      </c>
      <c r="J210" s="106" t="s">
        <v>660</v>
      </c>
      <c r="K210" s="106" t="s">
        <v>786</v>
      </c>
      <c r="L210" s="113"/>
    </row>
    <row r="211" spans="1:12" s="54" customFormat="1">
      <c r="A211" s="105" t="s">
        <v>855</v>
      </c>
      <c r="B211" s="105">
        <v>2.5</v>
      </c>
      <c r="C211" s="105">
        <v>0.5</v>
      </c>
      <c r="D211" s="105" t="s">
        <v>625</v>
      </c>
      <c r="E211" s="105" t="s">
        <v>626</v>
      </c>
      <c r="F211" s="105" t="s">
        <v>577</v>
      </c>
      <c r="G211" s="105" t="s">
        <v>491</v>
      </c>
      <c r="H211" s="105" t="s">
        <v>825</v>
      </c>
      <c r="I211" s="105">
        <v>250</v>
      </c>
      <c r="J211" s="106" t="s">
        <v>660</v>
      </c>
      <c r="K211" s="106" t="s">
        <v>786</v>
      </c>
      <c r="L211" s="113"/>
    </row>
    <row r="212" spans="1:12" s="54" customFormat="1">
      <c r="A212" s="105" t="s">
        <v>856</v>
      </c>
      <c r="B212" s="105">
        <v>4</v>
      </c>
      <c r="C212" s="105" t="s">
        <v>624</v>
      </c>
      <c r="D212" s="105" t="s">
        <v>625</v>
      </c>
      <c r="E212" s="105" t="s">
        <v>626</v>
      </c>
      <c r="F212" s="105" t="s">
        <v>577</v>
      </c>
      <c r="G212" s="105" t="s">
        <v>491</v>
      </c>
      <c r="H212" s="105" t="s">
        <v>825</v>
      </c>
      <c r="I212" s="105">
        <v>250</v>
      </c>
      <c r="J212" s="106" t="s">
        <v>660</v>
      </c>
      <c r="K212" s="106" t="s">
        <v>786</v>
      </c>
      <c r="L212" s="113"/>
    </row>
    <row r="213" spans="1:12" s="54" customFormat="1">
      <c r="A213" s="105" t="s">
        <v>857</v>
      </c>
      <c r="B213" s="105">
        <v>6.3</v>
      </c>
      <c r="C213" s="105" t="s">
        <v>635</v>
      </c>
      <c r="D213" s="105" t="s">
        <v>625</v>
      </c>
      <c r="E213" s="105" t="s">
        <v>626</v>
      </c>
      <c r="F213" s="105" t="s">
        <v>577</v>
      </c>
      <c r="G213" s="105" t="s">
        <v>491</v>
      </c>
      <c r="H213" s="105" t="s">
        <v>825</v>
      </c>
      <c r="I213" s="105">
        <v>250</v>
      </c>
      <c r="J213" s="106" t="s">
        <v>660</v>
      </c>
      <c r="K213" s="106" t="s">
        <v>786</v>
      </c>
      <c r="L213" s="113"/>
    </row>
    <row r="214" spans="1:12" s="54" customFormat="1">
      <c r="A214" s="105" t="s">
        <v>858</v>
      </c>
      <c r="B214" s="105">
        <v>10</v>
      </c>
      <c r="C214" s="105" t="s">
        <v>496</v>
      </c>
      <c r="D214" s="105" t="s">
        <v>625</v>
      </c>
      <c r="E214" s="105" t="s">
        <v>626</v>
      </c>
      <c r="F214" s="105" t="s">
        <v>577</v>
      </c>
      <c r="G214" s="105" t="s">
        <v>491</v>
      </c>
      <c r="H214" s="105" t="s">
        <v>825</v>
      </c>
      <c r="I214" s="105">
        <v>250</v>
      </c>
      <c r="J214" s="106" t="s">
        <v>660</v>
      </c>
      <c r="K214" s="106" t="s">
        <v>786</v>
      </c>
      <c r="L214" s="113"/>
    </row>
    <row r="215" spans="1:12" s="54" customFormat="1">
      <c r="A215" s="105" t="s">
        <v>859</v>
      </c>
      <c r="B215" s="105">
        <v>16</v>
      </c>
      <c r="C215" s="105" t="s">
        <v>608</v>
      </c>
      <c r="D215" s="105" t="s">
        <v>625</v>
      </c>
      <c r="E215" s="105" t="s">
        <v>626</v>
      </c>
      <c r="F215" s="105" t="s">
        <v>577</v>
      </c>
      <c r="G215" s="105" t="s">
        <v>491</v>
      </c>
      <c r="H215" s="105" t="s">
        <v>825</v>
      </c>
      <c r="I215" s="105">
        <v>250</v>
      </c>
      <c r="J215" s="106" t="s">
        <v>660</v>
      </c>
      <c r="K215" s="106" t="s">
        <v>786</v>
      </c>
      <c r="L215" s="113"/>
    </row>
    <row r="216" spans="1:12" s="54" customFormat="1">
      <c r="A216" s="105" t="s">
        <v>860</v>
      </c>
      <c r="B216" s="105">
        <v>25</v>
      </c>
      <c r="C216" s="105" t="s">
        <v>611</v>
      </c>
      <c r="D216" s="105" t="s">
        <v>625</v>
      </c>
      <c r="E216" s="105" t="s">
        <v>626</v>
      </c>
      <c r="F216" s="105" t="s">
        <v>577</v>
      </c>
      <c r="G216" s="105" t="s">
        <v>491</v>
      </c>
      <c r="H216" s="105" t="s">
        <v>825</v>
      </c>
      <c r="I216" s="105">
        <v>250</v>
      </c>
      <c r="J216" s="106" t="s">
        <v>660</v>
      </c>
      <c r="K216" s="106" t="s">
        <v>786</v>
      </c>
      <c r="L216" s="113"/>
    </row>
    <row r="217" spans="1:12" s="54" customFormat="1">
      <c r="A217" s="105" t="s">
        <v>861</v>
      </c>
      <c r="B217" s="105">
        <v>40</v>
      </c>
      <c r="C217" s="105" t="s">
        <v>795</v>
      </c>
      <c r="D217" s="105" t="s">
        <v>625</v>
      </c>
      <c r="E217" s="105" t="s">
        <v>626</v>
      </c>
      <c r="F217" s="105" t="s">
        <v>577</v>
      </c>
      <c r="G217" s="105" t="s">
        <v>491</v>
      </c>
      <c r="H217" s="105" t="s">
        <v>825</v>
      </c>
      <c r="I217" s="105">
        <v>250</v>
      </c>
      <c r="J217" s="106" t="s">
        <v>660</v>
      </c>
      <c r="K217" s="106" t="s">
        <v>786</v>
      </c>
      <c r="L217" s="113"/>
    </row>
    <row r="218" spans="1:12" s="54" customFormat="1">
      <c r="A218" s="105" t="s">
        <v>862</v>
      </c>
      <c r="B218" s="105">
        <v>1</v>
      </c>
      <c r="C218" s="105">
        <v>0.5</v>
      </c>
      <c r="D218" s="105" t="s">
        <v>625</v>
      </c>
      <c r="E218" s="105" t="s">
        <v>626</v>
      </c>
      <c r="F218" s="105" t="s">
        <v>577</v>
      </c>
      <c r="G218" s="105" t="s">
        <v>658</v>
      </c>
      <c r="H218" s="105" t="s">
        <v>825</v>
      </c>
      <c r="I218" s="105">
        <v>250</v>
      </c>
      <c r="J218" s="106" t="s">
        <v>660</v>
      </c>
      <c r="K218" s="106" t="s">
        <v>786</v>
      </c>
      <c r="L218" s="113"/>
    </row>
    <row r="219" spans="1:12" s="54" customFormat="1">
      <c r="A219" s="105" t="s">
        <v>863</v>
      </c>
      <c r="B219" s="105">
        <v>1.6</v>
      </c>
      <c r="C219" s="105">
        <v>0.5</v>
      </c>
      <c r="D219" s="105" t="s">
        <v>625</v>
      </c>
      <c r="E219" s="105" t="s">
        <v>626</v>
      </c>
      <c r="F219" s="105" t="s">
        <v>577</v>
      </c>
      <c r="G219" s="105" t="s">
        <v>658</v>
      </c>
      <c r="H219" s="105" t="s">
        <v>825</v>
      </c>
      <c r="I219" s="105">
        <v>250</v>
      </c>
      <c r="J219" s="106" t="s">
        <v>660</v>
      </c>
      <c r="K219" s="106" t="s">
        <v>786</v>
      </c>
      <c r="L219" s="113"/>
    </row>
    <row r="220" spans="1:12" s="54" customFormat="1">
      <c r="A220" s="105" t="s">
        <v>864</v>
      </c>
      <c r="B220" s="105">
        <v>2.5</v>
      </c>
      <c r="C220" s="105">
        <v>0.5</v>
      </c>
      <c r="D220" s="105" t="s">
        <v>625</v>
      </c>
      <c r="E220" s="105" t="s">
        <v>626</v>
      </c>
      <c r="F220" s="105" t="s">
        <v>577</v>
      </c>
      <c r="G220" s="105" t="s">
        <v>658</v>
      </c>
      <c r="H220" s="105" t="s">
        <v>825</v>
      </c>
      <c r="I220" s="105">
        <v>250</v>
      </c>
      <c r="J220" s="106" t="s">
        <v>660</v>
      </c>
      <c r="K220" s="106" t="s">
        <v>786</v>
      </c>
      <c r="L220" s="113"/>
    </row>
    <row r="221" spans="1:12" s="54" customFormat="1">
      <c r="A221" s="105" t="s">
        <v>865</v>
      </c>
      <c r="B221" s="105">
        <v>4</v>
      </c>
      <c r="C221" s="105" t="s">
        <v>624</v>
      </c>
      <c r="D221" s="105" t="s">
        <v>625</v>
      </c>
      <c r="E221" s="105" t="s">
        <v>626</v>
      </c>
      <c r="F221" s="105" t="s">
        <v>577</v>
      </c>
      <c r="G221" s="105" t="s">
        <v>658</v>
      </c>
      <c r="H221" s="105" t="s">
        <v>825</v>
      </c>
      <c r="I221" s="105">
        <v>250</v>
      </c>
      <c r="J221" s="106" t="s">
        <v>660</v>
      </c>
      <c r="K221" s="106" t="s">
        <v>786</v>
      </c>
      <c r="L221" s="113"/>
    </row>
    <row r="222" spans="1:12" s="54" customFormat="1">
      <c r="A222" s="105" t="s">
        <v>866</v>
      </c>
      <c r="B222" s="105">
        <v>6.3</v>
      </c>
      <c r="C222" s="105" t="s">
        <v>635</v>
      </c>
      <c r="D222" s="105" t="s">
        <v>625</v>
      </c>
      <c r="E222" s="105" t="s">
        <v>626</v>
      </c>
      <c r="F222" s="105" t="s">
        <v>577</v>
      </c>
      <c r="G222" s="105" t="s">
        <v>658</v>
      </c>
      <c r="H222" s="105" t="s">
        <v>825</v>
      </c>
      <c r="I222" s="105">
        <v>250</v>
      </c>
      <c r="J222" s="106" t="s">
        <v>660</v>
      </c>
      <c r="K222" s="106" t="s">
        <v>786</v>
      </c>
      <c r="L222" s="113"/>
    </row>
    <row r="223" spans="1:12" s="54" customFormat="1">
      <c r="A223" s="105" t="s">
        <v>867</v>
      </c>
      <c r="B223" s="105">
        <v>10</v>
      </c>
      <c r="C223" s="105" t="s">
        <v>496</v>
      </c>
      <c r="D223" s="105" t="s">
        <v>625</v>
      </c>
      <c r="E223" s="105" t="s">
        <v>626</v>
      </c>
      <c r="F223" s="105" t="s">
        <v>577</v>
      </c>
      <c r="G223" s="105" t="s">
        <v>658</v>
      </c>
      <c r="H223" s="105" t="s">
        <v>825</v>
      </c>
      <c r="I223" s="105">
        <v>250</v>
      </c>
      <c r="J223" s="106" t="s">
        <v>660</v>
      </c>
      <c r="K223" s="106" t="s">
        <v>786</v>
      </c>
      <c r="L223" s="113"/>
    </row>
    <row r="224" spans="1:12" s="54" customFormat="1">
      <c r="A224" s="105" t="s">
        <v>868</v>
      </c>
      <c r="B224" s="105">
        <v>16</v>
      </c>
      <c r="C224" s="105" t="s">
        <v>608</v>
      </c>
      <c r="D224" s="105" t="s">
        <v>625</v>
      </c>
      <c r="E224" s="105" t="s">
        <v>626</v>
      </c>
      <c r="F224" s="105" t="s">
        <v>577</v>
      </c>
      <c r="G224" s="105" t="s">
        <v>658</v>
      </c>
      <c r="H224" s="105" t="s">
        <v>825</v>
      </c>
      <c r="I224" s="105">
        <v>250</v>
      </c>
      <c r="J224" s="106" t="s">
        <v>660</v>
      </c>
      <c r="K224" s="106" t="s">
        <v>786</v>
      </c>
      <c r="L224" s="113"/>
    </row>
    <row r="225" spans="1:12" s="54" customFormat="1">
      <c r="A225" s="105" t="s">
        <v>869</v>
      </c>
      <c r="B225" s="105">
        <v>25</v>
      </c>
      <c r="C225" s="105" t="s">
        <v>611</v>
      </c>
      <c r="D225" s="105" t="s">
        <v>625</v>
      </c>
      <c r="E225" s="105" t="s">
        <v>626</v>
      </c>
      <c r="F225" s="105" t="s">
        <v>577</v>
      </c>
      <c r="G225" s="105" t="s">
        <v>658</v>
      </c>
      <c r="H225" s="105" t="s">
        <v>825</v>
      </c>
      <c r="I225" s="105">
        <v>250</v>
      </c>
      <c r="J225" s="106" t="s">
        <v>660</v>
      </c>
      <c r="K225" s="106" t="s">
        <v>786</v>
      </c>
      <c r="L225" s="113"/>
    </row>
    <row r="226" spans="1:12" s="54" customFormat="1">
      <c r="A226" s="105" t="s">
        <v>870</v>
      </c>
      <c r="B226" s="105">
        <v>40</v>
      </c>
      <c r="C226" s="105" t="s">
        <v>795</v>
      </c>
      <c r="D226" s="105" t="s">
        <v>625</v>
      </c>
      <c r="E226" s="105" t="s">
        <v>626</v>
      </c>
      <c r="F226" s="105" t="s">
        <v>577</v>
      </c>
      <c r="G226" s="105" t="s">
        <v>658</v>
      </c>
      <c r="H226" s="105" t="s">
        <v>825</v>
      </c>
      <c r="I226" s="105">
        <v>250</v>
      </c>
      <c r="J226" s="106" t="s">
        <v>660</v>
      </c>
      <c r="K226" s="106" t="s">
        <v>786</v>
      </c>
      <c r="L226" s="113"/>
    </row>
    <row r="227" spans="1:12" s="54" customFormat="1">
      <c r="A227" s="105" t="s">
        <v>871</v>
      </c>
      <c r="B227" s="105">
        <v>1</v>
      </c>
      <c r="C227" s="105">
        <v>0.5</v>
      </c>
      <c r="D227" s="105" t="s">
        <v>625</v>
      </c>
      <c r="E227" s="105" t="s">
        <v>626</v>
      </c>
      <c r="F227" s="105" t="s">
        <v>579</v>
      </c>
      <c r="G227" s="105" t="s">
        <v>707</v>
      </c>
      <c r="H227" s="105" t="s">
        <v>844</v>
      </c>
      <c r="I227" s="105">
        <v>250</v>
      </c>
      <c r="J227" s="106" t="s">
        <v>660</v>
      </c>
      <c r="K227" s="106" t="s">
        <v>786</v>
      </c>
      <c r="L227" s="113"/>
    </row>
    <row r="228" spans="1:12" s="54" customFormat="1">
      <c r="A228" s="105" t="s">
        <v>872</v>
      </c>
      <c r="B228" s="105">
        <v>1.6</v>
      </c>
      <c r="C228" s="105">
        <v>0.5</v>
      </c>
      <c r="D228" s="105" t="s">
        <v>625</v>
      </c>
      <c r="E228" s="105" t="s">
        <v>626</v>
      </c>
      <c r="F228" s="105" t="s">
        <v>579</v>
      </c>
      <c r="G228" s="105" t="s">
        <v>707</v>
      </c>
      <c r="H228" s="105" t="s">
        <v>844</v>
      </c>
      <c r="I228" s="105">
        <v>250</v>
      </c>
      <c r="J228" s="106" t="s">
        <v>660</v>
      </c>
      <c r="K228" s="106" t="s">
        <v>786</v>
      </c>
      <c r="L228" s="113"/>
    </row>
    <row r="229" spans="1:12" s="54" customFormat="1">
      <c r="A229" s="105" t="s">
        <v>873</v>
      </c>
      <c r="B229" s="105">
        <v>2.5</v>
      </c>
      <c r="C229" s="105">
        <v>0.5</v>
      </c>
      <c r="D229" s="105" t="s">
        <v>625</v>
      </c>
      <c r="E229" s="105" t="s">
        <v>626</v>
      </c>
      <c r="F229" s="105" t="s">
        <v>579</v>
      </c>
      <c r="G229" s="105" t="s">
        <v>707</v>
      </c>
      <c r="H229" s="105" t="s">
        <v>844</v>
      </c>
      <c r="I229" s="105">
        <v>250</v>
      </c>
      <c r="J229" s="106" t="s">
        <v>660</v>
      </c>
      <c r="K229" s="106" t="s">
        <v>786</v>
      </c>
      <c r="L229" s="113"/>
    </row>
    <row r="230" spans="1:12" s="54" customFormat="1">
      <c r="A230" s="105" t="s">
        <v>874</v>
      </c>
      <c r="B230" s="105">
        <v>4</v>
      </c>
      <c r="C230" s="105" t="s">
        <v>624</v>
      </c>
      <c r="D230" s="105" t="s">
        <v>625</v>
      </c>
      <c r="E230" s="105" t="s">
        <v>626</v>
      </c>
      <c r="F230" s="105" t="s">
        <v>579</v>
      </c>
      <c r="G230" s="105" t="s">
        <v>707</v>
      </c>
      <c r="H230" s="105" t="s">
        <v>844</v>
      </c>
      <c r="I230" s="105">
        <v>250</v>
      </c>
      <c r="J230" s="106" t="s">
        <v>660</v>
      </c>
      <c r="K230" s="106" t="s">
        <v>786</v>
      </c>
      <c r="L230" s="113"/>
    </row>
    <row r="231" spans="1:12" s="54" customFormat="1">
      <c r="A231" s="105" t="s">
        <v>875</v>
      </c>
      <c r="B231" s="105">
        <v>6.3</v>
      </c>
      <c r="C231" s="105" t="s">
        <v>635</v>
      </c>
      <c r="D231" s="105" t="s">
        <v>625</v>
      </c>
      <c r="E231" s="105" t="s">
        <v>626</v>
      </c>
      <c r="F231" s="105" t="s">
        <v>579</v>
      </c>
      <c r="G231" s="105" t="s">
        <v>707</v>
      </c>
      <c r="H231" s="105" t="s">
        <v>844</v>
      </c>
      <c r="I231" s="105">
        <v>250</v>
      </c>
      <c r="J231" s="106" t="s">
        <v>660</v>
      </c>
      <c r="K231" s="106" t="s">
        <v>786</v>
      </c>
      <c r="L231" s="113"/>
    </row>
    <row r="232" spans="1:12" s="54" customFormat="1">
      <c r="A232" s="105" t="s">
        <v>876</v>
      </c>
      <c r="B232" s="105">
        <v>10</v>
      </c>
      <c r="C232" s="105" t="s">
        <v>496</v>
      </c>
      <c r="D232" s="105" t="s">
        <v>625</v>
      </c>
      <c r="E232" s="105" t="s">
        <v>626</v>
      </c>
      <c r="F232" s="105" t="s">
        <v>579</v>
      </c>
      <c r="G232" s="105" t="s">
        <v>707</v>
      </c>
      <c r="H232" s="105" t="s">
        <v>844</v>
      </c>
      <c r="I232" s="105">
        <v>250</v>
      </c>
      <c r="J232" s="106" t="s">
        <v>660</v>
      </c>
      <c r="K232" s="106" t="s">
        <v>786</v>
      </c>
      <c r="L232" s="113"/>
    </row>
    <row r="233" spans="1:12" s="54" customFormat="1">
      <c r="A233" s="105" t="s">
        <v>877</v>
      </c>
      <c r="B233" s="105">
        <v>16</v>
      </c>
      <c r="C233" s="105" t="s">
        <v>608</v>
      </c>
      <c r="D233" s="105" t="s">
        <v>625</v>
      </c>
      <c r="E233" s="105" t="s">
        <v>626</v>
      </c>
      <c r="F233" s="105" t="s">
        <v>579</v>
      </c>
      <c r="G233" s="105" t="s">
        <v>707</v>
      </c>
      <c r="H233" s="105" t="s">
        <v>844</v>
      </c>
      <c r="I233" s="105">
        <v>250</v>
      </c>
      <c r="J233" s="106" t="s">
        <v>660</v>
      </c>
      <c r="K233" s="106" t="s">
        <v>786</v>
      </c>
      <c r="L233" s="113"/>
    </row>
    <row r="234" spans="1:12" s="54" customFormat="1">
      <c r="A234" s="105" t="s">
        <v>878</v>
      </c>
      <c r="B234" s="105">
        <v>25</v>
      </c>
      <c r="C234" s="105" t="s">
        <v>611</v>
      </c>
      <c r="D234" s="105" t="s">
        <v>625</v>
      </c>
      <c r="E234" s="105" t="s">
        <v>626</v>
      </c>
      <c r="F234" s="105" t="s">
        <v>579</v>
      </c>
      <c r="G234" s="105" t="s">
        <v>707</v>
      </c>
      <c r="H234" s="105" t="s">
        <v>844</v>
      </c>
      <c r="I234" s="105">
        <v>250</v>
      </c>
      <c r="J234" s="106" t="s">
        <v>660</v>
      </c>
      <c r="K234" s="106" t="s">
        <v>786</v>
      </c>
      <c r="L234" s="113"/>
    </row>
    <row r="235" spans="1:12" s="54" customFormat="1">
      <c r="A235" s="105" t="s">
        <v>879</v>
      </c>
      <c r="B235" s="105">
        <v>40</v>
      </c>
      <c r="C235" s="105" t="s">
        <v>795</v>
      </c>
      <c r="D235" s="105" t="s">
        <v>625</v>
      </c>
      <c r="E235" s="105" t="s">
        <v>626</v>
      </c>
      <c r="F235" s="105" t="s">
        <v>579</v>
      </c>
      <c r="G235" s="105" t="s">
        <v>707</v>
      </c>
      <c r="H235" s="105" t="s">
        <v>844</v>
      </c>
      <c r="I235" s="105">
        <v>250</v>
      </c>
      <c r="J235" s="106" t="s">
        <v>660</v>
      </c>
      <c r="K235" s="106" t="s">
        <v>786</v>
      </c>
      <c r="L235" s="113"/>
    </row>
    <row r="236" spans="1:12" s="54" customFormat="1">
      <c r="A236" s="105" t="s">
        <v>880</v>
      </c>
      <c r="B236" s="105">
        <v>63</v>
      </c>
      <c r="C236" s="105" t="s">
        <v>632</v>
      </c>
      <c r="D236" s="105" t="s">
        <v>625</v>
      </c>
      <c r="E236" s="105" t="s">
        <v>533</v>
      </c>
      <c r="F236" s="105" t="s">
        <v>577</v>
      </c>
      <c r="G236" s="105" t="s">
        <v>491</v>
      </c>
      <c r="H236" s="105" t="s">
        <v>881</v>
      </c>
      <c r="I236" s="105">
        <v>250</v>
      </c>
      <c r="J236" s="106" t="s">
        <v>660</v>
      </c>
      <c r="K236" s="106" t="s">
        <v>882</v>
      </c>
      <c r="L236" s="113"/>
    </row>
    <row r="237" spans="1:12" s="54" customFormat="1">
      <c r="A237" s="105" t="s">
        <v>883</v>
      </c>
      <c r="B237" s="105">
        <v>100</v>
      </c>
      <c r="C237" s="105" t="s">
        <v>884</v>
      </c>
      <c r="D237" s="105" t="s">
        <v>625</v>
      </c>
      <c r="E237" s="105" t="s">
        <v>533</v>
      </c>
      <c r="F237" s="105" t="s">
        <v>577</v>
      </c>
      <c r="G237" s="105" t="s">
        <v>491</v>
      </c>
      <c r="H237" s="105" t="s">
        <v>881</v>
      </c>
      <c r="I237" s="105">
        <v>250</v>
      </c>
      <c r="J237" s="106" t="s">
        <v>660</v>
      </c>
      <c r="K237" s="106" t="s">
        <v>882</v>
      </c>
      <c r="L237" s="113"/>
    </row>
    <row r="238" spans="1:12" s="54" customFormat="1">
      <c r="A238" s="105" t="s">
        <v>885</v>
      </c>
      <c r="B238" s="105">
        <v>160</v>
      </c>
      <c r="C238" s="105" t="s">
        <v>500</v>
      </c>
      <c r="D238" s="105" t="s">
        <v>625</v>
      </c>
      <c r="E238" s="105" t="s">
        <v>533</v>
      </c>
      <c r="F238" s="105" t="s">
        <v>577</v>
      </c>
      <c r="G238" s="105" t="s">
        <v>491</v>
      </c>
      <c r="H238" s="105" t="s">
        <v>881</v>
      </c>
      <c r="I238" s="105">
        <v>250</v>
      </c>
      <c r="J238" s="106" t="s">
        <v>660</v>
      </c>
      <c r="K238" s="106" t="s">
        <v>882</v>
      </c>
      <c r="L238" s="113"/>
    </row>
    <row r="239" spans="1:12" s="54" customFormat="1">
      <c r="A239" s="105" t="s">
        <v>886</v>
      </c>
      <c r="B239" s="105">
        <v>250</v>
      </c>
      <c r="C239" s="105" t="s">
        <v>502</v>
      </c>
      <c r="D239" s="105" t="s">
        <v>625</v>
      </c>
      <c r="E239" s="105" t="s">
        <v>533</v>
      </c>
      <c r="F239" s="105" t="s">
        <v>577</v>
      </c>
      <c r="G239" s="105" t="s">
        <v>491</v>
      </c>
      <c r="H239" s="105" t="s">
        <v>881</v>
      </c>
      <c r="I239" s="105">
        <v>250</v>
      </c>
      <c r="J239" s="106" t="s">
        <v>660</v>
      </c>
      <c r="K239" s="106" t="s">
        <v>882</v>
      </c>
      <c r="L239" s="113"/>
    </row>
    <row r="240" spans="1:12" s="54" customFormat="1">
      <c r="A240" s="105" t="s">
        <v>887</v>
      </c>
      <c r="B240" s="105">
        <v>400</v>
      </c>
      <c r="C240" s="105" t="s">
        <v>888</v>
      </c>
      <c r="D240" s="105" t="s">
        <v>625</v>
      </c>
      <c r="E240" s="105" t="s">
        <v>533</v>
      </c>
      <c r="F240" s="105" t="s">
        <v>577</v>
      </c>
      <c r="G240" s="105" t="s">
        <v>491</v>
      </c>
      <c r="H240" s="105" t="s">
        <v>881</v>
      </c>
      <c r="I240" s="105">
        <v>250</v>
      </c>
      <c r="J240" s="106" t="s">
        <v>660</v>
      </c>
      <c r="K240" s="106" t="s">
        <v>882</v>
      </c>
      <c r="L240" s="113"/>
    </row>
    <row r="241" spans="1:12" s="54" customFormat="1">
      <c r="A241" s="105" t="s">
        <v>889</v>
      </c>
      <c r="B241" s="105">
        <v>63</v>
      </c>
      <c r="C241" s="105" t="s">
        <v>632</v>
      </c>
      <c r="D241" s="105" t="s">
        <v>625</v>
      </c>
      <c r="E241" s="105" t="s">
        <v>533</v>
      </c>
      <c r="F241" s="105" t="s">
        <v>577</v>
      </c>
      <c r="G241" s="105" t="s">
        <v>658</v>
      </c>
      <c r="H241" s="105" t="s">
        <v>881</v>
      </c>
      <c r="I241" s="105">
        <v>250</v>
      </c>
      <c r="J241" s="106" t="s">
        <v>660</v>
      </c>
      <c r="K241" s="106" t="s">
        <v>882</v>
      </c>
      <c r="L241" s="113"/>
    </row>
    <row r="242" spans="1:12" s="54" customFormat="1">
      <c r="A242" s="105" t="s">
        <v>890</v>
      </c>
      <c r="B242" s="105">
        <v>100</v>
      </c>
      <c r="C242" s="105" t="s">
        <v>884</v>
      </c>
      <c r="D242" s="105" t="s">
        <v>625</v>
      </c>
      <c r="E242" s="105" t="s">
        <v>533</v>
      </c>
      <c r="F242" s="105" t="s">
        <v>577</v>
      </c>
      <c r="G242" s="105" t="s">
        <v>658</v>
      </c>
      <c r="H242" s="105" t="s">
        <v>881</v>
      </c>
      <c r="I242" s="105">
        <v>250</v>
      </c>
      <c r="J242" s="106" t="s">
        <v>660</v>
      </c>
      <c r="K242" s="106" t="s">
        <v>882</v>
      </c>
      <c r="L242" s="113"/>
    </row>
    <row r="243" spans="1:12" s="54" customFormat="1">
      <c r="A243" s="105" t="s">
        <v>891</v>
      </c>
      <c r="B243" s="105">
        <v>160</v>
      </c>
      <c r="C243" s="105" t="s">
        <v>500</v>
      </c>
      <c r="D243" s="105" t="s">
        <v>625</v>
      </c>
      <c r="E243" s="105" t="s">
        <v>533</v>
      </c>
      <c r="F243" s="105" t="s">
        <v>577</v>
      </c>
      <c r="G243" s="105" t="s">
        <v>658</v>
      </c>
      <c r="H243" s="105" t="s">
        <v>881</v>
      </c>
      <c r="I243" s="105">
        <v>250</v>
      </c>
      <c r="J243" s="106" t="s">
        <v>660</v>
      </c>
      <c r="K243" s="106" t="s">
        <v>882</v>
      </c>
      <c r="L243" s="113"/>
    </row>
    <row r="244" spans="1:12" s="54" customFormat="1">
      <c r="A244" s="105" t="s">
        <v>892</v>
      </c>
      <c r="B244" s="105">
        <v>250</v>
      </c>
      <c r="C244" s="105" t="s">
        <v>502</v>
      </c>
      <c r="D244" s="105" t="s">
        <v>625</v>
      </c>
      <c r="E244" s="105" t="s">
        <v>533</v>
      </c>
      <c r="F244" s="105" t="s">
        <v>577</v>
      </c>
      <c r="G244" s="105" t="s">
        <v>658</v>
      </c>
      <c r="H244" s="105" t="s">
        <v>881</v>
      </c>
      <c r="I244" s="105">
        <v>250</v>
      </c>
      <c r="J244" s="106" t="s">
        <v>660</v>
      </c>
      <c r="K244" s="106" t="s">
        <v>882</v>
      </c>
      <c r="L244" s="113"/>
    </row>
    <row r="245" spans="1:12" s="54" customFormat="1">
      <c r="A245" s="105" t="s">
        <v>893</v>
      </c>
      <c r="B245" s="105">
        <v>400</v>
      </c>
      <c r="C245" s="105" t="s">
        <v>888</v>
      </c>
      <c r="D245" s="105" t="s">
        <v>625</v>
      </c>
      <c r="E245" s="105" t="s">
        <v>533</v>
      </c>
      <c r="F245" s="105" t="s">
        <v>577</v>
      </c>
      <c r="G245" s="105" t="s">
        <v>658</v>
      </c>
      <c r="H245" s="105" t="s">
        <v>881</v>
      </c>
      <c r="I245" s="105">
        <v>250</v>
      </c>
      <c r="J245" s="106" t="s">
        <v>660</v>
      </c>
      <c r="K245" s="106" t="s">
        <v>882</v>
      </c>
      <c r="L245" s="113"/>
    </row>
    <row r="246" spans="1:12" s="54" customFormat="1">
      <c r="A246" s="105" t="s">
        <v>894</v>
      </c>
      <c r="B246" s="105">
        <v>63</v>
      </c>
      <c r="C246" s="105" t="s">
        <v>632</v>
      </c>
      <c r="D246" s="105" t="s">
        <v>625</v>
      </c>
      <c r="E246" s="105" t="s">
        <v>626</v>
      </c>
      <c r="F246" s="105" t="s">
        <v>577</v>
      </c>
      <c r="G246" s="105" t="s">
        <v>491</v>
      </c>
      <c r="H246" s="105" t="s">
        <v>881</v>
      </c>
      <c r="I246" s="105">
        <v>250</v>
      </c>
      <c r="J246" s="106" t="s">
        <v>660</v>
      </c>
      <c r="K246" s="106" t="s">
        <v>882</v>
      </c>
      <c r="L246" s="113"/>
    </row>
    <row r="247" spans="1:12" s="54" customFormat="1">
      <c r="A247" s="105" t="s">
        <v>895</v>
      </c>
      <c r="B247" s="105">
        <v>100</v>
      </c>
      <c r="C247" s="105" t="s">
        <v>884</v>
      </c>
      <c r="D247" s="105" t="s">
        <v>625</v>
      </c>
      <c r="E247" s="105" t="s">
        <v>626</v>
      </c>
      <c r="F247" s="105" t="s">
        <v>577</v>
      </c>
      <c r="G247" s="105" t="s">
        <v>491</v>
      </c>
      <c r="H247" s="105" t="s">
        <v>881</v>
      </c>
      <c r="I247" s="105">
        <v>250</v>
      </c>
      <c r="J247" s="106" t="s">
        <v>660</v>
      </c>
      <c r="K247" s="106" t="s">
        <v>882</v>
      </c>
      <c r="L247" s="113"/>
    </row>
    <row r="248" spans="1:12" s="54" customFormat="1">
      <c r="A248" s="105" t="s">
        <v>896</v>
      </c>
      <c r="B248" s="105">
        <v>160</v>
      </c>
      <c r="C248" s="105" t="s">
        <v>500</v>
      </c>
      <c r="D248" s="105" t="s">
        <v>625</v>
      </c>
      <c r="E248" s="105" t="s">
        <v>626</v>
      </c>
      <c r="F248" s="105" t="s">
        <v>577</v>
      </c>
      <c r="G248" s="105" t="s">
        <v>491</v>
      </c>
      <c r="H248" s="105" t="s">
        <v>881</v>
      </c>
      <c r="I248" s="105">
        <v>250</v>
      </c>
      <c r="J248" s="106" t="s">
        <v>660</v>
      </c>
      <c r="K248" s="106" t="s">
        <v>882</v>
      </c>
      <c r="L248" s="113"/>
    </row>
    <row r="249" spans="1:12" s="54" customFormat="1">
      <c r="A249" s="105" t="s">
        <v>897</v>
      </c>
      <c r="B249" s="105">
        <v>250</v>
      </c>
      <c r="C249" s="105" t="s">
        <v>502</v>
      </c>
      <c r="D249" s="105" t="s">
        <v>625</v>
      </c>
      <c r="E249" s="105" t="s">
        <v>626</v>
      </c>
      <c r="F249" s="105" t="s">
        <v>577</v>
      </c>
      <c r="G249" s="105" t="s">
        <v>491</v>
      </c>
      <c r="H249" s="105" t="s">
        <v>881</v>
      </c>
      <c r="I249" s="105">
        <v>250</v>
      </c>
      <c r="J249" s="106" t="s">
        <v>660</v>
      </c>
      <c r="K249" s="106" t="s">
        <v>882</v>
      </c>
      <c r="L249" s="113"/>
    </row>
    <row r="250" spans="1:12" s="54" customFormat="1">
      <c r="A250" s="105" t="s">
        <v>898</v>
      </c>
      <c r="B250" s="105">
        <v>400</v>
      </c>
      <c r="C250" s="105" t="s">
        <v>888</v>
      </c>
      <c r="D250" s="105" t="s">
        <v>625</v>
      </c>
      <c r="E250" s="105" t="s">
        <v>626</v>
      </c>
      <c r="F250" s="105" t="s">
        <v>577</v>
      </c>
      <c r="G250" s="105" t="s">
        <v>491</v>
      </c>
      <c r="H250" s="105" t="s">
        <v>881</v>
      </c>
      <c r="I250" s="105">
        <v>250</v>
      </c>
      <c r="J250" s="106" t="s">
        <v>660</v>
      </c>
      <c r="K250" s="106" t="s">
        <v>882</v>
      </c>
      <c r="L250" s="113"/>
    </row>
    <row r="251" spans="1:12" s="54" customFormat="1">
      <c r="A251" s="105" t="s">
        <v>899</v>
      </c>
      <c r="B251" s="105">
        <v>63</v>
      </c>
      <c r="C251" s="105" t="s">
        <v>632</v>
      </c>
      <c r="D251" s="105" t="s">
        <v>625</v>
      </c>
      <c r="E251" s="105" t="s">
        <v>626</v>
      </c>
      <c r="F251" s="105" t="s">
        <v>577</v>
      </c>
      <c r="G251" s="105" t="s">
        <v>658</v>
      </c>
      <c r="H251" s="105" t="s">
        <v>881</v>
      </c>
      <c r="I251" s="105">
        <v>250</v>
      </c>
      <c r="J251" s="106" t="s">
        <v>660</v>
      </c>
      <c r="K251" s="106" t="s">
        <v>882</v>
      </c>
      <c r="L251" s="113"/>
    </row>
    <row r="252" spans="1:12" s="54" customFormat="1">
      <c r="A252" s="105" t="s">
        <v>900</v>
      </c>
      <c r="B252" s="105">
        <v>100</v>
      </c>
      <c r="C252" s="105" t="s">
        <v>884</v>
      </c>
      <c r="D252" s="105" t="s">
        <v>625</v>
      </c>
      <c r="E252" s="105" t="s">
        <v>626</v>
      </c>
      <c r="F252" s="105" t="s">
        <v>577</v>
      </c>
      <c r="G252" s="105" t="s">
        <v>658</v>
      </c>
      <c r="H252" s="105" t="s">
        <v>881</v>
      </c>
      <c r="I252" s="105">
        <v>250</v>
      </c>
      <c r="J252" s="106" t="s">
        <v>660</v>
      </c>
      <c r="K252" s="106" t="s">
        <v>882</v>
      </c>
      <c r="L252" s="113"/>
    </row>
    <row r="253" spans="1:12" s="54" customFormat="1">
      <c r="A253" s="105" t="s">
        <v>901</v>
      </c>
      <c r="B253" s="105">
        <v>160</v>
      </c>
      <c r="C253" s="105" t="s">
        <v>500</v>
      </c>
      <c r="D253" s="105" t="s">
        <v>625</v>
      </c>
      <c r="E253" s="105" t="s">
        <v>626</v>
      </c>
      <c r="F253" s="105" t="s">
        <v>577</v>
      </c>
      <c r="G253" s="105" t="s">
        <v>658</v>
      </c>
      <c r="H253" s="105" t="s">
        <v>881</v>
      </c>
      <c r="I253" s="105">
        <v>250</v>
      </c>
      <c r="J253" s="106" t="s">
        <v>660</v>
      </c>
      <c r="K253" s="106" t="s">
        <v>882</v>
      </c>
      <c r="L253" s="113"/>
    </row>
    <row r="254" spans="1:12" s="54" customFormat="1">
      <c r="A254" s="105" t="s">
        <v>902</v>
      </c>
      <c r="B254" s="105">
        <v>250</v>
      </c>
      <c r="C254" s="105" t="s">
        <v>502</v>
      </c>
      <c r="D254" s="105" t="s">
        <v>625</v>
      </c>
      <c r="E254" s="105" t="s">
        <v>626</v>
      </c>
      <c r="F254" s="105" t="s">
        <v>577</v>
      </c>
      <c r="G254" s="105" t="s">
        <v>658</v>
      </c>
      <c r="H254" s="105" t="s">
        <v>881</v>
      </c>
      <c r="I254" s="105">
        <v>250</v>
      </c>
      <c r="J254" s="106" t="s">
        <v>660</v>
      </c>
      <c r="K254" s="106" t="s">
        <v>882</v>
      </c>
      <c r="L254" s="113"/>
    </row>
    <row r="255" spans="1:12" s="54" customFormat="1">
      <c r="A255" s="105" t="s">
        <v>903</v>
      </c>
      <c r="B255" s="105">
        <v>400</v>
      </c>
      <c r="C255" s="105" t="s">
        <v>888</v>
      </c>
      <c r="D255" s="105" t="s">
        <v>625</v>
      </c>
      <c r="E255" s="105" t="s">
        <v>626</v>
      </c>
      <c r="F255" s="105" t="s">
        <v>577</v>
      </c>
      <c r="G255" s="105" t="s">
        <v>658</v>
      </c>
      <c r="H255" s="105" t="s">
        <v>881</v>
      </c>
      <c r="I255" s="105">
        <v>250</v>
      </c>
      <c r="J255" s="106" t="s">
        <v>660</v>
      </c>
      <c r="K255" s="106" t="s">
        <v>882</v>
      </c>
      <c r="L255" s="113"/>
    </row>
    <row r="256" spans="1:12" s="54" customFormat="1">
      <c r="A256" s="105" t="s">
        <v>904</v>
      </c>
      <c r="B256" s="105">
        <v>63</v>
      </c>
      <c r="C256" s="105" t="s">
        <v>632</v>
      </c>
      <c r="D256" s="105" t="s">
        <v>625</v>
      </c>
      <c r="E256" s="105" t="s">
        <v>533</v>
      </c>
      <c r="F256" s="105" t="s">
        <v>577</v>
      </c>
      <c r="G256" s="105" t="s">
        <v>491</v>
      </c>
      <c r="H256" s="105" t="s">
        <v>881</v>
      </c>
      <c r="I256" s="105">
        <v>125</v>
      </c>
      <c r="J256" s="106" t="s">
        <v>660</v>
      </c>
      <c r="K256" s="106" t="s">
        <v>882</v>
      </c>
      <c r="L256" s="113"/>
    </row>
    <row r="257" spans="1:12" s="54" customFormat="1">
      <c r="A257" s="105" t="s">
        <v>905</v>
      </c>
      <c r="B257" s="105">
        <v>100</v>
      </c>
      <c r="C257" s="105" t="s">
        <v>884</v>
      </c>
      <c r="D257" s="105" t="s">
        <v>625</v>
      </c>
      <c r="E257" s="105" t="s">
        <v>533</v>
      </c>
      <c r="F257" s="105" t="s">
        <v>577</v>
      </c>
      <c r="G257" s="105" t="s">
        <v>491</v>
      </c>
      <c r="H257" s="105" t="s">
        <v>881</v>
      </c>
      <c r="I257" s="105">
        <v>125</v>
      </c>
      <c r="J257" s="106" t="s">
        <v>660</v>
      </c>
      <c r="K257" s="106" t="s">
        <v>882</v>
      </c>
      <c r="L257" s="113"/>
    </row>
    <row r="258" spans="1:12" s="54" customFormat="1">
      <c r="A258" s="105" t="s">
        <v>906</v>
      </c>
      <c r="B258" s="105">
        <v>160</v>
      </c>
      <c r="C258" s="105" t="s">
        <v>500</v>
      </c>
      <c r="D258" s="105" t="s">
        <v>625</v>
      </c>
      <c r="E258" s="105" t="s">
        <v>533</v>
      </c>
      <c r="F258" s="105" t="s">
        <v>577</v>
      </c>
      <c r="G258" s="105" t="s">
        <v>491</v>
      </c>
      <c r="H258" s="105" t="s">
        <v>881</v>
      </c>
      <c r="I258" s="105">
        <v>125</v>
      </c>
      <c r="J258" s="106" t="s">
        <v>660</v>
      </c>
      <c r="K258" s="106" t="s">
        <v>882</v>
      </c>
      <c r="L258" s="113"/>
    </row>
    <row r="259" spans="1:12" s="54" customFormat="1">
      <c r="A259" s="105" t="s">
        <v>907</v>
      </c>
      <c r="B259" s="105">
        <v>250</v>
      </c>
      <c r="C259" s="105" t="s">
        <v>502</v>
      </c>
      <c r="D259" s="105" t="s">
        <v>625</v>
      </c>
      <c r="E259" s="105" t="s">
        <v>533</v>
      </c>
      <c r="F259" s="105" t="s">
        <v>577</v>
      </c>
      <c r="G259" s="105" t="s">
        <v>491</v>
      </c>
      <c r="H259" s="105" t="s">
        <v>881</v>
      </c>
      <c r="I259" s="105">
        <v>125</v>
      </c>
      <c r="J259" s="106" t="s">
        <v>660</v>
      </c>
      <c r="K259" s="106" t="s">
        <v>882</v>
      </c>
      <c r="L259" s="113"/>
    </row>
    <row r="260" spans="1:12" s="54" customFormat="1">
      <c r="A260" s="105" t="s">
        <v>908</v>
      </c>
      <c r="B260" s="105">
        <v>400</v>
      </c>
      <c r="C260" s="105" t="s">
        <v>888</v>
      </c>
      <c r="D260" s="105" t="s">
        <v>625</v>
      </c>
      <c r="E260" s="105" t="s">
        <v>533</v>
      </c>
      <c r="F260" s="105" t="s">
        <v>577</v>
      </c>
      <c r="G260" s="105" t="s">
        <v>491</v>
      </c>
      <c r="H260" s="105" t="s">
        <v>881</v>
      </c>
      <c r="I260" s="105">
        <v>125</v>
      </c>
      <c r="J260" s="106" t="s">
        <v>660</v>
      </c>
      <c r="K260" s="106" t="s">
        <v>882</v>
      </c>
      <c r="L260" s="113"/>
    </row>
    <row r="261" spans="1:12" s="54" customFormat="1">
      <c r="A261" s="105" t="s">
        <v>909</v>
      </c>
      <c r="B261" s="105">
        <v>63</v>
      </c>
      <c r="C261" s="105" t="s">
        <v>632</v>
      </c>
      <c r="D261" s="105" t="s">
        <v>625</v>
      </c>
      <c r="E261" s="105" t="s">
        <v>533</v>
      </c>
      <c r="F261" s="105" t="s">
        <v>577</v>
      </c>
      <c r="G261" s="105" t="s">
        <v>658</v>
      </c>
      <c r="H261" s="105" t="s">
        <v>881</v>
      </c>
      <c r="I261" s="105">
        <v>125</v>
      </c>
      <c r="J261" s="106" t="s">
        <v>660</v>
      </c>
      <c r="K261" s="106" t="s">
        <v>882</v>
      </c>
      <c r="L261" s="113"/>
    </row>
    <row r="262" spans="1:12" s="54" customFormat="1">
      <c r="A262" s="105" t="s">
        <v>910</v>
      </c>
      <c r="B262" s="105">
        <v>100</v>
      </c>
      <c r="C262" s="105" t="s">
        <v>884</v>
      </c>
      <c r="D262" s="105" t="s">
        <v>625</v>
      </c>
      <c r="E262" s="105" t="s">
        <v>533</v>
      </c>
      <c r="F262" s="105" t="s">
        <v>577</v>
      </c>
      <c r="G262" s="105" t="s">
        <v>658</v>
      </c>
      <c r="H262" s="105" t="s">
        <v>881</v>
      </c>
      <c r="I262" s="105">
        <v>125</v>
      </c>
      <c r="J262" s="106" t="s">
        <v>660</v>
      </c>
      <c r="K262" s="106" t="s">
        <v>882</v>
      </c>
      <c r="L262" s="113"/>
    </row>
    <row r="263" spans="1:12" s="54" customFormat="1">
      <c r="A263" s="105" t="s">
        <v>911</v>
      </c>
      <c r="B263" s="105">
        <v>160</v>
      </c>
      <c r="C263" s="105" t="s">
        <v>500</v>
      </c>
      <c r="D263" s="105" t="s">
        <v>625</v>
      </c>
      <c r="E263" s="105" t="s">
        <v>533</v>
      </c>
      <c r="F263" s="105" t="s">
        <v>577</v>
      </c>
      <c r="G263" s="105" t="s">
        <v>658</v>
      </c>
      <c r="H263" s="105" t="s">
        <v>881</v>
      </c>
      <c r="I263" s="105">
        <v>125</v>
      </c>
      <c r="J263" s="106" t="s">
        <v>660</v>
      </c>
      <c r="K263" s="106" t="s">
        <v>882</v>
      </c>
      <c r="L263" s="113"/>
    </row>
    <row r="264" spans="1:12" s="54" customFormat="1">
      <c r="A264" s="105" t="s">
        <v>912</v>
      </c>
      <c r="B264" s="105">
        <v>250</v>
      </c>
      <c r="C264" s="105" t="s">
        <v>502</v>
      </c>
      <c r="D264" s="105" t="s">
        <v>625</v>
      </c>
      <c r="E264" s="105" t="s">
        <v>533</v>
      </c>
      <c r="F264" s="105" t="s">
        <v>577</v>
      </c>
      <c r="G264" s="105" t="s">
        <v>658</v>
      </c>
      <c r="H264" s="105" t="s">
        <v>881</v>
      </c>
      <c r="I264" s="105">
        <v>125</v>
      </c>
      <c r="J264" s="106" t="s">
        <v>660</v>
      </c>
      <c r="K264" s="106" t="s">
        <v>882</v>
      </c>
      <c r="L264" s="113"/>
    </row>
    <row r="265" spans="1:12" s="54" customFormat="1">
      <c r="A265" s="105" t="s">
        <v>913</v>
      </c>
      <c r="B265" s="105">
        <v>400</v>
      </c>
      <c r="C265" s="105" t="s">
        <v>888</v>
      </c>
      <c r="D265" s="105" t="s">
        <v>625</v>
      </c>
      <c r="E265" s="105" t="s">
        <v>533</v>
      </c>
      <c r="F265" s="105" t="s">
        <v>577</v>
      </c>
      <c r="G265" s="105" t="s">
        <v>658</v>
      </c>
      <c r="H265" s="105" t="s">
        <v>881</v>
      </c>
      <c r="I265" s="105">
        <v>125</v>
      </c>
      <c r="J265" s="106" t="s">
        <v>660</v>
      </c>
      <c r="K265" s="106" t="s">
        <v>882</v>
      </c>
      <c r="L265" s="113"/>
    </row>
    <row r="266" spans="1:12" s="54" customFormat="1">
      <c r="A266" s="105" t="s">
        <v>914</v>
      </c>
      <c r="B266" s="105">
        <v>63</v>
      </c>
      <c r="C266" s="105" t="s">
        <v>632</v>
      </c>
      <c r="D266" s="105" t="s">
        <v>625</v>
      </c>
      <c r="E266" s="105" t="s">
        <v>626</v>
      </c>
      <c r="F266" s="105" t="s">
        <v>577</v>
      </c>
      <c r="G266" s="105" t="s">
        <v>491</v>
      </c>
      <c r="H266" s="105" t="s">
        <v>881</v>
      </c>
      <c r="I266" s="105">
        <v>125</v>
      </c>
      <c r="J266" s="106" t="s">
        <v>660</v>
      </c>
      <c r="K266" s="106" t="s">
        <v>882</v>
      </c>
      <c r="L266" s="113"/>
    </row>
    <row r="267" spans="1:12" s="54" customFormat="1">
      <c r="A267" s="105" t="s">
        <v>915</v>
      </c>
      <c r="B267" s="105">
        <v>100</v>
      </c>
      <c r="C267" s="105" t="s">
        <v>884</v>
      </c>
      <c r="D267" s="105" t="s">
        <v>625</v>
      </c>
      <c r="E267" s="105" t="s">
        <v>626</v>
      </c>
      <c r="F267" s="105" t="s">
        <v>577</v>
      </c>
      <c r="G267" s="105" t="s">
        <v>491</v>
      </c>
      <c r="H267" s="105" t="s">
        <v>881</v>
      </c>
      <c r="I267" s="105">
        <v>125</v>
      </c>
      <c r="J267" s="106" t="s">
        <v>660</v>
      </c>
      <c r="K267" s="106" t="s">
        <v>882</v>
      </c>
      <c r="L267" s="113"/>
    </row>
    <row r="268" spans="1:12" s="54" customFormat="1">
      <c r="A268" s="105" t="s">
        <v>916</v>
      </c>
      <c r="B268" s="105">
        <v>160</v>
      </c>
      <c r="C268" s="105" t="s">
        <v>500</v>
      </c>
      <c r="D268" s="105" t="s">
        <v>625</v>
      </c>
      <c r="E268" s="105" t="s">
        <v>626</v>
      </c>
      <c r="F268" s="105" t="s">
        <v>577</v>
      </c>
      <c r="G268" s="105" t="s">
        <v>491</v>
      </c>
      <c r="H268" s="105" t="s">
        <v>881</v>
      </c>
      <c r="I268" s="105">
        <v>125</v>
      </c>
      <c r="J268" s="106" t="s">
        <v>660</v>
      </c>
      <c r="K268" s="106" t="s">
        <v>882</v>
      </c>
      <c r="L268" s="113"/>
    </row>
    <row r="269" spans="1:12" s="54" customFormat="1">
      <c r="A269" s="105" t="s">
        <v>917</v>
      </c>
      <c r="B269" s="105">
        <v>250</v>
      </c>
      <c r="C269" s="105" t="s">
        <v>502</v>
      </c>
      <c r="D269" s="105" t="s">
        <v>625</v>
      </c>
      <c r="E269" s="105" t="s">
        <v>626</v>
      </c>
      <c r="F269" s="105" t="s">
        <v>577</v>
      </c>
      <c r="G269" s="105" t="s">
        <v>491</v>
      </c>
      <c r="H269" s="105" t="s">
        <v>881</v>
      </c>
      <c r="I269" s="105">
        <v>125</v>
      </c>
      <c r="J269" s="106" t="s">
        <v>660</v>
      </c>
      <c r="K269" s="106" t="s">
        <v>882</v>
      </c>
      <c r="L269" s="113"/>
    </row>
    <row r="270" spans="1:12" s="54" customFormat="1">
      <c r="A270" s="105" t="s">
        <v>918</v>
      </c>
      <c r="B270" s="105">
        <v>400</v>
      </c>
      <c r="C270" s="105" t="s">
        <v>888</v>
      </c>
      <c r="D270" s="105" t="s">
        <v>625</v>
      </c>
      <c r="E270" s="105" t="s">
        <v>626</v>
      </c>
      <c r="F270" s="105" t="s">
        <v>577</v>
      </c>
      <c r="G270" s="105" t="s">
        <v>491</v>
      </c>
      <c r="H270" s="105" t="s">
        <v>881</v>
      </c>
      <c r="I270" s="105">
        <v>125</v>
      </c>
      <c r="J270" s="106" t="s">
        <v>660</v>
      </c>
      <c r="K270" s="106" t="s">
        <v>882</v>
      </c>
      <c r="L270" s="113"/>
    </row>
    <row r="271" spans="1:12" s="54" customFormat="1">
      <c r="A271" s="105" t="s">
        <v>919</v>
      </c>
      <c r="B271" s="105">
        <v>63</v>
      </c>
      <c r="C271" s="105" t="s">
        <v>632</v>
      </c>
      <c r="D271" s="105" t="s">
        <v>625</v>
      </c>
      <c r="E271" s="105" t="s">
        <v>626</v>
      </c>
      <c r="F271" s="105" t="s">
        <v>577</v>
      </c>
      <c r="G271" s="105" t="s">
        <v>658</v>
      </c>
      <c r="H271" s="105" t="s">
        <v>881</v>
      </c>
      <c r="I271" s="105">
        <v>125</v>
      </c>
      <c r="J271" s="106" t="s">
        <v>660</v>
      </c>
      <c r="K271" s="106" t="s">
        <v>882</v>
      </c>
      <c r="L271" s="113"/>
    </row>
    <row r="272" spans="1:12" s="54" customFormat="1">
      <c r="A272" s="105" t="s">
        <v>920</v>
      </c>
      <c r="B272" s="105">
        <v>100</v>
      </c>
      <c r="C272" s="105" t="s">
        <v>884</v>
      </c>
      <c r="D272" s="105" t="s">
        <v>625</v>
      </c>
      <c r="E272" s="105" t="s">
        <v>626</v>
      </c>
      <c r="F272" s="105" t="s">
        <v>577</v>
      </c>
      <c r="G272" s="105" t="s">
        <v>658</v>
      </c>
      <c r="H272" s="105" t="s">
        <v>881</v>
      </c>
      <c r="I272" s="105">
        <v>125</v>
      </c>
      <c r="J272" s="106" t="s">
        <v>660</v>
      </c>
      <c r="K272" s="106" t="s">
        <v>882</v>
      </c>
      <c r="L272" s="113"/>
    </row>
    <row r="273" spans="1:12" s="54" customFormat="1">
      <c r="A273" s="105" t="s">
        <v>921</v>
      </c>
      <c r="B273" s="105">
        <v>160</v>
      </c>
      <c r="C273" s="105" t="s">
        <v>500</v>
      </c>
      <c r="D273" s="105" t="s">
        <v>625</v>
      </c>
      <c r="E273" s="105" t="s">
        <v>626</v>
      </c>
      <c r="F273" s="105" t="s">
        <v>577</v>
      </c>
      <c r="G273" s="105" t="s">
        <v>658</v>
      </c>
      <c r="H273" s="105" t="s">
        <v>881</v>
      </c>
      <c r="I273" s="105">
        <v>125</v>
      </c>
      <c r="J273" s="106" t="s">
        <v>660</v>
      </c>
      <c r="K273" s="106" t="s">
        <v>882</v>
      </c>
      <c r="L273" s="113"/>
    </row>
    <row r="274" spans="1:12" s="54" customFormat="1">
      <c r="A274" s="105" t="s">
        <v>922</v>
      </c>
      <c r="B274" s="105">
        <v>250</v>
      </c>
      <c r="C274" s="105" t="s">
        <v>502</v>
      </c>
      <c r="D274" s="105" t="s">
        <v>625</v>
      </c>
      <c r="E274" s="105" t="s">
        <v>626</v>
      </c>
      <c r="F274" s="105" t="s">
        <v>577</v>
      </c>
      <c r="G274" s="105" t="s">
        <v>658</v>
      </c>
      <c r="H274" s="105" t="s">
        <v>881</v>
      </c>
      <c r="I274" s="105">
        <v>125</v>
      </c>
      <c r="J274" s="106" t="s">
        <v>660</v>
      </c>
      <c r="K274" s="106" t="s">
        <v>882</v>
      </c>
      <c r="L274" s="113"/>
    </row>
    <row r="275" spans="1:12" s="54" customFormat="1">
      <c r="A275" s="105" t="s">
        <v>923</v>
      </c>
      <c r="B275" s="105">
        <v>400</v>
      </c>
      <c r="C275" s="105" t="s">
        <v>888</v>
      </c>
      <c r="D275" s="105" t="s">
        <v>625</v>
      </c>
      <c r="E275" s="105" t="s">
        <v>626</v>
      </c>
      <c r="F275" s="105" t="s">
        <v>577</v>
      </c>
      <c r="G275" s="105" t="s">
        <v>658</v>
      </c>
      <c r="H275" s="105" t="s">
        <v>881</v>
      </c>
      <c r="I275" s="105">
        <v>125</v>
      </c>
      <c r="J275" s="106" t="s">
        <v>660</v>
      </c>
      <c r="K275" s="106" t="s">
        <v>882</v>
      </c>
      <c r="L275" s="113"/>
    </row>
    <row r="276" spans="1:12" s="54" customFormat="1">
      <c r="A276" s="105" t="s">
        <v>924</v>
      </c>
      <c r="B276" s="105">
        <v>63</v>
      </c>
      <c r="C276" s="105" t="s">
        <v>632</v>
      </c>
      <c r="D276" s="105" t="s">
        <v>806</v>
      </c>
      <c r="E276" s="105" t="s">
        <v>533</v>
      </c>
      <c r="F276" s="105" t="s">
        <v>577</v>
      </c>
      <c r="G276" s="105" t="s">
        <v>491</v>
      </c>
      <c r="H276" s="105" t="s">
        <v>627</v>
      </c>
      <c r="I276" s="105">
        <v>125</v>
      </c>
      <c r="J276" s="106" t="s">
        <v>660</v>
      </c>
      <c r="K276" s="106" t="s">
        <v>882</v>
      </c>
      <c r="L276" s="113"/>
    </row>
    <row r="277" spans="1:12" s="54" customFormat="1">
      <c r="A277" s="105" t="s">
        <v>925</v>
      </c>
      <c r="B277" s="105">
        <v>100</v>
      </c>
      <c r="C277" s="105" t="s">
        <v>884</v>
      </c>
      <c r="D277" s="105" t="s">
        <v>806</v>
      </c>
      <c r="E277" s="105" t="s">
        <v>533</v>
      </c>
      <c r="F277" s="105" t="s">
        <v>577</v>
      </c>
      <c r="G277" s="105" t="s">
        <v>491</v>
      </c>
      <c r="H277" s="105" t="s">
        <v>627</v>
      </c>
      <c r="I277" s="105">
        <v>125</v>
      </c>
      <c r="J277" s="106" t="s">
        <v>660</v>
      </c>
      <c r="K277" s="106" t="s">
        <v>882</v>
      </c>
      <c r="L277" s="113"/>
    </row>
    <row r="278" spans="1:12" s="54" customFormat="1">
      <c r="A278" s="105" t="s">
        <v>926</v>
      </c>
      <c r="B278" s="105">
        <v>160</v>
      </c>
      <c r="C278" s="105" t="s">
        <v>500</v>
      </c>
      <c r="D278" s="105" t="s">
        <v>806</v>
      </c>
      <c r="E278" s="105" t="s">
        <v>533</v>
      </c>
      <c r="F278" s="105" t="s">
        <v>577</v>
      </c>
      <c r="G278" s="105" t="s">
        <v>491</v>
      </c>
      <c r="H278" s="105" t="s">
        <v>627</v>
      </c>
      <c r="I278" s="105">
        <v>125</v>
      </c>
      <c r="J278" s="106" t="s">
        <v>660</v>
      </c>
      <c r="K278" s="106" t="s">
        <v>882</v>
      </c>
      <c r="L278" s="113"/>
    </row>
    <row r="279" spans="1:12" s="54" customFormat="1">
      <c r="A279" s="105" t="s">
        <v>927</v>
      </c>
      <c r="B279" s="105">
        <v>250</v>
      </c>
      <c r="C279" s="105" t="s">
        <v>502</v>
      </c>
      <c r="D279" s="105" t="s">
        <v>806</v>
      </c>
      <c r="E279" s="105" t="s">
        <v>533</v>
      </c>
      <c r="F279" s="105" t="s">
        <v>577</v>
      </c>
      <c r="G279" s="105" t="s">
        <v>491</v>
      </c>
      <c r="H279" s="105" t="s">
        <v>627</v>
      </c>
      <c r="I279" s="105">
        <v>125</v>
      </c>
      <c r="J279" s="106" t="s">
        <v>660</v>
      </c>
      <c r="K279" s="106" t="s">
        <v>882</v>
      </c>
      <c r="L279" s="113"/>
    </row>
    <row r="280" spans="1:12" s="54" customFormat="1">
      <c r="A280" s="105" t="s">
        <v>928</v>
      </c>
      <c r="B280" s="105">
        <v>400</v>
      </c>
      <c r="C280" s="105" t="s">
        <v>888</v>
      </c>
      <c r="D280" s="105" t="s">
        <v>806</v>
      </c>
      <c r="E280" s="105" t="s">
        <v>533</v>
      </c>
      <c r="F280" s="105" t="s">
        <v>577</v>
      </c>
      <c r="G280" s="105" t="s">
        <v>491</v>
      </c>
      <c r="H280" s="105" t="s">
        <v>627</v>
      </c>
      <c r="I280" s="105">
        <v>125</v>
      </c>
      <c r="J280" s="106" t="s">
        <v>660</v>
      </c>
      <c r="K280" s="106" t="s">
        <v>882</v>
      </c>
      <c r="L280" s="113"/>
    </row>
    <row r="281" spans="1:12" s="54" customFormat="1">
      <c r="A281" s="105" t="s">
        <v>929</v>
      </c>
      <c r="B281" s="105">
        <v>63</v>
      </c>
      <c r="C281" s="105" t="s">
        <v>632</v>
      </c>
      <c r="D281" s="105" t="s">
        <v>806</v>
      </c>
      <c r="E281" s="105" t="s">
        <v>533</v>
      </c>
      <c r="F281" s="105" t="s">
        <v>577</v>
      </c>
      <c r="G281" s="105" t="s">
        <v>658</v>
      </c>
      <c r="H281" s="105" t="s">
        <v>627</v>
      </c>
      <c r="I281" s="105">
        <v>125</v>
      </c>
      <c r="J281" s="106" t="s">
        <v>660</v>
      </c>
      <c r="K281" s="106" t="s">
        <v>882</v>
      </c>
      <c r="L281" s="113"/>
    </row>
    <row r="282" spans="1:12" s="54" customFormat="1">
      <c r="A282" s="105" t="s">
        <v>930</v>
      </c>
      <c r="B282" s="105">
        <v>100</v>
      </c>
      <c r="C282" s="105" t="s">
        <v>884</v>
      </c>
      <c r="D282" s="105" t="s">
        <v>806</v>
      </c>
      <c r="E282" s="105" t="s">
        <v>533</v>
      </c>
      <c r="F282" s="105" t="s">
        <v>577</v>
      </c>
      <c r="G282" s="105" t="s">
        <v>658</v>
      </c>
      <c r="H282" s="105" t="s">
        <v>627</v>
      </c>
      <c r="I282" s="105">
        <v>125</v>
      </c>
      <c r="J282" s="106" t="s">
        <v>660</v>
      </c>
      <c r="K282" s="106" t="s">
        <v>882</v>
      </c>
      <c r="L282" s="113"/>
    </row>
    <row r="283" spans="1:12" s="54" customFormat="1">
      <c r="A283" s="105" t="s">
        <v>931</v>
      </c>
      <c r="B283" s="105">
        <v>160</v>
      </c>
      <c r="C283" s="105" t="s">
        <v>500</v>
      </c>
      <c r="D283" s="105" t="s">
        <v>806</v>
      </c>
      <c r="E283" s="105" t="s">
        <v>533</v>
      </c>
      <c r="F283" s="105" t="s">
        <v>577</v>
      </c>
      <c r="G283" s="105" t="s">
        <v>658</v>
      </c>
      <c r="H283" s="105" t="s">
        <v>627</v>
      </c>
      <c r="I283" s="105">
        <v>125</v>
      </c>
      <c r="J283" s="106" t="s">
        <v>660</v>
      </c>
      <c r="K283" s="106" t="s">
        <v>882</v>
      </c>
      <c r="L283" s="113"/>
    </row>
    <row r="284" spans="1:12" s="54" customFormat="1">
      <c r="A284" s="105" t="s">
        <v>932</v>
      </c>
      <c r="B284" s="105">
        <v>250</v>
      </c>
      <c r="C284" s="105" t="s">
        <v>502</v>
      </c>
      <c r="D284" s="105" t="s">
        <v>806</v>
      </c>
      <c r="E284" s="105" t="s">
        <v>533</v>
      </c>
      <c r="F284" s="105" t="s">
        <v>577</v>
      </c>
      <c r="G284" s="105" t="s">
        <v>658</v>
      </c>
      <c r="H284" s="105" t="s">
        <v>627</v>
      </c>
      <c r="I284" s="105">
        <v>125</v>
      </c>
      <c r="J284" s="106" t="s">
        <v>660</v>
      </c>
      <c r="K284" s="106" t="s">
        <v>882</v>
      </c>
      <c r="L284" s="113"/>
    </row>
    <row r="285" spans="1:12" s="54" customFormat="1">
      <c r="A285" s="105" t="s">
        <v>933</v>
      </c>
      <c r="B285" s="105">
        <v>400</v>
      </c>
      <c r="C285" s="105" t="s">
        <v>888</v>
      </c>
      <c r="D285" s="105" t="s">
        <v>806</v>
      </c>
      <c r="E285" s="105" t="s">
        <v>533</v>
      </c>
      <c r="F285" s="105" t="s">
        <v>577</v>
      </c>
      <c r="G285" s="105" t="s">
        <v>658</v>
      </c>
      <c r="H285" s="105" t="s">
        <v>627</v>
      </c>
      <c r="I285" s="105">
        <v>125</v>
      </c>
      <c r="J285" s="106" t="s">
        <v>660</v>
      </c>
      <c r="K285" s="106" t="s">
        <v>882</v>
      </c>
      <c r="L285" s="113"/>
    </row>
    <row r="286" spans="1:12" s="54" customFormat="1">
      <c r="A286" s="105" t="s">
        <v>934</v>
      </c>
      <c r="B286" s="105">
        <v>63</v>
      </c>
      <c r="C286" s="105" t="s">
        <v>632</v>
      </c>
      <c r="D286" s="105" t="s">
        <v>625</v>
      </c>
      <c r="E286" s="105" t="s">
        <v>533</v>
      </c>
      <c r="F286" s="105" t="s">
        <v>577</v>
      </c>
      <c r="G286" s="105" t="s">
        <v>491</v>
      </c>
      <c r="H286" s="105" t="s">
        <v>627</v>
      </c>
      <c r="I286" s="105">
        <v>125</v>
      </c>
      <c r="J286" s="106" t="s">
        <v>660</v>
      </c>
      <c r="K286" s="106" t="s">
        <v>882</v>
      </c>
      <c r="L286" s="113"/>
    </row>
    <row r="287" spans="1:12" s="54" customFormat="1">
      <c r="A287" s="105" t="s">
        <v>935</v>
      </c>
      <c r="B287" s="105">
        <v>100</v>
      </c>
      <c r="C287" s="105" t="s">
        <v>884</v>
      </c>
      <c r="D287" s="105" t="s">
        <v>625</v>
      </c>
      <c r="E287" s="105" t="s">
        <v>533</v>
      </c>
      <c r="F287" s="105" t="s">
        <v>577</v>
      </c>
      <c r="G287" s="105" t="s">
        <v>491</v>
      </c>
      <c r="H287" s="105" t="s">
        <v>627</v>
      </c>
      <c r="I287" s="105">
        <v>125</v>
      </c>
      <c r="J287" s="106" t="s">
        <v>660</v>
      </c>
      <c r="K287" s="106" t="s">
        <v>882</v>
      </c>
      <c r="L287" s="113"/>
    </row>
    <row r="288" spans="1:12" s="54" customFormat="1">
      <c r="A288" s="105" t="s">
        <v>936</v>
      </c>
      <c r="B288" s="105">
        <v>160</v>
      </c>
      <c r="C288" s="105" t="s">
        <v>500</v>
      </c>
      <c r="D288" s="105" t="s">
        <v>625</v>
      </c>
      <c r="E288" s="105" t="s">
        <v>533</v>
      </c>
      <c r="F288" s="105" t="s">
        <v>577</v>
      </c>
      <c r="G288" s="105" t="s">
        <v>491</v>
      </c>
      <c r="H288" s="105" t="s">
        <v>627</v>
      </c>
      <c r="I288" s="105">
        <v>125</v>
      </c>
      <c r="J288" s="106" t="s">
        <v>660</v>
      </c>
      <c r="K288" s="106" t="s">
        <v>882</v>
      </c>
      <c r="L288" s="113"/>
    </row>
    <row r="289" spans="1:12" s="54" customFormat="1">
      <c r="A289" s="105" t="s">
        <v>937</v>
      </c>
      <c r="B289" s="105">
        <v>250</v>
      </c>
      <c r="C289" s="105" t="s">
        <v>502</v>
      </c>
      <c r="D289" s="105" t="s">
        <v>625</v>
      </c>
      <c r="E289" s="105" t="s">
        <v>533</v>
      </c>
      <c r="F289" s="105" t="s">
        <v>577</v>
      </c>
      <c r="G289" s="105" t="s">
        <v>491</v>
      </c>
      <c r="H289" s="105" t="s">
        <v>627</v>
      </c>
      <c r="I289" s="105">
        <v>125</v>
      </c>
      <c r="J289" s="106" t="s">
        <v>660</v>
      </c>
      <c r="K289" s="106" t="s">
        <v>882</v>
      </c>
      <c r="L289" s="113"/>
    </row>
    <row r="290" spans="1:12" s="54" customFormat="1">
      <c r="A290" s="105" t="s">
        <v>938</v>
      </c>
      <c r="B290" s="105">
        <v>400</v>
      </c>
      <c r="C290" s="105" t="s">
        <v>888</v>
      </c>
      <c r="D290" s="105" t="s">
        <v>625</v>
      </c>
      <c r="E290" s="105" t="s">
        <v>533</v>
      </c>
      <c r="F290" s="105" t="s">
        <v>577</v>
      </c>
      <c r="G290" s="105" t="s">
        <v>491</v>
      </c>
      <c r="H290" s="105" t="s">
        <v>627</v>
      </c>
      <c r="I290" s="105">
        <v>125</v>
      </c>
      <c r="J290" s="106" t="s">
        <v>660</v>
      </c>
      <c r="K290" s="106" t="s">
        <v>882</v>
      </c>
      <c r="L290" s="113"/>
    </row>
    <row r="291" spans="1:12" s="54" customFormat="1">
      <c r="A291" s="105" t="s">
        <v>939</v>
      </c>
      <c r="B291" s="105">
        <v>63</v>
      </c>
      <c r="C291" s="105" t="s">
        <v>632</v>
      </c>
      <c r="D291" s="105" t="s">
        <v>625</v>
      </c>
      <c r="E291" s="105" t="s">
        <v>533</v>
      </c>
      <c r="F291" s="105" t="s">
        <v>577</v>
      </c>
      <c r="G291" s="105" t="s">
        <v>658</v>
      </c>
      <c r="H291" s="105" t="s">
        <v>627</v>
      </c>
      <c r="I291" s="105">
        <v>125</v>
      </c>
      <c r="J291" s="106" t="s">
        <v>660</v>
      </c>
      <c r="K291" s="106" t="s">
        <v>882</v>
      </c>
      <c r="L291" s="113"/>
    </row>
    <row r="292" spans="1:12" s="54" customFormat="1">
      <c r="A292" s="105" t="s">
        <v>940</v>
      </c>
      <c r="B292" s="105">
        <v>100</v>
      </c>
      <c r="C292" s="105" t="s">
        <v>884</v>
      </c>
      <c r="D292" s="105" t="s">
        <v>625</v>
      </c>
      <c r="E292" s="105" t="s">
        <v>533</v>
      </c>
      <c r="F292" s="105" t="s">
        <v>577</v>
      </c>
      <c r="G292" s="105" t="s">
        <v>658</v>
      </c>
      <c r="H292" s="105" t="s">
        <v>627</v>
      </c>
      <c r="I292" s="105">
        <v>125</v>
      </c>
      <c r="J292" s="106" t="s">
        <v>660</v>
      </c>
      <c r="K292" s="106" t="s">
        <v>882</v>
      </c>
      <c r="L292" s="113"/>
    </row>
    <row r="293" spans="1:12" s="54" customFormat="1">
      <c r="A293" s="105" t="s">
        <v>941</v>
      </c>
      <c r="B293" s="105">
        <v>160</v>
      </c>
      <c r="C293" s="105" t="s">
        <v>500</v>
      </c>
      <c r="D293" s="105" t="s">
        <v>625</v>
      </c>
      <c r="E293" s="105" t="s">
        <v>533</v>
      </c>
      <c r="F293" s="105" t="s">
        <v>577</v>
      </c>
      <c r="G293" s="105" t="s">
        <v>658</v>
      </c>
      <c r="H293" s="105" t="s">
        <v>627</v>
      </c>
      <c r="I293" s="105">
        <v>125</v>
      </c>
      <c r="J293" s="106" t="s">
        <v>660</v>
      </c>
      <c r="K293" s="106" t="s">
        <v>882</v>
      </c>
      <c r="L293" s="113"/>
    </row>
    <row r="294" spans="1:12" s="54" customFormat="1">
      <c r="A294" s="105" t="s">
        <v>942</v>
      </c>
      <c r="B294" s="105">
        <v>250</v>
      </c>
      <c r="C294" s="105" t="s">
        <v>502</v>
      </c>
      <c r="D294" s="105" t="s">
        <v>625</v>
      </c>
      <c r="E294" s="105" t="s">
        <v>533</v>
      </c>
      <c r="F294" s="105" t="s">
        <v>577</v>
      </c>
      <c r="G294" s="105" t="s">
        <v>658</v>
      </c>
      <c r="H294" s="105" t="s">
        <v>627</v>
      </c>
      <c r="I294" s="105">
        <v>125</v>
      </c>
      <c r="J294" s="106" t="s">
        <v>660</v>
      </c>
      <c r="K294" s="106" t="s">
        <v>882</v>
      </c>
      <c r="L294" s="113"/>
    </row>
    <row r="295" spans="1:12" s="54" customFormat="1">
      <c r="A295" s="105" t="s">
        <v>943</v>
      </c>
      <c r="B295" s="105">
        <v>400</v>
      </c>
      <c r="C295" s="105" t="s">
        <v>888</v>
      </c>
      <c r="D295" s="105" t="s">
        <v>625</v>
      </c>
      <c r="E295" s="105" t="s">
        <v>533</v>
      </c>
      <c r="F295" s="105" t="s">
        <v>577</v>
      </c>
      <c r="G295" s="105" t="s">
        <v>658</v>
      </c>
      <c r="H295" s="105" t="s">
        <v>627</v>
      </c>
      <c r="I295" s="105">
        <v>125</v>
      </c>
      <c r="J295" s="106" t="s">
        <v>660</v>
      </c>
      <c r="K295" s="106" t="s">
        <v>882</v>
      </c>
      <c r="L295" s="113"/>
    </row>
    <row r="296" spans="1:12" s="54" customFormat="1">
      <c r="A296" s="105" t="s">
        <v>944</v>
      </c>
      <c r="B296" s="105">
        <v>63</v>
      </c>
      <c r="C296" s="105" t="s">
        <v>632</v>
      </c>
      <c r="D296" s="105" t="s">
        <v>806</v>
      </c>
      <c r="E296" s="105" t="s">
        <v>533</v>
      </c>
      <c r="F296" s="105" t="s">
        <v>577</v>
      </c>
      <c r="G296" s="105" t="s">
        <v>491</v>
      </c>
      <c r="H296" s="105" t="s">
        <v>627</v>
      </c>
      <c r="I296" s="105">
        <v>250</v>
      </c>
      <c r="J296" s="106" t="s">
        <v>660</v>
      </c>
      <c r="K296" s="106" t="s">
        <v>882</v>
      </c>
      <c r="L296" s="113"/>
    </row>
    <row r="297" spans="1:12" s="54" customFormat="1">
      <c r="A297" s="105" t="s">
        <v>945</v>
      </c>
      <c r="B297" s="105">
        <v>100</v>
      </c>
      <c r="C297" s="105" t="s">
        <v>884</v>
      </c>
      <c r="D297" s="105" t="s">
        <v>806</v>
      </c>
      <c r="E297" s="105" t="s">
        <v>533</v>
      </c>
      <c r="F297" s="105" t="s">
        <v>577</v>
      </c>
      <c r="G297" s="105" t="s">
        <v>491</v>
      </c>
      <c r="H297" s="105" t="s">
        <v>627</v>
      </c>
      <c r="I297" s="105">
        <v>250</v>
      </c>
      <c r="J297" s="106" t="s">
        <v>660</v>
      </c>
      <c r="K297" s="106" t="s">
        <v>882</v>
      </c>
      <c r="L297" s="113"/>
    </row>
    <row r="298" spans="1:12" s="54" customFormat="1">
      <c r="A298" s="105" t="s">
        <v>946</v>
      </c>
      <c r="B298" s="105">
        <v>160</v>
      </c>
      <c r="C298" s="105" t="s">
        <v>500</v>
      </c>
      <c r="D298" s="105" t="s">
        <v>806</v>
      </c>
      <c r="E298" s="105" t="s">
        <v>533</v>
      </c>
      <c r="F298" s="105" t="s">
        <v>577</v>
      </c>
      <c r="G298" s="105" t="s">
        <v>491</v>
      </c>
      <c r="H298" s="105" t="s">
        <v>627</v>
      </c>
      <c r="I298" s="105">
        <v>250</v>
      </c>
      <c r="J298" s="106" t="s">
        <v>660</v>
      </c>
      <c r="K298" s="106" t="s">
        <v>882</v>
      </c>
      <c r="L298" s="113"/>
    </row>
    <row r="299" spans="1:12" s="54" customFormat="1">
      <c r="A299" s="105" t="s">
        <v>947</v>
      </c>
      <c r="B299" s="105">
        <v>250</v>
      </c>
      <c r="C299" s="105" t="s">
        <v>502</v>
      </c>
      <c r="D299" s="105" t="s">
        <v>806</v>
      </c>
      <c r="E299" s="105" t="s">
        <v>533</v>
      </c>
      <c r="F299" s="105" t="s">
        <v>577</v>
      </c>
      <c r="G299" s="105" t="s">
        <v>491</v>
      </c>
      <c r="H299" s="105" t="s">
        <v>627</v>
      </c>
      <c r="I299" s="105">
        <v>250</v>
      </c>
      <c r="J299" s="106" t="s">
        <v>660</v>
      </c>
      <c r="K299" s="106" t="s">
        <v>882</v>
      </c>
      <c r="L299" s="113"/>
    </row>
    <row r="300" spans="1:12" s="54" customFormat="1">
      <c r="A300" s="105" t="s">
        <v>948</v>
      </c>
      <c r="B300" s="105">
        <v>400</v>
      </c>
      <c r="C300" s="105" t="s">
        <v>888</v>
      </c>
      <c r="D300" s="105" t="s">
        <v>806</v>
      </c>
      <c r="E300" s="105" t="s">
        <v>533</v>
      </c>
      <c r="F300" s="105" t="s">
        <v>577</v>
      </c>
      <c r="G300" s="105" t="s">
        <v>491</v>
      </c>
      <c r="H300" s="105" t="s">
        <v>627</v>
      </c>
      <c r="I300" s="105">
        <v>250</v>
      </c>
      <c r="J300" s="106" t="s">
        <v>660</v>
      </c>
      <c r="K300" s="106" t="s">
        <v>882</v>
      </c>
      <c r="L300" s="113"/>
    </row>
    <row r="301" spans="1:12" s="54" customFormat="1">
      <c r="A301" s="105" t="s">
        <v>949</v>
      </c>
      <c r="B301" s="105">
        <v>63</v>
      </c>
      <c r="C301" s="105" t="s">
        <v>632</v>
      </c>
      <c r="D301" s="105" t="s">
        <v>806</v>
      </c>
      <c r="E301" s="105" t="s">
        <v>533</v>
      </c>
      <c r="F301" s="105" t="s">
        <v>577</v>
      </c>
      <c r="G301" s="105" t="s">
        <v>658</v>
      </c>
      <c r="H301" s="105" t="s">
        <v>627</v>
      </c>
      <c r="I301" s="105">
        <v>250</v>
      </c>
      <c r="J301" s="106" t="s">
        <v>660</v>
      </c>
      <c r="K301" s="106" t="s">
        <v>882</v>
      </c>
      <c r="L301" s="113"/>
    </row>
    <row r="302" spans="1:12" s="54" customFormat="1">
      <c r="A302" s="105" t="s">
        <v>950</v>
      </c>
      <c r="B302" s="105">
        <v>100</v>
      </c>
      <c r="C302" s="105" t="s">
        <v>884</v>
      </c>
      <c r="D302" s="105" t="s">
        <v>806</v>
      </c>
      <c r="E302" s="105" t="s">
        <v>533</v>
      </c>
      <c r="F302" s="105" t="s">
        <v>577</v>
      </c>
      <c r="G302" s="105" t="s">
        <v>658</v>
      </c>
      <c r="H302" s="105" t="s">
        <v>627</v>
      </c>
      <c r="I302" s="105">
        <v>250</v>
      </c>
      <c r="J302" s="106" t="s">
        <v>660</v>
      </c>
      <c r="K302" s="106" t="s">
        <v>882</v>
      </c>
      <c r="L302" s="113"/>
    </row>
    <row r="303" spans="1:12" s="54" customFormat="1">
      <c r="A303" s="105" t="s">
        <v>951</v>
      </c>
      <c r="B303" s="105">
        <v>160</v>
      </c>
      <c r="C303" s="105" t="s">
        <v>500</v>
      </c>
      <c r="D303" s="105" t="s">
        <v>806</v>
      </c>
      <c r="E303" s="105" t="s">
        <v>533</v>
      </c>
      <c r="F303" s="105" t="s">
        <v>577</v>
      </c>
      <c r="G303" s="105" t="s">
        <v>658</v>
      </c>
      <c r="H303" s="105" t="s">
        <v>627</v>
      </c>
      <c r="I303" s="105">
        <v>250</v>
      </c>
      <c r="J303" s="106" t="s">
        <v>660</v>
      </c>
      <c r="K303" s="106" t="s">
        <v>882</v>
      </c>
      <c r="L303" s="113"/>
    </row>
    <row r="304" spans="1:12" s="54" customFormat="1">
      <c r="A304" s="105" t="s">
        <v>952</v>
      </c>
      <c r="B304" s="105">
        <v>250</v>
      </c>
      <c r="C304" s="105" t="s">
        <v>502</v>
      </c>
      <c r="D304" s="105" t="s">
        <v>806</v>
      </c>
      <c r="E304" s="105" t="s">
        <v>533</v>
      </c>
      <c r="F304" s="105" t="s">
        <v>577</v>
      </c>
      <c r="G304" s="105" t="s">
        <v>658</v>
      </c>
      <c r="H304" s="105" t="s">
        <v>627</v>
      </c>
      <c r="I304" s="105">
        <v>250</v>
      </c>
      <c r="J304" s="106" t="s">
        <v>660</v>
      </c>
      <c r="K304" s="106" t="s">
        <v>882</v>
      </c>
      <c r="L304" s="113"/>
    </row>
    <row r="305" spans="1:12" s="54" customFormat="1">
      <c r="A305" s="105" t="s">
        <v>953</v>
      </c>
      <c r="B305" s="105">
        <v>400</v>
      </c>
      <c r="C305" s="105" t="s">
        <v>888</v>
      </c>
      <c r="D305" s="105" t="s">
        <v>806</v>
      </c>
      <c r="E305" s="105" t="s">
        <v>533</v>
      </c>
      <c r="F305" s="105" t="s">
        <v>577</v>
      </c>
      <c r="G305" s="105" t="s">
        <v>658</v>
      </c>
      <c r="H305" s="105" t="s">
        <v>627</v>
      </c>
      <c r="I305" s="105">
        <v>250</v>
      </c>
      <c r="J305" s="106" t="s">
        <v>660</v>
      </c>
      <c r="K305" s="106" t="s">
        <v>882</v>
      </c>
      <c r="L305" s="113"/>
    </row>
    <row r="306" spans="1:12" s="54" customFormat="1">
      <c r="A306" s="105" t="s">
        <v>954</v>
      </c>
      <c r="B306" s="105">
        <v>63</v>
      </c>
      <c r="C306" s="105" t="s">
        <v>632</v>
      </c>
      <c r="D306" s="105" t="s">
        <v>625</v>
      </c>
      <c r="E306" s="105" t="s">
        <v>533</v>
      </c>
      <c r="F306" s="105" t="s">
        <v>577</v>
      </c>
      <c r="G306" s="105" t="s">
        <v>491</v>
      </c>
      <c r="H306" s="105" t="s">
        <v>627</v>
      </c>
      <c r="I306" s="105">
        <v>250</v>
      </c>
      <c r="J306" s="106" t="s">
        <v>660</v>
      </c>
      <c r="K306" s="106" t="s">
        <v>882</v>
      </c>
      <c r="L306" s="113"/>
    </row>
    <row r="307" spans="1:12" s="54" customFormat="1">
      <c r="A307" s="105" t="s">
        <v>955</v>
      </c>
      <c r="B307" s="105">
        <v>100</v>
      </c>
      <c r="C307" s="105" t="s">
        <v>884</v>
      </c>
      <c r="D307" s="105" t="s">
        <v>625</v>
      </c>
      <c r="E307" s="105" t="s">
        <v>533</v>
      </c>
      <c r="F307" s="105" t="s">
        <v>577</v>
      </c>
      <c r="G307" s="105" t="s">
        <v>491</v>
      </c>
      <c r="H307" s="105" t="s">
        <v>627</v>
      </c>
      <c r="I307" s="105">
        <v>250</v>
      </c>
      <c r="J307" s="106" t="s">
        <v>660</v>
      </c>
      <c r="K307" s="106" t="s">
        <v>882</v>
      </c>
      <c r="L307" s="113"/>
    </row>
    <row r="308" spans="1:12" s="54" customFormat="1">
      <c r="A308" s="105" t="s">
        <v>956</v>
      </c>
      <c r="B308" s="105">
        <v>160</v>
      </c>
      <c r="C308" s="105" t="s">
        <v>500</v>
      </c>
      <c r="D308" s="105" t="s">
        <v>625</v>
      </c>
      <c r="E308" s="105" t="s">
        <v>533</v>
      </c>
      <c r="F308" s="105" t="s">
        <v>577</v>
      </c>
      <c r="G308" s="105" t="s">
        <v>491</v>
      </c>
      <c r="H308" s="105" t="s">
        <v>627</v>
      </c>
      <c r="I308" s="105">
        <v>250</v>
      </c>
      <c r="J308" s="106" t="s">
        <v>660</v>
      </c>
      <c r="K308" s="106" t="s">
        <v>882</v>
      </c>
      <c r="L308" s="113"/>
    </row>
    <row r="309" spans="1:12" s="54" customFormat="1">
      <c r="A309" s="105" t="s">
        <v>957</v>
      </c>
      <c r="B309" s="105">
        <v>250</v>
      </c>
      <c r="C309" s="105" t="s">
        <v>502</v>
      </c>
      <c r="D309" s="105" t="s">
        <v>625</v>
      </c>
      <c r="E309" s="105" t="s">
        <v>533</v>
      </c>
      <c r="F309" s="105" t="s">
        <v>577</v>
      </c>
      <c r="G309" s="105" t="s">
        <v>491</v>
      </c>
      <c r="H309" s="105" t="s">
        <v>627</v>
      </c>
      <c r="I309" s="105">
        <v>250</v>
      </c>
      <c r="J309" s="106" t="s">
        <v>660</v>
      </c>
      <c r="K309" s="106" t="s">
        <v>882</v>
      </c>
      <c r="L309" s="113"/>
    </row>
    <row r="310" spans="1:12" s="54" customFormat="1">
      <c r="A310" s="105" t="s">
        <v>958</v>
      </c>
      <c r="B310" s="105">
        <v>400</v>
      </c>
      <c r="C310" s="105" t="s">
        <v>888</v>
      </c>
      <c r="D310" s="105" t="s">
        <v>625</v>
      </c>
      <c r="E310" s="105" t="s">
        <v>533</v>
      </c>
      <c r="F310" s="105" t="s">
        <v>577</v>
      </c>
      <c r="G310" s="105" t="s">
        <v>491</v>
      </c>
      <c r="H310" s="105" t="s">
        <v>627</v>
      </c>
      <c r="I310" s="105">
        <v>250</v>
      </c>
      <c r="J310" s="106" t="s">
        <v>660</v>
      </c>
      <c r="K310" s="106" t="s">
        <v>882</v>
      </c>
      <c r="L310" s="113"/>
    </row>
    <row r="311" spans="1:12" s="54" customFormat="1">
      <c r="A311" s="105" t="s">
        <v>959</v>
      </c>
      <c r="B311" s="105">
        <v>63</v>
      </c>
      <c r="C311" s="105" t="s">
        <v>632</v>
      </c>
      <c r="D311" s="105" t="s">
        <v>625</v>
      </c>
      <c r="E311" s="105" t="s">
        <v>533</v>
      </c>
      <c r="F311" s="105" t="s">
        <v>577</v>
      </c>
      <c r="G311" s="105" t="s">
        <v>658</v>
      </c>
      <c r="H311" s="105" t="s">
        <v>627</v>
      </c>
      <c r="I311" s="105">
        <v>250</v>
      </c>
      <c r="J311" s="106" t="s">
        <v>660</v>
      </c>
      <c r="K311" s="106" t="s">
        <v>882</v>
      </c>
      <c r="L311" s="113"/>
    </row>
    <row r="312" spans="1:12" s="54" customFormat="1">
      <c r="A312" s="105" t="s">
        <v>960</v>
      </c>
      <c r="B312" s="105">
        <v>100</v>
      </c>
      <c r="C312" s="105" t="s">
        <v>884</v>
      </c>
      <c r="D312" s="105" t="s">
        <v>625</v>
      </c>
      <c r="E312" s="105" t="s">
        <v>533</v>
      </c>
      <c r="F312" s="105" t="s">
        <v>577</v>
      </c>
      <c r="G312" s="105" t="s">
        <v>658</v>
      </c>
      <c r="H312" s="105" t="s">
        <v>627</v>
      </c>
      <c r="I312" s="105">
        <v>250</v>
      </c>
      <c r="J312" s="106" t="s">
        <v>660</v>
      </c>
      <c r="K312" s="106" t="s">
        <v>882</v>
      </c>
      <c r="L312" s="113"/>
    </row>
    <row r="313" spans="1:12" s="54" customFormat="1">
      <c r="A313" s="105" t="s">
        <v>961</v>
      </c>
      <c r="B313" s="105">
        <v>160</v>
      </c>
      <c r="C313" s="105" t="s">
        <v>500</v>
      </c>
      <c r="D313" s="105" t="s">
        <v>625</v>
      </c>
      <c r="E313" s="105" t="s">
        <v>533</v>
      </c>
      <c r="F313" s="105" t="s">
        <v>577</v>
      </c>
      <c r="G313" s="105" t="s">
        <v>658</v>
      </c>
      <c r="H313" s="105" t="s">
        <v>627</v>
      </c>
      <c r="I313" s="105">
        <v>250</v>
      </c>
      <c r="J313" s="106" t="s">
        <v>660</v>
      </c>
      <c r="K313" s="106" t="s">
        <v>882</v>
      </c>
      <c r="L313" s="113"/>
    </row>
    <row r="314" spans="1:12" s="54" customFormat="1">
      <c r="A314" s="105" t="s">
        <v>962</v>
      </c>
      <c r="B314" s="105">
        <v>250</v>
      </c>
      <c r="C314" s="105" t="s">
        <v>502</v>
      </c>
      <c r="D314" s="105" t="s">
        <v>625</v>
      </c>
      <c r="E314" s="105" t="s">
        <v>533</v>
      </c>
      <c r="F314" s="105" t="s">
        <v>577</v>
      </c>
      <c r="G314" s="105" t="s">
        <v>658</v>
      </c>
      <c r="H314" s="105" t="s">
        <v>627</v>
      </c>
      <c r="I314" s="105">
        <v>250</v>
      </c>
      <c r="J314" s="106" t="s">
        <v>660</v>
      </c>
      <c r="K314" s="106" t="s">
        <v>882</v>
      </c>
      <c r="L314" s="113"/>
    </row>
    <row r="315" spans="1:12" s="54" customFormat="1">
      <c r="A315" s="105" t="s">
        <v>963</v>
      </c>
      <c r="B315" s="105">
        <v>400</v>
      </c>
      <c r="C315" s="105" t="s">
        <v>888</v>
      </c>
      <c r="D315" s="105" t="s">
        <v>625</v>
      </c>
      <c r="E315" s="105" t="s">
        <v>533</v>
      </c>
      <c r="F315" s="105" t="s">
        <v>577</v>
      </c>
      <c r="G315" s="105" t="s">
        <v>658</v>
      </c>
      <c r="H315" s="105" t="s">
        <v>627</v>
      </c>
      <c r="I315" s="105">
        <v>250</v>
      </c>
      <c r="J315" s="106" t="s">
        <v>660</v>
      </c>
      <c r="K315" s="106" t="s">
        <v>882</v>
      </c>
      <c r="L315" s="113"/>
    </row>
    <row r="316" spans="1:12" s="54" customFormat="1">
      <c r="A316" s="105" t="s">
        <v>964</v>
      </c>
      <c r="B316" s="105">
        <v>63</v>
      </c>
      <c r="C316" s="105" t="s">
        <v>632</v>
      </c>
      <c r="D316" s="105" t="s">
        <v>625</v>
      </c>
      <c r="E316" s="105" t="s">
        <v>626</v>
      </c>
      <c r="F316" s="105" t="s">
        <v>579</v>
      </c>
      <c r="G316" s="105" t="s">
        <v>707</v>
      </c>
      <c r="H316" s="105" t="s">
        <v>844</v>
      </c>
      <c r="I316" s="105">
        <v>125</v>
      </c>
      <c r="J316" s="106" t="s">
        <v>660</v>
      </c>
      <c r="K316" s="106" t="s">
        <v>882</v>
      </c>
      <c r="L316" s="113"/>
    </row>
    <row r="317" spans="1:12" s="54" customFormat="1">
      <c r="A317" s="105" t="s">
        <v>965</v>
      </c>
      <c r="B317" s="105">
        <v>100</v>
      </c>
      <c r="C317" s="105" t="s">
        <v>884</v>
      </c>
      <c r="D317" s="105" t="s">
        <v>625</v>
      </c>
      <c r="E317" s="105" t="s">
        <v>626</v>
      </c>
      <c r="F317" s="105" t="s">
        <v>579</v>
      </c>
      <c r="G317" s="105" t="s">
        <v>707</v>
      </c>
      <c r="H317" s="105" t="s">
        <v>844</v>
      </c>
      <c r="I317" s="105">
        <v>125</v>
      </c>
      <c r="J317" s="106" t="s">
        <v>660</v>
      </c>
      <c r="K317" s="106" t="s">
        <v>882</v>
      </c>
      <c r="L317" s="113"/>
    </row>
    <row r="318" spans="1:12" s="54" customFormat="1">
      <c r="A318" s="105" t="s">
        <v>966</v>
      </c>
      <c r="B318" s="105">
        <v>160</v>
      </c>
      <c r="C318" s="105" t="s">
        <v>500</v>
      </c>
      <c r="D318" s="105" t="s">
        <v>625</v>
      </c>
      <c r="E318" s="105" t="s">
        <v>626</v>
      </c>
      <c r="F318" s="105" t="s">
        <v>579</v>
      </c>
      <c r="G318" s="105" t="s">
        <v>707</v>
      </c>
      <c r="H318" s="105" t="s">
        <v>844</v>
      </c>
      <c r="I318" s="105">
        <v>125</v>
      </c>
      <c r="J318" s="106" t="s">
        <v>660</v>
      </c>
      <c r="K318" s="106" t="s">
        <v>882</v>
      </c>
      <c r="L318" s="113"/>
    </row>
    <row r="319" spans="1:12" s="54" customFormat="1">
      <c r="A319" s="105" t="s">
        <v>967</v>
      </c>
      <c r="B319" s="105">
        <v>250</v>
      </c>
      <c r="C319" s="105" t="s">
        <v>502</v>
      </c>
      <c r="D319" s="105" t="s">
        <v>625</v>
      </c>
      <c r="E319" s="105" t="s">
        <v>626</v>
      </c>
      <c r="F319" s="105" t="s">
        <v>579</v>
      </c>
      <c r="G319" s="105" t="s">
        <v>707</v>
      </c>
      <c r="H319" s="105" t="s">
        <v>844</v>
      </c>
      <c r="I319" s="105">
        <v>125</v>
      </c>
      <c r="J319" s="106" t="s">
        <v>660</v>
      </c>
      <c r="K319" s="106" t="s">
        <v>882</v>
      </c>
      <c r="L319" s="113"/>
    </row>
    <row r="320" spans="1:12" s="54" customFormat="1">
      <c r="A320" s="105" t="s">
        <v>968</v>
      </c>
      <c r="B320" s="105">
        <v>400</v>
      </c>
      <c r="C320" s="105" t="s">
        <v>888</v>
      </c>
      <c r="D320" s="105" t="s">
        <v>625</v>
      </c>
      <c r="E320" s="105" t="s">
        <v>626</v>
      </c>
      <c r="F320" s="105" t="s">
        <v>579</v>
      </c>
      <c r="G320" s="105" t="s">
        <v>707</v>
      </c>
      <c r="H320" s="105" t="s">
        <v>844</v>
      </c>
      <c r="I320" s="105">
        <v>125</v>
      </c>
      <c r="J320" s="106" t="s">
        <v>660</v>
      </c>
      <c r="K320" s="106" t="s">
        <v>882</v>
      </c>
      <c r="L320" s="113"/>
    </row>
    <row r="321" spans="1:12" s="54" customFormat="1">
      <c r="A321" s="105" t="s">
        <v>969</v>
      </c>
      <c r="B321" s="105">
        <v>63</v>
      </c>
      <c r="C321" s="105" t="s">
        <v>632</v>
      </c>
      <c r="D321" s="105" t="s">
        <v>625</v>
      </c>
      <c r="E321" s="105" t="s">
        <v>533</v>
      </c>
      <c r="F321" s="105" t="s">
        <v>579</v>
      </c>
      <c r="G321" s="105" t="s">
        <v>707</v>
      </c>
      <c r="H321" s="105" t="s">
        <v>844</v>
      </c>
      <c r="I321" s="105">
        <v>125</v>
      </c>
      <c r="J321" s="106" t="s">
        <v>660</v>
      </c>
      <c r="K321" s="106" t="s">
        <v>882</v>
      </c>
      <c r="L321" s="113"/>
    </row>
    <row r="322" spans="1:12" s="54" customFormat="1">
      <c r="A322" s="105" t="s">
        <v>970</v>
      </c>
      <c r="B322" s="105">
        <v>100</v>
      </c>
      <c r="C322" s="105" t="s">
        <v>884</v>
      </c>
      <c r="D322" s="105" t="s">
        <v>625</v>
      </c>
      <c r="E322" s="105" t="s">
        <v>533</v>
      </c>
      <c r="F322" s="105" t="s">
        <v>579</v>
      </c>
      <c r="G322" s="105" t="s">
        <v>707</v>
      </c>
      <c r="H322" s="105" t="s">
        <v>844</v>
      </c>
      <c r="I322" s="105">
        <v>125</v>
      </c>
      <c r="J322" s="106" t="s">
        <v>660</v>
      </c>
      <c r="K322" s="106" t="s">
        <v>882</v>
      </c>
      <c r="L322" s="113"/>
    </row>
    <row r="323" spans="1:12" s="54" customFormat="1">
      <c r="A323" s="105" t="s">
        <v>971</v>
      </c>
      <c r="B323" s="105">
        <v>160</v>
      </c>
      <c r="C323" s="105" t="s">
        <v>500</v>
      </c>
      <c r="D323" s="105" t="s">
        <v>625</v>
      </c>
      <c r="E323" s="105" t="s">
        <v>533</v>
      </c>
      <c r="F323" s="105" t="s">
        <v>579</v>
      </c>
      <c r="G323" s="105" t="s">
        <v>707</v>
      </c>
      <c r="H323" s="105" t="s">
        <v>844</v>
      </c>
      <c r="I323" s="105">
        <v>125</v>
      </c>
      <c r="J323" s="106" t="s">
        <v>660</v>
      </c>
      <c r="K323" s="106" t="s">
        <v>882</v>
      </c>
      <c r="L323" s="113"/>
    </row>
    <row r="324" spans="1:12" s="54" customFormat="1">
      <c r="A324" s="105" t="s">
        <v>972</v>
      </c>
      <c r="B324" s="105">
        <v>250</v>
      </c>
      <c r="C324" s="105" t="s">
        <v>502</v>
      </c>
      <c r="D324" s="105" t="s">
        <v>625</v>
      </c>
      <c r="E324" s="105" t="s">
        <v>533</v>
      </c>
      <c r="F324" s="105" t="s">
        <v>579</v>
      </c>
      <c r="G324" s="105" t="s">
        <v>707</v>
      </c>
      <c r="H324" s="105" t="s">
        <v>844</v>
      </c>
      <c r="I324" s="105">
        <v>125</v>
      </c>
      <c r="J324" s="106" t="s">
        <v>660</v>
      </c>
      <c r="K324" s="106" t="s">
        <v>882</v>
      </c>
      <c r="L324" s="113"/>
    </row>
    <row r="325" spans="1:12" s="54" customFormat="1">
      <c r="A325" s="105" t="s">
        <v>973</v>
      </c>
      <c r="B325" s="105">
        <v>400</v>
      </c>
      <c r="C325" s="105" t="s">
        <v>888</v>
      </c>
      <c r="D325" s="105" t="s">
        <v>625</v>
      </c>
      <c r="E325" s="105" t="s">
        <v>533</v>
      </c>
      <c r="F325" s="105" t="s">
        <v>579</v>
      </c>
      <c r="G325" s="105" t="s">
        <v>707</v>
      </c>
      <c r="H325" s="105" t="s">
        <v>844</v>
      </c>
      <c r="I325" s="105">
        <v>125</v>
      </c>
      <c r="J325" s="106" t="s">
        <v>660</v>
      </c>
      <c r="K325" s="106" t="s">
        <v>882</v>
      </c>
      <c r="L325" s="113"/>
    </row>
    <row r="326" spans="1:12" s="54" customFormat="1">
      <c r="A326" s="105" t="s">
        <v>974</v>
      </c>
      <c r="B326" s="105">
        <v>63</v>
      </c>
      <c r="C326" s="105" t="s">
        <v>632</v>
      </c>
      <c r="D326" s="105" t="s">
        <v>625</v>
      </c>
      <c r="E326" s="105" t="s">
        <v>626</v>
      </c>
      <c r="F326" s="105" t="s">
        <v>579</v>
      </c>
      <c r="G326" s="105" t="s">
        <v>707</v>
      </c>
      <c r="H326" s="105" t="s">
        <v>844</v>
      </c>
      <c r="I326" s="105">
        <v>250</v>
      </c>
      <c r="J326" s="106" t="s">
        <v>660</v>
      </c>
      <c r="K326" s="106" t="s">
        <v>882</v>
      </c>
      <c r="L326" s="113"/>
    </row>
    <row r="327" spans="1:12" s="54" customFormat="1">
      <c r="A327" s="105" t="s">
        <v>975</v>
      </c>
      <c r="B327" s="105">
        <v>100</v>
      </c>
      <c r="C327" s="105" t="s">
        <v>884</v>
      </c>
      <c r="D327" s="105" t="s">
        <v>625</v>
      </c>
      <c r="E327" s="105" t="s">
        <v>626</v>
      </c>
      <c r="F327" s="105" t="s">
        <v>579</v>
      </c>
      <c r="G327" s="105" t="s">
        <v>707</v>
      </c>
      <c r="H327" s="105" t="s">
        <v>844</v>
      </c>
      <c r="I327" s="105">
        <v>250</v>
      </c>
      <c r="J327" s="106" t="s">
        <v>660</v>
      </c>
      <c r="K327" s="106" t="s">
        <v>882</v>
      </c>
      <c r="L327" s="113"/>
    </row>
    <row r="328" spans="1:12" s="54" customFormat="1">
      <c r="A328" s="105" t="s">
        <v>976</v>
      </c>
      <c r="B328" s="105">
        <v>160</v>
      </c>
      <c r="C328" s="105" t="s">
        <v>500</v>
      </c>
      <c r="D328" s="105" t="s">
        <v>625</v>
      </c>
      <c r="E328" s="105" t="s">
        <v>626</v>
      </c>
      <c r="F328" s="105" t="s">
        <v>579</v>
      </c>
      <c r="G328" s="105" t="s">
        <v>707</v>
      </c>
      <c r="H328" s="105" t="s">
        <v>844</v>
      </c>
      <c r="I328" s="105">
        <v>250</v>
      </c>
      <c r="J328" s="106" t="s">
        <v>660</v>
      </c>
      <c r="K328" s="106" t="s">
        <v>882</v>
      </c>
      <c r="L328" s="113"/>
    </row>
    <row r="329" spans="1:12" s="54" customFormat="1">
      <c r="A329" s="105" t="s">
        <v>977</v>
      </c>
      <c r="B329" s="105">
        <v>250</v>
      </c>
      <c r="C329" s="105" t="s">
        <v>502</v>
      </c>
      <c r="D329" s="105" t="s">
        <v>625</v>
      </c>
      <c r="E329" s="105" t="s">
        <v>626</v>
      </c>
      <c r="F329" s="105" t="s">
        <v>579</v>
      </c>
      <c r="G329" s="105" t="s">
        <v>707</v>
      </c>
      <c r="H329" s="105" t="s">
        <v>844</v>
      </c>
      <c r="I329" s="105">
        <v>250</v>
      </c>
      <c r="J329" s="106" t="s">
        <v>660</v>
      </c>
      <c r="K329" s="106" t="s">
        <v>882</v>
      </c>
      <c r="L329" s="113"/>
    </row>
    <row r="330" spans="1:12" s="54" customFormat="1">
      <c r="A330" s="105" t="s">
        <v>978</v>
      </c>
      <c r="B330" s="105">
        <v>400</v>
      </c>
      <c r="C330" s="105" t="s">
        <v>888</v>
      </c>
      <c r="D330" s="105" t="s">
        <v>625</v>
      </c>
      <c r="E330" s="105" t="s">
        <v>626</v>
      </c>
      <c r="F330" s="105" t="s">
        <v>579</v>
      </c>
      <c r="G330" s="105" t="s">
        <v>707</v>
      </c>
      <c r="H330" s="105" t="s">
        <v>844</v>
      </c>
      <c r="I330" s="105">
        <v>250</v>
      </c>
      <c r="J330" s="106" t="s">
        <v>660</v>
      </c>
      <c r="K330" s="106" t="s">
        <v>882</v>
      </c>
      <c r="L330" s="113"/>
    </row>
    <row r="331" spans="1:12" s="54" customFormat="1">
      <c r="A331" s="105" t="s">
        <v>979</v>
      </c>
      <c r="B331" s="105">
        <v>63</v>
      </c>
      <c r="C331" s="105" t="s">
        <v>632</v>
      </c>
      <c r="D331" s="105" t="s">
        <v>625</v>
      </c>
      <c r="E331" s="105" t="s">
        <v>533</v>
      </c>
      <c r="F331" s="105" t="s">
        <v>579</v>
      </c>
      <c r="G331" s="105" t="s">
        <v>707</v>
      </c>
      <c r="H331" s="105" t="s">
        <v>844</v>
      </c>
      <c r="I331" s="105">
        <v>250</v>
      </c>
      <c r="J331" s="106" t="s">
        <v>660</v>
      </c>
      <c r="K331" s="106" t="s">
        <v>882</v>
      </c>
      <c r="L331" s="113"/>
    </row>
    <row r="332" spans="1:12" s="54" customFormat="1">
      <c r="A332" s="105" t="s">
        <v>980</v>
      </c>
      <c r="B332" s="105">
        <v>100</v>
      </c>
      <c r="C332" s="105" t="s">
        <v>884</v>
      </c>
      <c r="D332" s="105" t="s">
        <v>625</v>
      </c>
      <c r="E332" s="105" t="s">
        <v>533</v>
      </c>
      <c r="F332" s="105" t="s">
        <v>579</v>
      </c>
      <c r="G332" s="105" t="s">
        <v>707</v>
      </c>
      <c r="H332" s="105" t="s">
        <v>844</v>
      </c>
      <c r="I332" s="105">
        <v>250</v>
      </c>
      <c r="J332" s="106" t="s">
        <v>660</v>
      </c>
      <c r="K332" s="106" t="s">
        <v>882</v>
      </c>
      <c r="L332" s="113"/>
    </row>
    <row r="333" spans="1:12" s="54" customFormat="1">
      <c r="A333" s="105" t="s">
        <v>981</v>
      </c>
      <c r="B333" s="105">
        <v>160</v>
      </c>
      <c r="C333" s="105" t="s">
        <v>500</v>
      </c>
      <c r="D333" s="105" t="s">
        <v>625</v>
      </c>
      <c r="E333" s="105" t="s">
        <v>533</v>
      </c>
      <c r="F333" s="105" t="s">
        <v>579</v>
      </c>
      <c r="G333" s="105" t="s">
        <v>707</v>
      </c>
      <c r="H333" s="105" t="s">
        <v>844</v>
      </c>
      <c r="I333" s="105">
        <v>250</v>
      </c>
      <c r="J333" s="106" t="s">
        <v>660</v>
      </c>
      <c r="K333" s="106" t="s">
        <v>882</v>
      </c>
      <c r="L333" s="113"/>
    </row>
    <row r="334" spans="1:12" s="54" customFormat="1">
      <c r="A334" s="105" t="s">
        <v>982</v>
      </c>
      <c r="B334" s="105">
        <v>250</v>
      </c>
      <c r="C334" s="105" t="s">
        <v>502</v>
      </c>
      <c r="D334" s="105" t="s">
        <v>625</v>
      </c>
      <c r="E334" s="105" t="s">
        <v>533</v>
      </c>
      <c r="F334" s="105" t="s">
        <v>579</v>
      </c>
      <c r="G334" s="105" t="s">
        <v>707</v>
      </c>
      <c r="H334" s="105" t="s">
        <v>844</v>
      </c>
      <c r="I334" s="105">
        <v>250</v>
      </c>
      <c r="J334" s="106" t="s">
        <v>660</v>
      </c>
      <c r="K334" s="106" t="s">
        <v>882</v>
      </c>
      <c r="L334" s="113"/>
    </row>
    <row r="335" spans="1:12" s="54" customFormat="1">
      <c r="A335" s="105" t="s">
        <v>983</v>
      </c>
      <c r="B335" s="105">
        <v>400</v>
      </c>
      <c r="C335" s="105" t="s">
        <v>888</v>
      </c>
      <c r="D335" s="105" t="s">
        <v>625</v>
      </c>
      <c r="E335" s="105" t="s">
        <v>533</v>
      </c>
      <c r="F335" s="105" t="s">
        <v>579</v>
      </c>
      <c r="G335" s="105" t="s">
        <v>707</v>
      </c>
      <c r="H335" s="105" t="s">
        <v>844</v>
      </c>
      <c r="I335" s="105">
        <v>250</v>
      </c>
      <c r="J335" s="106" t="s">
        <v>660</v>
      </c>
      <c r="K335" s="106" t="s">
        <v>882</v>
      </c>
      <c r="L335" s="113"/>
    </row>
    <row r="336" spans="1:12" s="54" customFormat="1">
      <c r="A336" s="559" t="s">
        <v>1270</v>
      </c>
      <c r="B336" s="106" t="s">
        <v>984</v>
      </c>
      <c r="C336" s="106" t="s">
        <v>624</v>
      </c>
      <c r="D336" s="106" t="s">
        <v>625</v>
      </c>
      <c r="E336" s="106" t="s">
        <v>985</v>
      </c>
      <c r="F336" s="106" t="s">
        <v>577</v>
      </c>
      <c r="G336" s="106"/>
      <c r="H336" s="106" t="s">
        <v>881</v>
      </c>
      <c r="I336" s="106" t="s">
        <v>659</v>
      </c>
      <c r="J336" s="106" t="s">
        <v>660</v>
      </c>
      <c r="K336" s="106" t="s">
        <v>986</v>
      </c>
      <c r="L336" s="113"/>
    </row>
    <row r="337" spans="1:12" s="54" customFormat="1">
      <c r="A337" s="559" t="s">
        <v>1271</v>
      </c>
      <c r="B337" s="106" t="s">
        <v>987</v>
      </c>
      <c r="C337" s="106" t="s">
        <v>624</v>
      </c>
      <c r="D337" s="106" t="s">
        <v>625</v>
      </c>
      <c r="E337" s="106" t="s">
        <v>985</v>
      </c>
      <c r="F337" s="106" t="s">
        <v>577</v>
      </c>
      <c r="G337" s="106"/>
      <c r="H337" s="106" t="s">
        <v>881</v>
      </c>
      <c r="I337" s="106" t="s">
        <v>659</v>
      </c>
      <c r="J337" s="106" t="s">
        <v>660</v>
      </c>
      <c r="K337" s="106" t="s">
        <v>986</v>
      </c>
      <c r="L337" s="113"/>
    </row>
    <row r="338" spans="1:12" s="54" customFormat="1">
      <c r="A338" s="559" t="s">
        <v>1272</v>
      </c>
      <c r="B338" s="559" t="s">
        <v>623</v>
      </c>
      <c r="C338" s="106" t="s">
        <v>624</v>
      </c>
      <c r="D338" s="106" t="s">
        <v>625</v>
      </c>
      <c r="E338" s="106" t="s">
        <v>985</v>
      </c>
      <c r="F338" s="106" t="s">
        <v>577</v>
      </c>
      <c r="G338" s="106"/>
      <c r="H338" s="106" t="s">
        <v>881</v>
      </c>
      <c r="I338" s="106" t="s">
        <v>659</v>
      </c>
      <c r="J338" s="106" t="s">
        <v>660</v>
      </c>
      <c r="K338" s="106" t="s">
        <v>986</v>
      </c>
      <c r="L338" s="113"/>
    </row>
    <row r="339" spans="1:12" s="54" customFormat="1">
      <c r="A339" s="559" t="s">
        <v>1273</v>
      </c>
      <c r="B339" s="106" t="s">
        <v>676</v>
      </c>
      <c r="C339" s="106" t="s">
        <v>624</v>
      </c>
      <c r="D339" s="106" t="s">
        <v>625</v>
      </c>
      <c r="E339" s="106" t="s">
        <v>985</v>
      </c>
      <c r="F339" s="106" t="s">
        <v>577</v>
      </c>
      <c r="G339" s="106"/>
      <c r="H339" s="106" t="s">
        <v>881</v>
      </c>
      <c r="I339" s="106" t="s">
        <v>659</v>
      </c>
      <c r="J339" s="106" t="s">
        <v>660</v>
      </c>
      <c r="K339" s="106" t="s">
        <v>986</v>
      </c>
      <c r="L339" s="113"/>
    </row>
    <row r="340" spans="1:12" s="54" customFormat="1">
      <c r="A340" s="559" t="s">
        <v>1274</v>
      </c>
      <c r="B340" s="106" t="s">
        <v>632</v>
      </c>
      <c r="C340" s="106" t="s">
        <v>624</v>
      </c>
      <c r="D340" s="106" t="s">
        <v>625</v>
      </c>
      <c r="E340" s="106" t="s">
        <v>985</v>
      </c>
      <c r="F340" s="106" t="s">
        <v>577</v>
      </c>
      <c r="G340" s="106"/>
      <c r="H340" s="106" t="s">
        <v>881</v>
      </c>
      <c r="I340" s="106" t="s">
        <v>659</v>
      </c>
      <c r="J340" s="106" t="s">
        <v>660</v>
      </c>
      <c r="K340" s="106" t="s">
        <v>986</v>
      </c>
      <c r="L340" s="113"/>
    </row>
    <row r="341" spans="1:12" s="54" customFormat="1">
      <c r="A341" s="559" t="s">
        <v>1276</v>
      </c>
      <c r="B341" s="559" t="s">
        <v>639</v>
      </c>
      <c r="C341" s="106" t="s">
        <v>624</v>
      </c>
      <c r="D341" s="106" t="s">
        <v>625</v>
      </c>
      <c r="E341" s="106" t="s">
        <v>985</v>
      </c>
      <c r="F341" s="106" t="s">
        <v>577</v>
      </c>
      <c r="G341" s="106"/>
      <c r="H341" s="106" t="s">
        <v>881</v>
      </c>
      <c r="I341" s="106" t="s">
        <v>659</v>
      </c>
      <c r="J341" s="106" t="s">
        <v>660</v>
      </c>
      <c r="K341" s="106" t="s">
        <v>986</v>
      </c>
      <c r="L341" s="113"/>
    </row>
    <row r="342" spans="1:12" s="54" customFormat="1">
      <c r="A342" s="559" t="s">
        <v>1277</v>
      </c>
      <c r="B342" s="559" t="s">
        <v>687</v>
      </c>
      <c r="C342" s="106" t="s">
        <v>624</v>
      </c>
      <c r="D342" s="106" t="s">
        <v>625</v>
      </c>
      <c r="E342" s="106" t="s">
        <v>985</v>
      </c>
      <c r="F342" s="106" t="s">
        <v>577</v>
      </c>
      <c r="G342" s="106"/>
      <c r="H342" s="106" t="s">
        <v>881</v>
      </c>
      <c r="I342" s="106" t="s">
        <v>659</v>
      </c>
      <c r="J342" s="106" t="s">
        <v>660</v>
      </c>
      <c r="K342" s="106" t="s">
        <v>986</v>
      </c>
      <c r="L342" s="113"/>
    </row>
    <row r="343" spans="1:12" s="54" customFormat="1">
      <c r="A343" s="559" t="s">
        <v>1275</v>
      </c>
      <c r="B343" s="106" t="s">
        <v>690</v>
      </c>
      <c r="C343" s="106" t="s">
        <v>624</v>
      </c>
      <c r="D343" s="106" t="s">
        <v>625</v>
      </c>
      <c r="E343" s="106" t="s">
        <v>985</v>
      </c>
      <c r="F343" s="106" t="s">
        <v>577</v>
      </c>
      <c r="G343" s="106"/>
      <c r="H343" s="106" t="s">
        <v>881</v>
      </c>
      <c r="I343" s="106" t="s">
        <v>659</v>
      </c>
      <c r="J343" s="106" t="s">
        <v>660</v>
      </c>
      <c r="K343" s="106" t="s">
        <v>986</v>
      </c>
      <c r="L343" s="113"/>
    </row>
    <row r="344" spans="1:12" s="54" customFormat="1">
      <c r="A344" s="559" t="s">
        <v>1278</v>
      </c>
      <c r="B344" s="559" t="s">
        <v>687</v>
      </c>
      <c r="C344" s="559" t="s">
        <v>635</v>
      </c>
      <c r="D344" s="106" t="s">
        <v>625</v>
      </c>
      <c r="E344" s="106" t="s">
        <v>985</v>
      </c>
      <c r="F344" s="106" t="s">
        <v>577</v>
      </c>
      <c r="G344" s="106"/>
      <c r="H344" s="106" t="s">
        <v>881</v>
      </c>
      <c r="I344" s="106" t="s">
        <v>659</v>
      </c>
      <c r="J344" s="106" t="s">
        <v>660</v>
      </c>
      <c r="K344" s="106" t="s">
        <v>986</v>
      </c>
      <c r="L344" s="113"/>
    </row>
    <row r="345" spans="1:12" s="54" customFormat="1">
      <c r="A345" s="559" t="s">
        <v>1279</v>
      </c>
      <c r="B345" s="106" t="s">
        <v>690</v>
      </c>
      <c r="C345" s="106" t="s">
        <v>635</v>
      </c>
      <c r="D345" s="106" t="s">
        <v>625</v>
      </c>
      <c r="E345" s="106" t="s">
        <v>985</v>
      </c>
      <c r="F345" s="106" t="s">
        <v>577</v>
      </c>
      <c r="G345" s="106"/>
      <c r="H345" s="106" t="s">
        <v>881</v>
      </c>
      <c r="I345" s="106" t="s">
        <v>659</v>
      </c>
      <c r="J345" s="106" t="s">
        <v>660</v>
      </c>
      <c r="K345" s="106" t="s">
        <v>986</v>
      </c>
      <c r="L345" s="113"/>
    </row>
    <row r="346" spans="1:12" s="54" customFormat="1">
      <c r="A346" s="559" t="s">
        <v>1280</v>
      </c>
      <c r="B346" s="559" t="s">
        <v>781</v>
      </c>
      <c r="C346" s="106" t="s">
        <v>635</v>
      </c>
      <c r="D346" s="106" t="s">
        <v>625</v>
      </c>
      <c r="E346" s="106" t="s">
        <v>985</v>
      </c>
      <c r="F346" s="106" t="s">
        <v>577</v>
      </c>
      <c r="G346" s="106"/>
      <c r="H346" s="106" t="s">
        <v>881</v>
      </c>
      <c r="I346" s="106" t="s">
        <v>659</v>
      </c>
      <c r="J346" s="106" t="s">
        <v>660</v>
      </c>
      <c r="K346" s="106" t="s">
        <v>986</v>
      </c>
      <c r="L346" s="113"/>
    </row>
    <row r="347" spans="1:12" s="54" customFormat="1">
      <c r="A347" s="559" t="s">
        <v>1281</v>
      </c>
      <c r="B347" s="106" t="s">
        <v>783</v>
      </c>
      <c r="C347" s="106" t="s">
        <v>635</v>
      </c>
      <c r="D347" s="106" t="s">
        <v>625</v>
      </c>
      <c r="E347" s="106" t="s">
        <v>985</v>
      </c>
      <c r="F347" s="106" t="s">
        <v>577</v>
      </c>
      <c r="G347" s="106"/>
      <c r="H347" s="106" t="s">
        <v>881</v>
      </c>
      <c r="I347" s="106" t="s">
        <v>659</v>
      </c>
      <c r="J347" s="106" t="s">
        <v>660</v>
      </c>
      <c r="K347" s="106" t="s">
        <v>986</v>
      </c>
      <c r="L347" s="113"/>
    </row>
    <row r="348" spans="1:12" s="54" customFormat="1">
      <c r="A348" s="559" t="s">
        <v>1282</v>
      </c>
      <c r="B348" s="106" t="s">
        <v>690</v>
      </c>
      <c r="C348" s="106" t="s">
        <v>496</v>
      </c>
      <c r="D348" s="106" t="s">
        <v>625</v>
      </c>
      <c r="E348" s="106" t="s">
        <v>985</v>
      </c>
      <c r="F348" s="106" t="s">
        <v>577</v>
      </c>
      <c r="G348" s="106"/>
      <c r="H348" s="106" t="s">
        <v>881</v>
      </c>
      <c r="I348" s="106" t="s">
        <v>659</v>
      </c>
      <c r="J348" s="106" t="s">
        <v>660</v>
      </c>
      <c r="K348" s="106" t="s">
        <v>986</v>
      </c>
      <c r="L348" s="113"/>
    </row>
    <row r="349" spans="1:12" s="54" customFormat="1">
      <c r="A349" s="559" t="s">
        <v>1283</v>
      </c>
      <c r="B349" s="559" t="s">
        <v>781</v>
      </c>
      <c r="C349" s="106" t="s">
        <v>496</v>
      </c>
      <c r="D349" s="106" t="s">
        <v>625</v>
      </c>
      <c r="E349" s="106" t="s">
        <v>985</v>
      </c>
      <c r="F349" s="106" t="s">
        <v>577</v>
      </c>
      <c r="G349" s="106"/>
      <c r="H349" s="106" t="s">
        <v>881</v>
      </c>
      <c r="I349" s="106" t="s">
        <v>659</v>
      </c>
      <c r="J349" s="106" t="s">
        <v>660</v>
      </c>
      <c r="K349" s="106" t="s">
        <v>986</v>
      </c>
      <c r="L349" s="113"/>
    </row>
    <row r="350" spans="1:12" s="54" customFormat="1">
      <c r="A350" s="559" t="s">
        <v>1284</v>
      </c>
      <c r="B350" s="559" t="s">
        <v>783</v>
      </c>
      <c r="C350" s="106" t="s">
        <v>496</v>
      </c>
      <c r="D350" s="106" t="s">
        <v>625</v>
      </c>
      <c r="E350" s="106" t="s">
        <v>985</v>
      </c>
      <c r="F350" s="106" t="s">
        <v>577</v>
      </c>
      <c r="G350" s="106"/>
      <c r="H350" s="106" t="s">
        <v>881</v>
      </c>
      <c r="I350" s="106" t="s">
        <v>659</v>
      </c>
      <c r="J350" s="106" t="s">
        <v>660</v>
      </c>
      <c r="K350" s="106" t="s">
        <v>986</v>
      </c>
      <c r="L350" s="113"/>
    </row>
    <row r="351" spans="1:12" s="54" customFormat="1">
      <c r="A351" s="559" t="s">
        <v>1285</v>
      </c>
      <c r="B351" s="559" t="s">
        <v>989</v>
      </c>
      <c r="C351" s="106" t="s">
        <v>496</v>
      </c>
      <c r="D351" s="106" t="s">
        <v>625</v>
      </c>
      <c r="E351" s="106" t="s">
        <v>985</v>
      </c>
      <c r="F351" s="106" t="s">
        <v>577</v>
      </c>
      <c r="G351" s="106"/>
      <c r="H351" s="106" t="s">
        <v>881</v>
      </c>
      <c r="I351" s="106" t="s">
        <v>659</v>
      </c>
      <c r="J351" s="106" t="s">
        <v>660</v>
      </c>
      <c r="K351" s="106" t="s">
        <v>986</v>
      </c>
      <c r="L351" s="113"/>
    </row>
    <row r="352" spans="1:12" s="54" customFormat="1">
      <c r="A352" s="559" t="s">
        <v>1286</v>
      </c>
      <c r="B352" s="559" t="s">
        <v>988</v>
      </c>
      <c r="C352" s="106" t="s">
        <v>496</v>
      </c>
      <c r="D352" s="106" t="s">
        <v>625</v>
      </c>
      <c r="E352" s="106" t="s">
        <v>985</v>
      </c>
      <c r="F352" s="106" t="s">
        <v>577</v>
      </c>
      <c r="G352" s="106"/>
      <c r="H352" s="106" t="s">
        <v>881</v>
      </c>
      <c r="I352" s="106" t="s">
        <v>659</v>
      </c>
      <c r="J352" s="106" t="s">
        <v>660</v>
      </c>
      <c r="K352" s="106" t="s">
        <v>986</v>
      </c>
      <c r="L352" s="113"/>
    </row>
    <row r="353" spans="1:12" s="54" customFormat="1">
      <c r="A353" s="559" t="s">
        <v>1287</v>
      </c>
      <c r="B353" s="106" t="s">
        <v>781</v>
      </c>
      <c r="C353" s="106" t="s">
        <v>608</v>
      </c>
      <c r="D353" s="106" t="s">
        <v>625</v>
      </c>
      <c r="E353" s="106" t="s">
        <v>985</v>
      </c>
      <c r="F353" s="106" t="s">
        <v>577</v>
      </c>
      <c r="G353" s="106"/>
      <c r="H353" s="106" t="s">
        <v>881</v>
      </c>
      <c r="I353" s="106" t="s">
        <v>659</v>
      </c>
      <c r="J353" s="106" t="s">
        <v>660</v>
      </c>
      <c r="K353" s="106" t="s">
        <v>986</v>
      </c>
      <c r="L353" s="113"/>
    </row>
    <row r="354" spans="1:12" s="54" customFormat="1">
      <c r="A354" s="559" t="s">
        <v>1288</v>
      </c>
      <c r="B354" s="559" t="s">
        <v>783</v>
      </c>
      <c r="C354" s="106" t="s">
        <v>608</v>
      </c>
      <c r="D354" s="106" t="s">
        <v>625</v>
      </c>
      <c r="E354" s="106" t="s">
        <v>985</v>
      </c>
      <c r="F354" s="106" t="s">
        <v>577</v>
      </c>
      <c r="G354" s="106"/>
      <c r="H354" s="106" t="s">
        <v>881</v>
      </c>
      <c r="I354" s="106" t="s">
        <v>659</v>
      </c>
      <c r="J354" s="106" t="s">
        <v>660</v>
      </c>
      <c r="K354" s="106" t="s">
        <v>986</v>
      </c>
      <c r="L354" s="113"/>
    </row>
    <row r="355" spans="1:12" s="54" customFormat="1">
      <c r="A355" s="559" t="s">
        <v>1289</v>
      </c>
      <c r="B355" s="559" t="s">
        <v>989</v>
      </c>
      <c r="C355" s="106" t="s">
        <v>608</v>
      </c>
      <c r="D355" s="106" t="s">
        <v>625</v>
      </c>
      <c r="E355" s="106" t="s">
        <v>985</v>
      </c>
      <c r="F355" s="106" t="s">
        <v>577</v>
      </c>
      <c r="G355" s="106"/>
      <c r="H355" s="106" t="s">
        <v>881</v>
      </c>
      <c r="I355" s="106" t="s">
        <v>659</v>
      </c>
      <c r="J355" s="106" t="s">
        <v>660</v>
      </c>
      <c r="K355" s="106" t="s">
        <v>986</v>
      </c>
      <c r="L355" s="113"/>
    </row>
    <row r="356" spans="1:12" s="54" customFormat="1">
      <c r="A356" s="559" t="s">
        <v>1290</v>
      </c>
      <c r="B356" s="559" t="s">
        <v>988</v>
      </c>
      <c r="C356" s="106" t="s">
        <v>608</v>
      </c>
      <c r="D356" s="106" t="s">
        <v>625</v>
      </c>
      <c r="E356" s="106" t="s">
        <v>985</v>
      </c>
      <c r="F356" s="106" t="s">
        <v>577</v>
      </c>
      <c r="G356" s="106"/>
      <c r="H356" s="106" t="s">
        <v>881</v>
      </c>
      <c r="I356" s="106" t="s">
        <v>659</v>
      </c>
      <c r="J356" s="106" t="s">
        <v>660</v>
      </c>
      <c r="K356" s="106" t="s">
        <v>986</v>
      </c>
      <c r="L356" s="113"/>
    </row>
    <row r="357" spans="1:12" s="54" customFormat="1">
      <c r="A357" s="559" t="s">
        <v>1291</v>
      </c>
      <c r="B357" s="559" t="s">
        <v>990</v>
      </c>
      <c r="C357" s="106" t="s">
        <v>608</v>
      </c>
      <c r="D357" s="106" t="s">
        <v>625</v>
      </c>
      <c r="E357" s="106" t="s">
        <v>985</v>
      </c>
      <c r="F357" s="106" t="s">
        <v>577</v>
      </c>
      <c r="G357" s="106"/>
      <c r="H357" s="106" t="s">
        <v>881</v>
      </c>
      <c r="I357" s="106" t="s">
        <v>659</v>
      </c>
      <c r="J357" s="106" t="s">
        <v>660</v>
      </c>
      <c r="K357" s="106" t="s">
        <v>986</v>
      </c>
      <c r="L357" s="113"/>
    </row>
    <row r="358" spans="1:12" s="54" customFormat="1">
      <c r="A358" s="559" t="s">
        <v>1292</v>
      </c>
      <c r="B358" s="106" t="s">
        <v>783</v>
      </c>
      <c r="C358" s="106" t="s">
        <v>611</v>
      </c>
      <c r="D358" s="106" t="s">
        <v>625</v>
      </c>
      <c r="E358" s="106" t="s">
        <v>985</v>
      </c>
      <c r="F358" s="106" t="s">
        <v>577</v>
      </c>
      <c r="G358" s="106"/>
      <c r="H358" s="106" t="s">
        <v>881</v>
      </c>
      <c r="I358" s="106" t="s">
        <v>659</v>
      </c>
      <c r="J358" s="106" t="s">
        <v>660</v>
      </c>
      <c r="K358" s="106" t="s">
        <v>986</v>
      </c>
      <c r="L358" s="113"/>
    </row>
    <row r="359" spans="1:12" s="54" customFormat="1">
      <c r="A359" s="559" t="s">
        <v>1293</v>
      </c>
      <c r="B359" s="559" t="s">
        <v>989</v>
      </c>
      <c r="C359" s="106" t="s">
        <v>611</v>
      </c>
      <c r="D359" s="106" t="s">
        <v>625</v>
      </c>
      <c r="E359" s="106" t="s">
        <v>985</v>
      </c>
      <c r="F359" s="106" t="s">
        <v>577</v>
      </c>
      <c r="G359" s="106"/>
      <c r="H359" s="106" t="s">
        <v>881</v>
      </c>
      <c r="I359" s="106" t="s">
        <v>659</v>
      </c>
      <c r="J359" s="106" t="s">
        <v>660</v>
      </c>
      <c r="K359" s="106" t="s">
        <v>986</v>
      </c>
      <c r="L359" s="113"/>
    </row>
    <row r="360" spans="1:12" s="54" customFormat="1">
      <c r="A360" s="559" t="s">
        <v>1294</v>
      </c>
      <c r="B360" s="559" t="s">
        <v>988</v>
      </c>
      <c r="C360" s="106" t="s">
        <v>611</v>
      </c>
      <c r="D360" s="106" t="s">
        <v>625</v>
      </c>
      <c r="E360" s="106" t="s">
        <v>985</v>
      </c>
      <c r="F360" s="106" t="s">
        <v>577</v>
      </c>
      <c r="G360" s="106"/>
      <c r="H360" s="106" t="s">
        <v>881</v>
      </c>
      <c r="I360" s="106" t="s">
        <v>659</v>
      </c>
      <c r="J360" s="106" t="s">
        <v>660</v>
      </c>
      <c r="K360" s="106" t="s">
        <v>986</v>
      </c>
      <c r="L360" s="113"/>
    </row>
    <row r="361" spans="1:12" s="54" customFormat="1">
      <c r="A361" s="559" t="s">
        <v>1295</v>
      </c>
      <c r="B361" s="559" t="s">
        <v>990</v>
      </c>
      <c r="C361" s="106" t="s">
        <v>611</v>
      </c>
      <c r="D361" s="106" t="s">
        <v>625</v>
      </c>
      <c r="E361" s="106" t="s">
        <v>985</v>
      </c>
      <c r="F361" s="106" t="s">
        <v>577</v>
      </c>
      <c r="G361" s="106"/>
      <c r="H361" s="106" t="s">
        <v>881</v>
      </c>
      <c r="I361" s="106" t="s">
        <v>659</v>
      </c>
      <c r="J361" s="106" t="s">
        <v>660</v>
      </c>
      <c r="K361" s="106" t="s">
        <v>986</v>
      </c>
      <c r="L361" s="113"/>
    </row>
    <row r="362" spans="1:12" s="54" customFormat="1">
      <c r="A362" s="559" t="s">
        <v>1296</v>
      </c>
      <c r="B362" s="559" t="s">
        <v>991</v>
      </c>
      <c r="C362" s="106" t="s">
        <v>611</v>
      </c>
      <c r="D362" s="106" t="s">
        <v>625</v>
      </c>
      <c r="E362" s="106" t="s">
        <v>985</v>
      </c>
      <c r="F362" s="106" t="s">
        <v>577</v>
      </c>
      <c r="G362" s="106"/>
      <c r="H362" s="106" t="s">
        <v>881</v>
      </c>
      <c r="I362" s="106" t="s">
        <v>659</v>
      </c>
      <c r="J362" s="106" t="s">
        <v>660</v>
      </c>
      <c r="K362" s="106" t="s">
        <v>986</v>
      </c>
      <c r="L362" s="113"/>
    </row>
    <row r="363" spans="1:12" s="54" customFormat="1">
      <c r="A363" s="559" t="s">
        <v>1297</v>
      </c>
      <c r="B363" s="106" t="s">
        <v>989</v>
      </c>
      <c r="C363" s="106" t="s">
        <v>795</v>
      </c>
      <c r="D363" s="106" t="s">
        <v>625</v>
      </c>
      <c r="E363" s="106" t="s">
        <v>985</v>
      </c>
      <c r="F363" s="106" t="s">
        <v>577</v>
      </c>
      <c r="G363" s="106"/>
      <c r="H363" s="106" t="s">
        <v>881</v>
      </c>
      <c r="I363" s="106" t="s">
        <v>659</v>
      </c>
      <c r="J363" s="106" t="s">
        <v>660</v>
      </c>
      <c r="K363" s="106" t="s">
        <v>986</v>
      </c>
      <c r="L363" s="113"/>
    </row>
    <row r="364" spans="1:12" s="54" customFormat="1">
      <c r="A364" s="559" t="s">
        <v>1298</v>
      </c>
      <c r="B364" s="559" t="s">
        <v>988</v>
      </c>
      <c r="C364" s="106" t="s">
        <v>795</v>
      </c>
      <c r="D364" s="106" t="s">
        <v>625</v>
      </c>
      <c r="E364" s="106" t="s">
        <v>985</v>
      </c>
      <c r="F364" s="106" t="s">
        <v>577</v>
      </c>
      <c r="G364" s="106"/>
      <c r="H364" s="106" t="s">
        <v>881</v>
      </c>
      <c r="I364" s="106" t="s">
        <v>659</v>
      </c>
      <c r="J364" s="106" t="s">
        <v>660</v>
      </c>
      <c r="K364" s="106" t="s">
        <v>986</v>
      </c>
      <c r="L364" s="113"/>
    </row>
    <row r="365" spans="1:12" s="54" customFormat="1">
      <c r="A365" s="559" t="s">
        <v>1299</v>
      </c>
      <c r="B365" s="559" t="s">
        <v>990</v>
      </c>
      <c r="C365" s="106" t="s">
        <v>795</v>
      </c>
      <c r="D365" s="106" t="s">
        <v>625</v>
      </c>
      <c r="E365" s="106" t="s">
        <v>985</v>
      </c>
      <c r="F365" s="106" t="s">
        <v>577</v>
      </c>
      <c r="G365" s="106"/>
      <c r="H365" s="106" t="s">
        <v>881</v>
      </c>
      <c r="I365" s="106" t="s">
        <v>659</v>
      </c>
      <c r="J365" s="106" t="s">
        <v>660</v>
      </c>
      <c r="K365" s="106" t="s">
        <v>986</v>
      </c>
      <c r="L365" s="113"/>
    </row>
    <row r="366" spans="1:12" s="54" customFormat="1">
      <c r="A366" s="559" t="s">
        <v>1300</v>
      </c>
      <c r="B366" s="559" t="s">
        <v>991</v>
      </c>
      <c r="C366" s="106" t="s">
        <v>795</v>
      </c>
      <c r="D366" s="106" t="s">
        <v>625</v>
      </c>
      <c r="E366" s="106" t="s">
        <v>985</v>
      </c>
      <c r="F366" s="106" t="s">
        <v>577</v>
      </c>
      <c r="G366" s="106"/>
      <c r="H366" s="106" t="s">
        <v>881</v>
      </c>
      <c r="I366" s="106" t="s">
        <v>659</v>
      </c>
      <c r="J366" s="106" t="s">
        <v>660</v>
      </c>
      <c r="K366" s="106" t="s">
        <v>986</v>
      </c>
      <c r="L366" s="113"/>
    </row>
    <row r="367" spans="1:12" s="54" customFormat="1">
      <c r="A367" s="559" t="s">
        <v>1301</v>
      </c>
      <c r="B367" s="106" t="s">
        <v>664</v>
      </c>
      <c r="C367" s="106" t="s">
        <v>624</v>
      </c>
      <c r="D367" s="106" t="s">
        <v>625</v>
      </c>
      <c r="E367" s="106" t="s">
        <v>985</v>
      </c>
      <c r="F367" s="106" t="s">
        <v>579</v>
      </c>
      <c r="G367" s="106" t="s">
        <v>707</v>
      </c>
      <c r="H367" s="559" t="s">
        <v>1317</v>
      </c>
      <c r="I367" s="106" t="s">
        <v>659</v>
      </c>
      <c r="J367" s="106" t="s">
        <v>660</v>
      </c>
      <c r="K367" s="106" t="s">
        <v>986</v>
      </c>
      <c r="L367" s="113"/>
    </row>
    <row r="368" spans="1:12" s="54" customFormat="1">
      <c r="A368" s="559" t="s">
        <v>1302</v>
      </c>
      <c r="B368" s="106" t="s">
        <v>667</v>
      </c>
      <c r="C368" s="106" t="s">
        <v>624</v>
      </c>
      <c r="D368" s="106" t="s">
        <v>625</v>
      </c>
      <c r="E368" s="106" t="s">
        <v>985</v>
      </c>
      <c r="F368" s="106" t="s">
        <v>579</v>
      </c>
      <c r="G368" s="106" t="s">
        <v>707</v>
      </c>
      <c r="H368" s="559" t="s">
        <v>1317</v>
      </c>
      <c r="I368" s="106" t="s">
        <v>659</v>
      </c>
      <c r="J368" s="106" t="s">
        <v>660</v>
      </c>
      <c r="K368" s="106" t="s">
        <v>986</v>
      </c>
      <c r="L368" s="113"/>
    </row>
    <row r="369" spans="1:12" s="54" customFormat="1">
      <c r="A369" s="559" t="s">
        <v>1303</v>
      </c>
      <c r="B369" s="106" t="s">
        <v>496</v>
      </c>
      <c r="C369" s="106" t="s">
        <v>624</v>
      </c>
      <c r="D369" s="106" t="s">
        <v>625</v>
      </c>
      <c r="E369" s="106" t="s">
        <v>985</v>
      </c>
      <c r="F369" s="106" t="s">
        <v>579</v>
      </c>
      <c r="G369" s="106" t="s">
        <v>707</v>
      </c>
      <c r="H369" s="559" t="s">
        <v>1317</v>
      </c>
      <c r="I369" s="106" t="s">
        <v>659</v>
      </c>
      <c r="J369" s="106" t="s">
        <v>660</v>
      </c>
      <c r="K369" s="106" t="s">
        <v>986</v>
      </c>
      <c r="L369" s="113"/>
    </row>
    <row r="370" spans="1:12" s="54" customFormat="1">
      <c r="A370" s="559" t="s">
        <v>1304</v>
      </c>
      <c r="B370" s="559" t="s">
        <v>676</v>
      </c>
      <c r="C370" s="106" t="s">
        <v>624</v>
      </c>
      <c r="D370" s="106" t="s">
        <v>625</v>
      </c>
      <c r="E370" s="106" t="s">
        <v>985</v>
      </c>
      <c r="F370" s="106" t="s">
        <v>579</v>
      </c>
      <c r="G370" s="106" t="s">
        <v>707</v>
      </c>
      <c r="H370" s="559" t="s">
        <v>1317</v>
      </c>
      <c r="I370" s="106" t="s">
        <v>659</v>
      </c>
      <c r="J370" s="106" t="s">
        <v>660</v>
      </c>
      <c r="K370" s="106" t="s">
        <v>986</v>
      </c>
      <c r="L370" s="113"/>
    </row>
    <row r="371" spans="1:12" s="54" customFormat="1">
      <c r="A371" s="559" t="s">
        <v>1305</v>
      </c>
      <c r="B371" s="106" t="s">
        <v>632</v>
      </c>
      <c r="C371" s="106" t="s">
        <v>624</v>
      </c>
      <c r="D371" s="106" t="s">
        <v>625</v>
      </c>
      <c r="E371" s="106" t="s">
        <v>985</v>
      </c>
      <c r="F371" s="106" t="s">
        <v>579</v>
      </c>
      <c r="G371" s="106" t="s">
        <v>707</v>
      </c>
      <c r="H371" s="559" t="s">
        <v>1317</v>
      </c>
      <c r="I371" s="106" t="s">
        <v>659</v>
      </c>
      <c r="J371" s="106" t="s">
        <v>660</v>
      </c>
      <c r="K371" s="106" t="s">
        <v>986</v>
      </c>
      <c r="L371" s="113"/>
    </row>
    <row r="372" spans="1:12" s="54" customFormat="1">
      <c r="A372" s="559" t="s">
        <v>1306</v>
      </c>
      <c r="B372" s="106" t="s">
        <v>500</v>
      </c>
      <c r="C372" s="106" t="s">
        <v>624</v>
      </c>
      <c r="D372" s="106" t="s">
        <v>625</v>
      </c>
      <c r="E372" s="106" t="s">
        <v>985</v>
      </c>
      <c r="F372" s="106" t="s">
        <v>579</v>
      </c>
      <c r="G372" s="106" t="s">
        <v>707</v>
      </c>
      <c r="H372" s="559" t="s">
        <v>1317</v>
      </c>
      <c r="I372" s="106" t="s">
        <v>659</v>
      </c>
      <c r="J372" s="106" t="s">
        <v>660</v>
      </c>
      <c r="K372" s="106" t="s">
        <v>986</v>
      </c>
      <c r="L372" s="113"/>
    </row>
    <row r="373" spans="1:12" s="54" customFormat="1">
      <c r="A373" s="559" t="s">
        <v>1307</v>
      </c>
      <c r="B373" s="559" t="s">
        <v>687</v>
      </c>
      <c r="C373" s="106" t="s">
        <v>624</v>
      </c>
      <c r="D373" s="106" t="s">
        <v>625</v>
      </c>
      <c r="E373" s="106" t="s">
        <v>985</v>
      </c>
      <c r="F373" s="106" t="s">
        <v>579</v>
      </c>
      <c r="G373" s="106" t="s">
        <v>707</v>
      </c>
      <c r="H373" s="559" t="s">
        <v>1317</v>
      </c>
      <c r="I373" s="106" t="s">
        <v>659</v>
      </c>
      <c r="J373" s="106" t="s">
        <v>660</v>
      </c>
      <c r="K373" s="106" t="s">
        <v>986</v>
      </c>
      <c r="L373" s="113"/>
    </row>
    <row r="374" spans="1:12" s="54" customFormat="1">
      <c r="A374" s="559" t="s">
        <v>1308</v>
      </c>
      <c r="B374" s="106" t="s">
        <v>690</v>
      </c>
      <c r="C374" s="106" t="s">
        <v>624</v>
      </c>
      <c r="D374" s="106" t="s">
        <v>625</v>
      </c>
      <c r="E374" s="106" t="s">
        <v>985</v>
      </c>
      <c r="F374" s="106" t="s">
        <v>579</v>
      </c>
      <c r="G374" s="106" t="s">
        <v>707</v>
      </c>
      <c r="H374" s="559" t="s">
        <v>1317</v>
      </c>
      <c r="I374" s="106" t="s">
        <v>659</v>
      </c>
      <c r="J374" s="106" t="s">
        <v>660</v>
      </c>
      <c r="K374" s="106" t="s">
        <v>986</v>
      </c>
      <c r="L374" s="113"/>
    </row>
    <row r="375" spans="1:12" s="54" customFormat="1">
      <c r="A375" s="559" t="s">
        <v>1309</v>
      </c>
      <c r="B375" s="559" t="s">
        <v>687</v>
      </c>
      <c r="C375" s="106" t="s">
        <v>635</v>
      </c>
      <c r="D375" s="106" t="s">
        <v>625</v>
      </c>
      <c r="E375" s="106" t="s">
        <v>985</v>
      </c>
      <c r="F375" s="106" t="s">
        <v>579</v>
      </c>
      <c r="G375" s="106" t="s">
        <v>707</v>
      </c>
      <c r="H375" s="559" t="s">
        <v>1317</v>
      </c>
      <c r="I375" s="106" t="s">
        <v>659</v>
      </c>
      <c r="J375" s="106" t="s">
        <v>660</v>
      </c>
      <c r="K375" s="106" t="s">
        <v>986</v>
      </c>
      <c r="L375" s="113"/>
    </row>
    <row r="376" spans="1:12" s="54" customFormat="1">
      <c r="A376" s="559" t="s">
        <v>1310</v>
      </c>
      <c r="B376" s="559" t="s">
        <v>690</v>
      </c>
      <c r="C376" s="106" t="s">
        <v>635</v>
      </c>
      <c r="D376" s="106" t="s">
        <v>625</v>
      </c>
      <c r="E376" s="106" t="s">
        <v>985</v>
      </c>
      <c r="F376" s="106" t="s">
        <v>579</v>
      </c>
      <c r="G376" s="106" t="s">
        <v>707</v>
      </c>
      <c r="H376" s="559" t="s">
        <v>1317</v>
      </c>
      <c r="I376" s="106" t="s">
        <v>659</v>
      </c>
      <c r="J376" s="106" t="s">
        <v>660</v>
      </c>
      <c r="K376" s="106" t="s">
        <v>986</v>
      </c>
      <c r="L376" s="113"/>
    </row>
    <row r="377" spans="1:12" s="54" customFormat="1">
      <c r="A377" s="559" t="s">
        <v>1311</v>
      </c>
      <c r="B377" s="559" t="s">
        <v>781</v>
      </c>
      <c r="C377" s="106" t="s">
        <v>635</v>
      </c>
      <c r="D377" s="106" t="s">
        <v>625</v>
      </c>
      <c r="E377" s="106" t="s">
        <v>985</v>
      </c>
      <c r="F377" s="106" t="s">
        <v>579</v>
      </c>
      <c r="G377" s="106" t="s">
        <v>707</v>
      </c>
      <c r="H377" s="559" t="s">
        <v>1317</v>
      </c>
      <c r="I377" s="106" t="s">
        <v>659</v>
      </c>
      <c r="J377" s="106" t="s">
        <v>660</v>
      </c>
      <c r="K377" s="106" t="s">
        <v>986</v>
      </c>
      <c r="L377" s="113"/>
    </row>
    <row r="378" spans="1:12" s="54" customFormat="1">
      <c r="A378" s="559" t="s">
        <v>1312</v>
      </c>
      <c r="B378" s="106" t="s">
        <v>690</v>
      </c>
      <c r="C378" s="106" t="s">
        <v>496</v>
      </c>
      <c r="D378" s="106" t="s">
        <v>625</v>
      </c>
      <c r="E378" s="106" t="s">
        <v>985</v>
      </c>
      <c r="F378" s="106" t="s">
        <v>579</v>
      </c>
      <c r="G378" s="106" t="s">
        <v>707</v>
      </c>
      <c r="H378" s="559" t="s">
        <v>1317</v>
      </c>
      <c r="I378" s="106" t="s">
        <v>659</v>
      </c>
      <c r="J378" s="106" t="s">
        <v>660</v>
      </c>
      <c r="K378" s="106" t="s">
        <v>986</v>
      </c>
      <c r="L378" s="113"/>
    </row>
    <row r="379" spans="1:12" s="54" customFormat="1">
      <c r="A379" s="559" t="s">
        <v>1313</v>
      </c>
      <c r="B379" s="106" t="s">
        <v>781</v>
      </c>
      <c r="C379" s="106" t="s">
        <v>496</v>
      </c>
      <c r="D379" s="106" t="s">
        <v>625</v>
      </c>
      <c r="E379" s="106" t="s">
        <v>985</v>
      </c>
      <c r="F379" s="106" t="s">
        <v>579</v>
      </c>
      <c r="G379" s="106" t="s">
        <v>707</v>
      </c>
      <c r="H379" s="559" t="s">
        <v>1317</v>
      </c>
      <c r="I379" s="106" t="s">
        <v>659</v>
      </c>
      <c r="J379" s="106" t="s">
        <v>660</v>
      </c>
      <c r="K379" s="106" t="s">
        <v>986</v>
      </c>
      <c r="L379" s="113"/>
    </row>
    <row r="380" spans="1:12" s="54" customFormat="1">
      <c r="A380" s="559" t="s">
        <v>1314</v>
      </c>
      <c r="B380" s="106" t="s">
        <v>783</v>
      </c>
      <c r="C380" s="106" t="s">
        <v>496</v>
      </c>
      <c r="D380" s="106" t="s">
        <v>625</v>
      </c>
      <c r="E380" s="106" t="s">
        <v>985</v>
      </c>
      <c r="F380" s="106" t="s">
        <v>579</v>
      </c>
      <c r="G380" s="106" t="s">
        <v>707</v>
      </c>
      <c r="H380" s="559" t="s">
        <v>1317</v>
      </c>
      <c r="I380" s="106" t="s">
        <v>659</v>
      </c>
      <c r="J380" s="106" t="s">
        <v>660</v>
      </c>
      <c r="K380" s="106" t="s">
        <v>986</v>
      </c>
      <c r="L380" s="113"/>
    </row>
    <row r="381" spans="1:12" s="54" customFormat="1">
      <c r="A381" s="559" t="s">
        <v>1315</v>
      </c>
      <c r="B381" s="106" t="s">
        <v>781</v>
      </c>
      <c r="C381" s="106" t="s">
        <v>608</v>
      </c>
      <c r="D381" s="106" t="s">
        <v>625</v>
      </c>
      <c r="E381" s="106" t="s">
        <v>985</v>
      </c>
      <c r="F381" s="106" t="s">
        <v>579</v>
      </c>
      <c r="G381" s="106" t="s">
        <v>707</v>
      </c>
      <c r="H381" s="559" t="s">
        <v>1317</v>
      </c>
      <c r="I381" s="106" t="s">
        <v>659</v>
      </c>
      <c r="J381" s="106" t="s">
        <v>660</v>
      </c>
      <c r="K381" s="106" t="s">
        <v>986</v>
      </c>
      <c r="L381" s="113"/>
    </row>
    <row r="382" spans="1:12" s="54" customFormat="1">
      <c r="A382" s="559" t="s">
        <v>1316</v>
      </c>
      <c r="B382" s="559" t="s">
        <v>783</v>
      </c>
      <c r="C382" s="106" t="s">
        <v>608</v>
      </c>
      <c r="D382" s="106" t="s">
        <v>625</v>
      </c>
      <c r="E382" s="106" t="s">
        <v>985</v>
      </c>
      <c r="F382" s="106" t="s">
        <v>579</v>
      </c>
      <c r="G382" s="106" t="s">
        <v>707</v>
      </c>
      <c r="H382" s="559" t="s">
        <v>1317</v>
      </c>
      <c r="I382" s="106" t="s">
        <v>659</v>
      </c>
      <c r="J382" s="106" t="s">
        <v>660</v>
      </c>
      <c r="K382" s="106" t="s">
        <v>986</v>
      </c>
      <c r="L382" s="113"/>
    </row>
    <row r="383" spans="1:12" s="54" customFormat="1">
      <c r="A383" s="106" t="s">
        <v>992</v>
      </c>
      <c r="B383" s="106" t="s">
        <v>989</v>
      </c>
      <c r="C383" s="106" t="s">
        <v>608</v>
      </c>
      <c r="D383" s="106" t="s">
        <v>625</v>
      </c>
      <c r="E383" s="106" t="s">
        <v>985</v>
      </c>
      <c r="F383" s="106" t="s">
        <v>579</v>
      </c>
      <c r="G383" s="106" t="s">
        <v>707</v>
      </c>
      <c r="H383" s="559" t="s">
        <v>1317</v>
      </c>
      <c r="I383" s="106" t="s">
        <v>659</v>
      </c>
      <c r="J383" s="106" t="s">
        <v>660</v>
      </c>
      <c r="K383" s="106" t="s">
        <v>986</v>
      </c>
      <c r="L383" s="113"/>
    </row>
    <row r="384" spans="1:12" s="54" customFormat="1">
      <c r="A384" s="106" t="s">
        <v>993</v>
      </c>
      <c r="B384" s="106" t="s">
        <v>781</v>
      </c>
      <c r="C384" s="106" t="s">
        <v>611</v>
      </c>
      <c r="D384" s="106" t="s">
        <v>625</v>
      </c>
      <c r="E384" s="106" t="s">
        <v>985</v>
      </c>
      <c r="F384" s="106" t="s">
        <v>579</v>
      </c>
      <c r="G384" s="106" t="s">
        <v>707</v>
      </c>
      <c r="H384" s="559" t="s">
        <v>1317</v>
      </c>
      <c r="I384" s="106" t="s">
        <v>659</v>
      </c>
      <c r="J384" s="106" t="s">
        <v>660</v>
      </c>
      <c r="K384" s="106" t="s">
        <v>986</v>
      </c>
      <c r="L384" s="113"/>
    </row>
    <row r="385" spans="1:12" s="54" customFormat="1">
      <c r="A385" s="106" t="s">
        <v>994</v>
      </c>
      <c r="B385" s="106" t="s">
        <v>783</v>
      </c>
      <c r="C385" s="106" t="s">
        <v>611</v>
      </c>
      <c r="D385" s="106" t="s">
        <v>625</v>
      </c>
      <c r="E385" s="106" t="s">
        <v>985</v>
      </c>
      <c r="F385" s="106" t="s">
        <v>579</v>
      </c>
      <c r="G385" s="106" t="s">
        <v>707</v>
      </c>
      <c r="H385" s="559" t="s">
        <v>1317</v>
      </c>
      <c r="I385" s="106" t="s">
        <v>659</v>
      </c>
      <c r="J385" s="106" t="s">
        <v>660</v>
      </c>
      <c r="K385" s="106" t="s">
        <v>986</v>
      </c>
      <c r="L385" s="113"/>
    </row>
    <row r="386" spans="1:12" s="54" customFormat="1">
      <c r="A386" s="106" t="s">
        <v>995</v>
      </c>
      <c r="B386" s="106" t="s">
        <v>988</v>
      </c>
      <c r="C386" s="106" t="s">
        <v>611</v>
      </c>
      <c r="D386" s="106" t="s">
        <v>625</v>
      </c>
      <c r="E386" s="106" t="s">
        <v>985</v>
      </c>
      <c r="F386" s="106" t="s">
        <v>579</v>
      </c>
      <c r="G386" s="106" t="s">
        <v>707</v>
      </c>
      <c r="H386" s="559" t="s">
        <v>1317</v>
      </c>
      <c r="I386" s="106" t="s">
        <v>659</v>
      </c>
      <c r="J386" s="106" t="s">
        <v>660</v>
      </c>
      <c r="K386" s="106" t="s">
        <v>986</v>
      </c>
      <c r="L386" s="113"/>
    </row>
    <row r="387" spans="1:12" s="54" customFormat="1">
      <c r="A387" s="106" t="s">
        <v>996</v>
      </c>
      <c r="B387" s="106" t="s">
        <v>783</v>
      </c>
      <c r="C387" s="106" t="s">
        <v>795</v>
      </c>
      <c r="D387" s="106" t="s">
        <v>625</v>
      </c>
      <c r="E387" s="106" t="s">
        <v>985</v>
      </c>
      <c r="F387" s="106" t="s">
        <v>579</v>
      </c>
      <c r="G387" s="106" t="s">
        <v>707</v>
      </c>
      <c r="H387" s="559" t="s">
        <v>1317</v>
      </c>
      <c r="I387" s="106" t="s">
        <v>659</v>
      </c>
      <c r="J387" s="106" t="s">
        <v>660</v>
      </c>
      <c r="K387" s="106" t="s">
        <v>986</v>
      </c>
      <c r="L387" s="113"/>
    </row>
    <row r="388" spans="1:12" s="54" customFormat="1">
      <c r="A388" s="106" t="s">
        <v>997</v>
      </c>
      <c r="B388" s="106" t="s">
        <v>989</v>
      </c>
      <c r="C388" s="106" t="s">
        <v>795</v>
      </c>
      <c r="D388" s="106" t="s">
        <v>625</v>
      </c>
      <c r="E388" s="106" t="s">
        <v>985</v>
      </c>
      <c r="F388" s="106" t="s">
        <v>579</v>
      </c>
      <c r="G388" s="106" t="s">
        <v>707</v>
      </c>
      <c r="H388" s="559" t="s">
        <v>1317</v>
      </c>
      <c r="I388" s="106" t="s">
        <v>659</v>
      </c>
      <c r="J388" s="106" t="s">
        <v>660</v>
      </c>
      <c r="K388" s="106" t="s">
        <v>986</v>
      </c>
      <c r="L388" s="113"/>
    </row>
    <row r="389" spans="1:12" s="54" customFormat="1">
      <c r="A389" s="106" t="s">
        <v>998</v>
      </c>
      <c r="B389" s="106" t="s">
        <v>990</v>
      </c>
      <c r="C389" s="106" t="s">
        <v>795</v>
      </c>
      <c r="D389" s="106" t="s">
        <v>625</v>
      </c>
      <c r="E389" s="106" t="s">
        <v>985</v>
      </c>
      <c r="F389" s="106" t="s">
        <v>579</v>
      </c>
      <c r="G389" s="106" t="s">
        <v>707</v>
      </c>
      <c r="H389" s="559" t="s">
        <v>1317</v>
      </c>
      <c r="I389" s="106" t="s">
        <v>659</v>
      </c>
      <c r="J389" s="106" t="s">
        <v>660</v>
      </c>
      <c r="K389" s="106" t="s">
        <v>986</v>
      </c>
      <c r="L389" s="113"/>
    </row>
    <row r="390" spans="1:12">
      <c r="A390" s="105"/>
      <c r="B390" s="105" t="s">
        <v>580</v>
      </c>
      <c r="C390" s="105" t="s">
        <v>580</v>
      </c>
      <c r="D390" s="115" t="s">
        <v>580</v>
      </c>
      <c r="E390" s="115"/>
      <c r="F390" s="115"/>
      <c r="G390" s="115"/>
      <c r="H390" s="115"/>
      <c r="I390" s="115"/>
      <c r="J390" s="115"/>
      <c r="K390" s="115"/>
      <c r="L390" s="114"/>
    </row>
    <row r="391" spans="1:12">
      <c r="A391" s="105"/>
      <c r="B391" s="105"/>
      <c r="C391" s="105"/>
      <c r="D391" s="115"/>
      <c r="E391" s="115"/>
      <c r="F391" s="115"/>
      <c r="G391" s="115"/>
      <c r="H391" s="115"/>
      <c r="I391" s="115"/>
      <c r="J391" s="115"/>
      <c r="K391" s="115"/>
      <c r="L391" s="114"/>
    </row>
    <row r="392" spans="1:12">
      <c r="A392" s="105"/>
      <c r="B392" s="105"/>
      <c r="C392" s="105"/>
      <c r="D392" s="115"/>
      <c r="E392" s="115"/>
      <c r="F392" s="115"/>
      <c r="G392" s="115"/>
      <c r="H392" s="115"/>
      <c r="I392" s="115"/>
      <c r="J392" s="115"/>
      <c r="K392" s="115"/>
      <c r="L392" s="114"/>
    </row>
    <row r="393" spans="1:12">
      <c r="A393" s="105"/>
      <c r="B393" s="105"/>
      <c r="C393" s="105"/>
      <c r="D393" s="115"/>
      <c r="E393" s="115"/>
      <c r="F393" s="115"/>
      <c r="G393" s="115"/>
      <c r="H393" s="115"/>
      <c r="I393" s="115"/>
      <c r="J393" s="115"/>
      <c r="K393" s="115"/>
      <c r="L393" s="114"/>
    </row>
    <row r="394" spans="1:12">
      <c r="A394" s="105"/>
      <c r="B394" s="105"/>
      <c r="C394" s="105"/>
      <c r="D394" s="115"/>
      <c r="E394" s="115"/>
      <c r="F394" s="115"/>
      <c r="G394" s="115"/>
      <c r="H394" s="115"/>
      <c r="I394" s="115"/>
      <c r="J394" s="115"/>
      <c r="K394" s="115"/>
      <c r="L394" s="114"/>
    </row>
    <row r="395" spans="1:12">
      <c r="A395" s="105"/>
      <c r="B395" s="105"/>
      <c r="C395" s="105"/>
      <c r="D395" s="115"/>
      <c r="E395" s="115"/>
      <c r="F395" s="115"/>
      <c r="G395" s="115"/>
      <c r="H395" s="115"/>
      <c r="I395" s="115"/>
      <c r="J395" s="115"/>
      <c r="K395" s="115"/>
      <c r="L395" s="114"/>
    </row>
    <row r="396" spans="1:12">
      <c r="A396" s="105"/>
      <c r="B396" s="105"/>
      <c r="C396" s="105"/>
      <c r="D396" s="115"/>
      <c r="E396" s="115"/>
      <c r="F396" s="115"/>
      <c r="G396" s="115"/>
      <c r="H396" s="115"/>
      <c r="I396" s="115"/>
      <c r="J396" s="115"/>
      <c r="K396" s="115"/>
      <c r="L396" s="114"/>
    </row>
    <row r="397" spans="1:12">
      <c r="A397" s="105"/>
      <c r="B397" s="105"/>
      <c r="C397" s="105"/>
      <c r="D397" s="115"/>
      <c r="E397" s="115"/>
      <c r="F397" s="115"/>
      <c r="G397" s="115"/>
      <c r="H397" s="115"/>
      <c r="I397" s="115"/>
      <c r="J397" s="115"/>
      <c r="K397" s="115"/>
      <c r="L397" s="114"/>
    </row>
    <row r="398" spans="1:12">
      <c r="A398" s="105"/>
      <c r="B398" s="105"/>
      <c r="C398" s="105"/>
      <c r="D398" s="115"/>
      <c r="E398" s="115"/>
      <c r="F398" s="115"/>
      <c r="G398" s="115"/>
      <c r="H398" s="115"/>
      <c r="I398" s="115"/>
      <c r="J398" s="115"/>
      <c r="K398" s="115"/>
      <c r="L398" s="114"/>
    </row>
    <row r="399" spans="1:12">
      <c r="A399" s="105"/>
      <c r="B399" s="105"/>
      <c r="C399" s="105"/>
      <c r="D399" s="115"/>
      <c r="E399" s="115"/>
      <c r="F399" s="115"/>
      <c r="G399" s="115"/>
      <c r="H399" s="115"/>
      <c r="I399" s="115"/>
      <c r="J399" s="115"/>
      <c r="K399" s="115"/>
      <c r="L399" s="114"/>
    </row>
    <row r="400" spans="1:12">
      <c r="A400" s="105"/>
      <c r="B400" s="105"/>
      <c r="C400" s="105"/>
      <c r="D400" s="115"/>
      <c r="E400" s="115"/>
      <c r="F400" s="115"/>
      <c r="G400" s="115"/>
      <c r="H400" s="115"/>
      <c r="I400" s="115"/>
      <c r="J400" s="115"/>
      <c r="K400" s="115"/>
      <c r="L400" s="114"/>
    </row>
    <row r="401" spans="1:12">
      <c r="A401" s="105"/>
      <c r="B401" s="105"/>
      <c r="C401" s="105"/>
      <c r="D401" s="115"/>
      <c r="E401" s="115"/>
      <c r="F401" s="115"/>
      <c r="G401" s="115"/>
      <c r="H401" s="115"/>
      <c r="I401" s="115"/>
      <c r="J401" s="115"/>
      <c r="K401" s="115"/>
      <c r="L401" s="114"/>
    </row>
    <row r="402" spans="1:12">
      <c r="A402" s="105"/>
      <c r="B402" s="105"/>
      <c r="C402" s="105"/>
      <c r="D402" s="115"/>
      <c r="E402" s="115"/>
      <c r="F402" s="115"/>
      <c r="G402" s="115"/>
      <c r="H402" s="115"/>
      <c r="I402" s="115"/>
      <c r="J402" s="115"/>
      <c r="K402" s="115"/>
      <c r="L402" s="114"/>
    </row>
    <row r="403" spans="1:12">
      <c r="A403" s="105"/>
      <c r="B403" s="105"/>
      <c r="C403" s="105"/>
      <c r="D403" s="105"/>
      <c r="E403" s="105"/>
      <c r="F403" s="105"/>
      <c r="G403" s="105"/>
      <c r="H403" s="105"/>
      <c r="I403" s="105"/>
      <c r="J403" s="105"/>
      <c r="K403" s="105"/>
      <c r="L403" s="114"/>
    </row>
    <row r="404" spans="1:12">
      <c r="A404" s="105"/>
      <c r="B404" s="105"/>
      <c r="C404" s="105"/>
      <c r="D404" s="105"/>
      <c r="E404" s="105"/>
      <c r="F404" s="105"/>
      <c r="G404" s="105"/>
      <c r="H404" s="105"/>
      <c r="I404" s="105"/>
      <c r="J404" s="105"/>
      <c r="K404" s="105"/>
      <c r="L404" s="114"/>
    </row>
    <row r="405" spans="1:12">
      <c r="A405" s="105"/>
      <c r="B405" s="105"/>
      <c r="C405" s="105"/>
      <c r="D405" s="105"/>
      <c r="E405" s="105"/>
      <c r="F405" s="105"/>
      <c r="G405" s="105"/>
      <c r="H405" s="105"/>
      <c r="I405" s="105"/>
      <c r="J405" s="105"/>
      <c r="K405" s="105"/>
      <c r="L405" s="114"/>
    </row>
    <row r="406" spans="1:12">
      <c r="A406" s="105"/>
      <c r="B406" s="105"/>
      <c r="C406" s="105"/>
      <c r="D406" s="105"/>
      <c r="E406" s="105"/>
      <c r="F406" s="105"/>
      <c r="G406" s="105"/>
      <c r="H406" s="105"/>
      <c r="I406" s="105"/>
      <c r="J406" s="105"/>
      <c r="K406" s="105"/>
      <c r="L406" s="114"/>
    </row>
    <row r="407" spans="1:12">
      <c r="A407" s="105"/>
      <c r="B407" s="105"/>
      <c r="C407" s="105"/>
      <c r="D407" s="105"/>
      <c r="E407" s="105"/>
      <c r="F407" s="105"/>
      <c r="G407" s="105"/>
      <c r="H407" s="105"/>
      <c r="I407" s="105"/>
      <c r="J407" s="105"/>
      <c r="K407" s="105"/>
      <c r="L407" s="114"/>
    </row>
    <row r="408" spans="1:12">
      <c r="A408" s="105"/>
      <c r="B408" s="105"/>
      <c r="C408" s="105"/>
      <c r="D408" s="105"/>
      <c r="E408" s="105"/>
      <c r="F408" s="105"/>
      <c r="G408" s="105"/>
      <c r="H408" s="105"/>
      <c r="I408" s="105"/>
      <c r="J408" s="105"/>
      <c r="K408" s="105"/>
      <c r="L408" s="114"/>
    </row>
    <row r="409" spans="1:12">
      <c r="A409" s="105"/>
      <c r="B409" s="105"/>
      <c r="C409" s="105"/>
      <c r="D409" s="105"/>
      <c r="E409" s="105"/>
      <c r="F409" s="105"/>
      <c r="G409" s="105"/>
      <c r="H409" s="105"/>
      <c r="I409" s="105"/>
      <c r="J409" s="105"/>
      <c r="K409" s="105"/>
      <c r="L409" s="114"/>
    </row>
    <row r="410" spans="1:12">
      <c r="A410" s="105"/>
      <c r="B410" s="105"/>
      <c r="C410" s="105"/>
      <c r="D410" s="105"/>
      <c r="E410" s="105"/>
      <c r="F410" s="105"/>
      <c r="G410" s="105"/>
      <c r="H410" s="105"/>
      <c r="I410" s="105"/>
      <c r="J410" s="105"/>
      <c r="K410" s="105"/>
      <c r="L410" s="114"/>
    </row>
    <row r="411" spans="1:12">
      <c r="A411" s="105"/>
      <c r="B411" s="105"/>
      <c r="C411" s="105"/>
      <c r="D411" s="105"/>
      <c r="E411" s="105"/>
      <c r="F411" s="105"/>
      <c r="G411" s="105"/>
      <c r="H411" s="105"/>
      <c r="I411" s="105"/>
      <c r="J411" s="105"/>
      <c r="K411" s="105"/>
      <c r="L411" s="114"/>
    </row>
    <row r="412" spans="1:12">
      <c r="A412" s="116"/>
      <c r="B412" s="116"/>
      <c r="C412" s="116"/>
      <c r="D412" s="116"/>
      <c r="E412" s="116"/>
      <c r="F412" s="116"/>
      <c r="G412" s="116"/>
      <c r="H412" s="116"/>
      <c r="I412" s="116"/>
      <c r="J412" s="116"/>
      <c r="K412" s="116"/>
      <c r="L412" s="114"/>
    </row>
    <row r="413" spans="1:12">
      <c r="A413" s="116"/>
      <c r="B413" s="116"/>
      <c r="C413" s="116"/>
      <c r="D413" s="116"/>
      <c r="E413" s="116"/>
      <c r="F413" s="116"/>
      <c r="G413" s="116"/>
      <c r="H413" s="116"/>
      <c r="I413" s="116"/>
      <c r="J413" s="116"/>
      <c r="K413" s="116"/>
      <c r="L413" s="114"/>
    </row>
    <row r="414" spans="1:12">
      <c r="A414" s="116"/>
      <c r="B414" s="116"/>
      <c r="C414" s="116"/>
      <c r="D414" s="116"/>
      <c r="E414" s="116"/>
      <c r="F414" s="116"/>
      <c r="G414" s="116"/>
      <c r="H414" s="116"/>
      <c r="I414" s="116"/>
      <c r="J414" s="116"/>
      <c r="K414" s="116"/>
      <c r="L414" s="114"/>
    </row>
    <row r="415" spans="1:12">
      <c r="A415" s="116"/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14"/>
    </row>
    <row r="416" spans="1:12">
      <c r="A416" s="116"/>
      <c r="B416" s="116"/>
      <c r="C416" s="116"/>
      <c r="D416" s="116"/>
      <c r="E416" s="116"/>
      <c r="F416" s="116"/>
      <c r="G416" s="116"/>
      <c r="H416" s="116"/>
      <c r="I416" s="116"/>
      <c r="J416" s="116"/>
      <c r="K416" s="116"/>
      <c r="L416" s="114"/>
    </row>
    <row r="417" spans="1:12">
      <c r="A417" s="116"/>
      <c r="B417" s="116"/>
      <c r="C417" s="116"/>
      <c r="D417" s="116"/>
      <c r="E417" s="116"/>
      <c r="F417" s="116"/>
      <c r="G417" s="116"/>
      <c r="H417" s="116"/>
      <c r="I417" s="116"/>
      <c r="J417" s="116"/>
      <c r="K417" s="116"/>
      <c r="L417" s="114"/>
    </row>
    <row r="418" spans="1:12">
      <c r="A418" s="116"/>
      <c r="B418" s="116"/>
      <c r="C418" s="116"/>
      <c r="D418" s="116"/>
      <c r="E418" s="116"/>
      <c r="F418" s="116"/>
      <c r="G418" s="116"/>
      <c r="H418" s="116"/>
      <c r="I418" s="116"/>
      <c r="J418" s="116"/>
      <c r="K418" s="116"/>
      <c r="L418" s="114"/>
    </row>
    <row r="419" spans="1:12">
      <c r="A419" s="116"/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14"/>
    </row>
    <row r="420" spans="1:12">
      <c r="A420" s="116"/>
      <c r="B420" s="116"/>
      <c r="C420" s="116"/>
      <c r="D420" s="116"/>
      <c r="E420" s="116"/>
      <c r="F420" s="116"/>
      <c r="G420" s="116"/>
      <c r="H420" s="116"/>
      <c r="I420" s="116"/>
      <c r="J420" s="116"/>
      <c r="K420" s="116"/>
      <c r="L420" s="114"/>
    </row>
    <row r="421" spans="1:12">
      <c r="A421" s="116"/>
      <c r="B421" s="116"/>
      <c r="C421" s="116"/>
      <c r="D421" s="116"/>
      <c r="E421" s="116"/>
      <c r="F421" s="116"/>
      <c r="G421" s="116"/>
      <c r="H421" s="116"/>
      <c r="I421" s="116"/>
      <c r="J421" s="116"/>
      <c r="K421" s="116"/>
      <c r="L421" s="114"/>
    </row>
    <row r="422" spans="1:12">
      <c r="A422" s="116"/>
      <c r="B422" s="116"/>
      <c r="C422" s="116"/>
      <c r="D422" s="116"/>
      <c r="E422" s="116"/>
      <c r="F422" s="116"/>
      <c r="G422" s="116"/>
      <c r="H422" s="116"/>
      <c r="I422" s="116"/>
      <c r="J422" s="116"/>
      <c r="K422" s="116"/>
      <c r="L422" s="114"/>
    </row>
    <row r="423" spans="1:12">
      <c r="A423" s="116"/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14"/>
    </row>
    <row r="424" spans="1:12">
      <c r="A424" s="116"/>
      <c r="B424" s="116"/>
      <c r="C424" s="116"/>
      <c r="D424" s="116"/>
      <c r="E424" s="116"/>
      <c r="F424" s="116"/>
      <c r="G424" s="116"/>
      <c r="H424" s="116"/>
      <c r="I424" s="116"/>
      <c r="J424" s="116"/>
      <c r="K424" s="116"/>
      <c r="L424" s="114"/>
    </row>
    <row r="425" spans="1:12">
      <c r="A425" s="116"/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14"/>
    </row>
    <row r="426" spans="1:12">
      <c r="A426" s="116"/>
      <c r="B426" s="116"/>
      <c r="C426" s="116"/>
      <c r="D426" s="116"/>
      <c r="E426" s="116"/>
      <c r="F426" s="116"/>
      <c r="G426" s="116"/>
      <c r="H426" s="116"/>
      <c r="I426" s="116"/>
      <c r="J426" s="116"/>
      <c r="K426" s="116"/>
      <c r="L426" s="114"/>
    </row>
    <row r="427" spans="1:12">
      <c r="A427" s="116"/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14"/>
    </row>
    <row r="428" spans="1:12">
      <c r="A428" s="116"/>
      <c r="B428" s="116"/>
      <c r="C428" s="116"/>
      <c r="D428" s="116"/>
      <c r="E428" s="116"/>
      <c r="F428" s="116"/>
      <c r="G428" s="116"/>
      <c r="H428" s="116"/>
      <c r="I428" s="116"/>
      <c r="J428" s="116"/>
      <c r="K428" s="116"/>
      <c r="L428" s="114"/>
    </row>
    <row r="429" spans="1:12">
      <c r="A429" s="116"/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14"/>
    </row>
    <row r="430" spans="1:12">
      <c r="A430" s="116"/>
      <c r="B430" s="116"/>
      <c r="C430" s="116"/>
      <c r="D430" s="116"/>
      <c r="E430" s="116"/>
      <c r="F430" s="116"/>
      <c r="G430" s="116"/>
      <c r="H430" s="116"/>
      <c r="I430" s="116"/>
      <c r="J430" s="116"/>
      <c r="K430" s="116"/>
      <c r="L430" s="114"/>
    </row>
    <row r="431" spans="1:12">
      <c r="A431" s="116"/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14"/>
    </row>
    <row r="432" spans="1:12">
      <c r="A432" s="116"/>
      <c r="B432" s="116"/>
      <c r="C432" s="116"/>
      <c r="D432" s="116"/>
      <c r="E432" s="116"/>
      <c r="F432" s="116"/>
      <c r="G432" s="116"/>
      <c r="H432" s="116"/>
      <c r="I432" s="116"/>
      <c r="J432" s="116"/>
      <c r="K432" s="116"/>
      <c r="L432" s="114"/>
    </row>
    <row r="433" spans="1:12">
      <c r="A433" s="116"/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14"/>
    </row>
    <row r="434" spans="1:12">
      <c r="A434" s="116"/>
      <c r="B434" s="116"/>
      <c r="C434" s="116"/>
      <c r="D434" s="116"/>
      <c r="E434" s="116"/>
      <c r="F434" s="116"/>
      <c r="G434" s="116"/>
      <c r="H434" s="116"/>
      <c r="I434" s="116"/>
      <c r="J434" s="116"/>
      <c r="K434" s="116"/>
      <c r="L434" s="114"/>
    </row>
    <row r="435" spans="1:12">
      <c r="A435" s="116"/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14"/>
    </row>
    <row r="436" spans="1:12">
      <c r="A436" s="116"/>
      <c r="B436" s="116"/>
      <c r="C436" s="116"/>
      <c r="D436" s="116"/>
      <c r="E436" s="116"/>
      <c r="F436" s="116"/>
      <c r="G436" s="116"/>
      <c r="H436" s="116"/>
      <c r="I436" s="116"/>
      <c r="J436" s="116"/>
      <c r="K436" s="116"/>
      <c r="L436" s="114"/>
    </row>
    <row r="437" spans="1:12">
      <c r="A437" s="116"/>
      <c r="B437" s="116"/>
      <c r="C437" s="116"/>
      <c r="D437" s="116"/>
      <c r="E437" s="116"/>
      <c r="F437" s="116"/>
      <c r="G437" s="116"/>
      <c r="H437" s="116"/>
      <c r="I437" s="116"/>
      <c r="J437" s="116"/>
      <c r="K437" s="116"/>
      <c r="L437" s="114"/>
    </row>
    <row r="438" spans="1:12">
      <c r="A438" s="116"/>
      <c r="B438" s="116"/>
      <c r="C438" s="116"/>
      <c r="D438" s="116"/>
      <c r="E438" s="116"/>
      <c r="F438" s="116"/>
      <c r="G438" s="116"/>
      <c r="H438" s="116"/>
      <c r="I438" s="116"/>
      <c r="J438" s="116"/>
      <c r="K438" s="116"/>
      <c r="L438" s="114"/>
    </row>
    <row r="439" spans="1:12">
      <c r="A439" s="116"/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14"/>
    </row>
    <row r="440" spans="1:12">
      <c r="A440" s="116"/>
      <c r="B440" s="116"/>
      <c r="C440" s="116"/>
      <c r="D440" s="116"/>
      <c r="E440" s="116"/>
      <c r="F440" s="116"/>
      <c r="G440" s="116"/>
      <c r="H440" s="116"/>
      <c r="I440" s="116"/>
      <c r="J440" s="116"/>
      <c r="K440" s="116"/>
      <c r="L440" s="114"/>
    </row>
    <row r="441" spans="1:12">
      <c r="A441" s="116"/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14"/>
    </row>
    <row r="442" spans="1:12">
      <c r="A442" s="116"/>
      <c r="B442" s="116"/>
      <c r="C442" s="116"/>
      <c r="D442" s="116"/>
      <c r="E442" s="116"/>
      <c r="F442" s="116"/>
      <c r="G442" s="116"/>
      <c r="H442" s="116"/>
      <c r="I442" s="116"/>
      <c r="J442" s="116"/>
      <c r="K442" s="116"/>
      <c r="L442" s="114"/>
    </row>
    <row r="443" spans="1:12">
      <c r="A443" s="116"/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4"/>
    </row>
    <row r="444" spans="1:12">
      <c r="A444" s="116"/>
      <c r="B444" s="116"/>
      <c r="C444" s="116"/>
      <c r="D444" s="116"/>
      <c r="E444" s="116"/>
      <c r="F444" s="116"/>
      <c r="G444" s="116"/>
      <c r="H444" s="116"/>
      <c r="I444" s="116"/>
      <c r="J444" s="116"/>
      <c r="K444" s="116"/>
      <c r="L444" s="114"/>
    </row>
    <row r="445" spans="1:12">
      <c r="A445" s="116"/>
      <c r="B445" s="116"/>
      <c r="C445" s="116"/>
      <c r="D445" s="116"/>
      <c r="E445" s="116"/>
      <c r="F445" s="116"/>
      <c r="G445" s="116"/>
      <c r="H445" s="116"/>
      <c r="I445" s="116"/>
      <c r="J445" s="116"/>
      <c r="K445" s="116"/>
      <c r="L445" s="114"/>
    </row>
    <row r="446" spans="1:12">
      <c r="A446" s="116"/>
      <c r="B446" s="116"/>
      <c r="C446" s="116"/>
      <c r="D446" s="116"/>
      <c r="E446" s="116"/>
      <c r="F446" s="116"/>
      <c r="G446" s="116"/>
      <c r="H446" s="116"/>
      <c r="I446" s="116"/>
      <c r="J446" s="116"/>
      <c r="K446" s="116"/>
      <c r="L446" s="114"/>
    </row>
    <row r="447" spans="1:12">
      <c r="A447" s="116"/>
      <c r="B447" s="116"/>
      <c r="C447" s="116"/>
      <c r="D447" s="116"/>
      <c r="E447" s="116"/>
      <c r="F447" s="116"/>
      <c r="G447" s="116"/>
      <c r="H447" s="116"/>
      <c r="I447" s="116"/>
      <c r="J447" s="116"/>
      <c r="K447" s="116"/>
      <c r="L447" s="114"/>
    </row>
    <row r="448" spans="1:12">
      <c r="A448" s="116"/>
      <c r="B448" s="116"/>
      <c r="C448" s="116"/>
      <c r="D448" s="116"/>
      <c r="E448" s="116"/>
      <c r="F448" s="116"/>
      <c r="G448" s="116"/>
      <c r="H448" s="116"/>
      <c r="I448" s="116"/>
      <c r="J448" s="116"/>
      <c r="K448" s="116"/>
      <c r="L448" s="114"/>
    </row>
    <row r="449" spans="1:12">
      <c r="A449" s="116"/>
      <c r="B449" s="116"/>
      <c r="C449" s="116"/>
      <c r="D449" s="116"/>
      <c r="E449" s="116"/>
      <c r="F449" s="116"/>
      <c r="G449" s="116"/>
      <c r="H449" s="116"/>
      <c r="I449" s="116"/>
      <c r="J449" s="116"/>
      <c r="K449" s="116"/>
      <c r="L449" s="114"/>
    </row>
    <row r="450" spans="1:12">
      <c r="A450" s="116"/>
      <c r="B450" s="116"/>
      <c r="C450" s="116"/>
      <c r="D450" s="116"/>
      <c r="E450" s="116"/>
      <c r="F450" s="116"/>
      <c r="G450" s="116"/>
      <c r="H450" s="116"/>
      <c r="I450" s="116"/>
      <c r="J450" s="116"/>
      <c r="K450" s="116"/>
      <c r="L450" s="114"/>
    </row>
    <row r="451" spans="1:12">
      <c r="A451" s="116"/>
      <c r="B451" s="116"/>
      <c r="C451" s="116"/>
      <c r="D451" s="116"/>
      <c r="E451" s="116"/>
      <c r="F451" s="116"/>
      <c r="G451" s="116"/>
      <c r="H451" s="116"/>
      <c r="I451" s="116"/>
      <c r="J451" s="116"/>
      <c r="K451" s="116"/>
      <c r="L451" s="114"/>
    </row>
    <row r="452" spans="1:12">
      <c r="A452" s="116"/>
      <c r="B452" s="116"/>
      <c r="C452" s="116"/>
      <c r="D452" s="116"/>
      <c r="E452" s="116"/>
      <c r="F452" s="116"/>
      <c r="G452" s="116"/>
      <c r="H452" s="116"/>
      <c r="I452" s="116"/>
      <c r="J452" s="116"/>
      <c r="K452" s="116"/>
      <c r="L452" s="114"/>
    </row>
    <row r="453" spans="1:12">
      <c r="A453" s="116"/>
      <c r="B453" s="116"/>
      <c r="C453" s="116"/>
      <c r="D453" s="116"/>
      <c r="E453" s="116"/>
      <c r="F453" s="116"/>
      <c r="G453" s="116"/>
      <c r="H453" s="116"/>
      <c r="I453" s="116"/>
      <c r="J453" s="116"/>
      <c r="K453" s="116"/>
      <c r="L453" s="114"/>
    </row>
    <row r="454" spans="1:12">
      <c r="A454" s="116"/>
      <c r="B454" s="116"/>
      <c r="C454" s="116"/>
      <c r="D454" s="116"/>
      <c r="E454" s="116"/>
      <c r="F454" s="116"/>
      <c r="G454" s="116"/>
      <c r="H454" s="116"/>
      <c r="I454" s="116"/>
      <c r="J454" s="116"/>
      <c r="K454" s="116"/>
      <c r="L454" s="114"/>
    </row>
    <row r="455" spans="1:12">
      <c r="A455" s="116"/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14"/>
    </row>
    <row r="456" spans="1:12">
      <c r="A456" s="116"/>
      <c r="B456" s="116"/>
      <c r="C456" s="116"/>
      <c r="D456" s="116"/>
      <c r="E456" s="116"/>
      <c r="F456" s="116"/>
      <c r="G456" s="116"/>
      <c r="H456" s="116"/>
      <c r="I456" s="116"/>
      <c r="J456" s="116"/>
      <c r="K456" s="116"/>
      <c r="L456" s="114"/>
    </row>
    <row r="457" spans="1:12">
      <c r="A457" s="116"/>
      <c r="B457" s="116"/>
      <c r="C457" s="116"/>
      <c r="D457" s="116"/>
      <c r="E457" s="116"/>
      <c r="F457" s="116"/>
      <c r="G457" s="116"/>
      <c r="H457" s="116"/>
      <c r="I457" s="116"/>
      <c r="J457" s="116"/>
      <c r="K457" s="116"/>
      <c r="L457" s="114"/>
    </row>
    <row r="458" spans="1:12">
      <c r="A458" s="116"/>
      <c r="B458" s="116"/>
      <c r="C458" s="116"/>
      <c r="D458" s="116"/>
      <c r="E458" s="116"/>
      <c r="F458" s="116"/>
      <c r="G458" s="116"/>
      <c r="H458" s="116"/>
      <c r="I458" s="116"/>
      <c r="J458" s="116"/>
      <c r="K458" s="116"/>
      <c r="L458" s="114"/>
    </row>
    <row r="459" spans="1:12">
      <c r="A459" s="116"/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14"/>
    </row>
    <row r="460" spans="1:12">
      <c r="A460" s="116"/>
      <c r="B460" s="116"/>
      <c r="C460" s="116"/>
      <c r="D460" s="116"/>
      <c r="E460" s="116"/>
      <c r="F460" s="116"/>
      <c r="G460" s="116"/>
      <c r="H460" s="116"/>
      <c r="I460" s="116"/>
      <c r="J460" s="116"/>
      <c r="K460" s="116"/>
      <c r="L460" s="114"/>
    </row>
    <row r="461" spans="1:12">
      <c r="A461" s="116"/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14"/>
    </row>
    <row r="462" spans="1:12">
      <c r="A462" s="116"/>
      <c r="B462" s="116"/>
      <c r="C462" s="116"/>
      <c r="D462" s="116"/>
      <c r="E462" s="116"/>
      <c r="F462" s="116"/>
      <c r="G462" s="116"/>
      <c r="H462" s="116"/>
      <c r="I462" s="116"/>
      <c r="J462" s="116"/>
      <c r="K462" s="116"/>
      <c r="L462" s="114"/>
    </row>
    <row r="463" spans="1:12">
      <c r="A463" s="116"/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14"/>
    </row>
    <row r="464" spans="1:12">
      <c r="A464" s="116"/>
      <c r="B464" s="116"/>
      <c r="C464" s="116"/>
      <c r="D464" s="116"/>
      <c r="E464" s="116"/>
      <c r="F464" s="116"/>
      <c r="G464" s="116"/>
      <c r="H464" s="116"/>
      <c r="I464" s="116"/>
      <c r="J464" s="116"/>
      <c r="K464" s="116"/>
      <c r="L464" s="114"/>
    </row>
    <row r="465" spans="1:12">
      <c r="A465" s="116"/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14"/>
    </row>
    <row r="466" spans="1:12">
      <c r="A466" s="116"/>
      <c r="B466" s="116"/>
      <c r="C466" s="116"/>
      <c r="D466" s="116"/>
      <c r="E466" s="116"/>
      <c r="F466" s="116"/>
      <c r="G466" s="116"/>
      <c r="H466" s="116"/>
      <c r="I466" s="116"/>
      <c r="J466" s="116"/>
      <c r="K466" s="116"/>
      <c r="L466" s="114"/>
    </row>
    <row r="467" spans="1:12">
      <c r="A467" s="116"/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14"/>
    </row>
    <row r="468" spans="1:12">
      <c r="A468" s="116"/>
      <c r="B468" s="116"/>
      <c r="C468" s="116"/>
      <c r="D468" s="116"/>
      <c r="E468" s="116"/>
      <c r="F468" s="116"/>
      <c r="G468" s="116"/>
      <c r="H468" s="116"/>
      <c r="I468" s="116"/>
      <c r="J468" s="116"/>
      <c r="K468" s="116"/>
      <c r="L468" s="114"/>
    </row>
    <row r="469" spans="1:12">
      <c r="A469" s="116"/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14"/>
    </row>
    <row r="470" spans="1:12">
      <c r="A470" s="116"/>
      <c r="B470" s="116"/>
      <c r="C470" s="116"/>
      <c r="D470" s="116"/>
      <c r="E470" s="116"/>
      <c r="F470" s="116"/>
      <c r="G470" s="116"/>
      <c r="H470" s="116"/>
      <c r="I470" s="116"/>
      <c r="J470" s="116"/>
      <c r="K470" s="116"/>
      <c r="L470" s="114"/>
    </row>
    <row r="471" spans="1:12">
      <c r="A471" s="116"/>
      <c r="B471" s="116"/>
      <c r="C471" s="116"/>
      <c r="D471" s="116"/>
      <c r="E471" s="116"/>
      <c r="F471" s="116"/>
      <c r="G471" s="116"/>
      <c r="H471" s="116"/>
      <c r="I471" s="116"/>
      <c r="J471" s="116"/>
      <c r="K471" s="116"/>
      <c r="L471" s="114"/>
    </row>
    <row r="472" spans="1:12">
      <c r="A472" s="116"/>
      <c r="B472" s="116"/>
      <c r="C472" s="116"/>
      <c r="D472" s="116"/>
      <c r="E472" s="116"/>
      <c r="F472" s="116"/>
      <c r="G472" s="116"/>
      <c r="H472" s="116"/>
      <c r="I472" s="116"/>
      <c r="J472" s="116"/>
      <c r="K472" s="116"/>
      <c r="L472" s="114"/>
    </row>
    <row r="473" spans="1:12">
      <c r="A473" s="116"/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14"/>
    </row>
    <row r="474" spans="1:12">
      <c r="A474" s="116"/>
      <c r="B474" s="116"/>
      <c r="C474" s="116"/>
      <c r="D474" s="116"/>
      <c r="E474" s="116"/>
      <c r="F474" s="116"/>
      <c r="G474" s="116"/>
      <c r="H474" s="116"/>
      <c r="I474" s="116"/>
      <c r="J474" s="116"/>
      <c r="K474" s="116"/>
      <c r="L474" s="114"/>
    </row>
    <row r="475" spans="1:12">
      <c r="A475" s="116"/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14"/>
    </row>
    <row r="476" spans="1:12">
      <c r="A476" s="116"/>
      <c r="B476" s="116"/>
      <c r="C476" s="116"/>
      <c r="D476" s="116"/>
      <c r="E476" s="116"/>
      <c r="F476" s="116"/>
      <c r="G476" s="116"/>
      <c r="H476" s="116"/>
      <c r="I476" s="116"/>
      <c r="J476" s="116"/>
      <c r="K476" s="116"/>
      <c r="L476" s="114"/>
    </row>
    <row r="477" spans="1:12">
      <c r="A477" s="116"/>
      <c r="B477" s="116"/>
      <c r="C477" s="116"/>
      <c r="D477" s="116"/>
      <c r="E477" s="116"/>
      <c r="F477" s="116"/>
      <c r="G477" s="116"/>
      <c r="H477" s="116"/>
      <c r="I477" s="116"/>
      <c r="J477" s="116"/>
      <c r="K477" s="116"/>
      <c r="L477" s="114"/>
    </row>
    <row r="478" spans="1:12">
      <c r="A478" s="116"/>
      <c r="B478" s="116"/>
      <c r="C478" s="116"/>
      <c r="D478" s="116"/>
      <c r="E478" s="116"/>
      <c r="F478" s="116"/>
      <c r="G478" s="116"/>
      <c r="H478" s="116"/>
      <c r="I478" s="116"/>
      <c r="J478" s="116"/>
      <c r="K478" s="116"/>
      <c r="L478" s="114"/>
    </row>
    <row r="479" spans="1:12">
      <c r="A479" s="116"/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14"/>
    </row>
    <row r="480" spans="1:12">
      <c r="A480" s="116"/>
      <c r="B480" s="116"/>
      <c r="C480" s="116"/>
      <c r="D480" s="116"/>
      <c r="E480" s="116"/>
      <c r="F480" s="116"/>
      <c r="G480" s="116"/>
      <c r="H480" s="116"/>
      <c r="I480" s="116"/>
      <c r="J480" s="116"/>
      <c r="K480" s="116"/>
      <c r="L480" s="114"/>
    </row>
    <row r="481" spans="1:12">
      <c r="A481" s="116"/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14"/>
    </row>
    <row r="482" spans="1:12">
      <c r="A482" s="116"/>
      <c r="B482" s="116"/>
      <c r="C482" s="116"/>
      <c r="D482" s="116"/>
      <c r="E482" s="116"/>
      <c r="F482" s="116"/>
      <c r="G482" s="116"/>
      <c r="H482" s="116"/>
      <c r="I482" s="116"/>
      <c r="J482" s="116"/>
      <c r="K482" s="116"/>
      <c r="L482" s="114"/>
    </row>
    <row r="483" spans="1:12">
      <c r="A483" s="116"/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14"/>
    </row>
    <row r="484" spans="1:12">
      <c r="A484" s="116"/>
      <c r="B484" s="116"/>
      <c r="C484" s="116"/>
      <c r="D484" s="116"/>
      <c r="E484" s="116"/>
      <c r="F484" s="116"/>
      <c r="G484" s="116"/>
      <c r="H484" s="116"/>
      <c r="I484" s="116"/>
      <c r="J484" s="116"/>
      <c r="K484" s="116"/>
      <c r="L484" s="114"/>
    </row>
    <row r="485" spans="1:12">
      <c r="A485" s="116"/>
      <c r="B485" s="116"/>
      <c r="C485" s="116"/>
      <c r="D485" s="116"/>
      <c r="E485" s="116"/>
      <c r="F485" s="116"/>
      <c r="G485" s="116"/>
      <c r="H485" s="116"/>
      <c r="I485" s="116"/>
      <c r="J485" s="116"/>
      <c r="K485" s="116"/>
      <c r="L485" s="114"/>
    </row>
    <row r="486" spans="1:12">
      <c r="A486" s="116"/>
      <c r="B486" s="116"/>
      <c r="C486" s="116"/>
      <c r="D486" s="116"/>
      <c r="E486" s="116"/>
      <c r="F486" s="116"/>
      <c r="G486" s="116"/>
      <c r="H486" s="116"/>
      <c r="I486" s="116"/>
      <c r="J486" s="116"/>
      <c r="K486" s="116"/>
      <c r="L486" s="114"/>
    </row>
    <row r="487" spans="1:12">
      <c r="A487" s="116"/>
      <c r="B487" s="116"/>
      <c r="C487" s="116"/>
      <c r="D487" s="116"/>
      <c r="E487" s="116"/>
      <c r="F487" s="116"/>
      <c r="G487" s="116"/>
      <c r="H487" s="116"/>
      <c r="I487" s="116"/>
      <c r="J487" s="116"/>
      <c r="K487" s="116"/>
      <c r="L487" s="114"/>
    </row>
    <row r="488" spans="1:12">
      <c r="A488" s="116"/>
      <c r="B488" s="116"/>
      <c r="C488" s="116"/>
      <c r="D488" s="116"/>
      <c r="E488" s="116"/>
      <c r="F488" s="116"/>
      <c r="G488" s="116"/>
      <c r="H488" s="116"/>
      <c r="I488" s="116"/>
      <c r="J488" s="116"/>
      <c r="K488" s="116"/>
      <c r="L488" s="114"/>
    </row>
    <row r="489" spans="1:12">
      <c r="A489" s="116"/>
      <c r="B489" s="116"/>
      <c r="C489" s="116"/>
      <c r="D489" s="116"/>
      <c r="E489" s="116"/>
      <c r="F489" s="116"/>
      <c r="G489" s="116"/>
      <c r="H489" s="116"/>
      <c r="I489" s="116"/>
      <c r="J489" s="116"/>
      <c r="K489" s="116"/>
      <c r="L489" s="114"/>
    </row>
    <row r="490" spans="1:12">
      <c r="A490" s="116"/>
      <c r="B490" s="116"/>
      <c r="C490" s="116"/>
      <c r="D490" s="116"/>
      <c r="E490" s="116"/>
      <c r="F490" s="116"/>
      <c r="G490" s="116"/>
      <c r="H490" s="116"/>
      <c r="I490" s="116"/>
      <c r="J490" s="116"/>
      <c r="K490" s="116"/>
      <c r="L490" s="114"/>
    </row>
    <row r="491" spans="1:12">
      <c r="A491" s="116"/>
      <c r="B491" s="116"/>
      <c r="C491" s="116"/>
      <c r="D491" s="116"/>
      <c r="E491" s="116"/>
      <c r="F491" s="116"/>
      <c r="G491" s="116"/>
      <c r="H491" s="116"/>
      <c r="I491" s="116"/>
      <c r="J491" s="116"/>
      <c r="K491" s="116"/>
      <c r="L491" s="114"/>
    </row>
    <row r="492" spans="1:12">
      <c r="A492" s="116"/>
      <c r="B492" s="116"/>
      <c r="C492" s="116"/>
      <c r="D492" s="116"/>
      <c r="E492" s="116"/>
      <c r="F492" s="116"/>
      <c r="G492" s="116"/>
      <c r="H492" s="116"/>
      <c r="I492" s="116"/>
      <c r="J492" s="116"/>
      <c r="K492" s="116"/>
      <c r="L492" s="114"/>
    </row>
    <row r="493" spans="1:12">
      <c r="A493" s="116"/>
      <c r="B493" s="116"/>
      <c r="C493" s="116"/>
      <c r="D493" s="116"/>
      <c r="E493" s="116"/>
      <c r="F493" s="116"/>
      <c r="G493" s="116"/>
      <c r="H493" s="116"/>
      <c r="I493" s="116"/>
      <c r="J493" s="116"/>
      <c r="K493" s="116"/>
      <c r="L493" s="114"/>
    </row>
    <row r="494" spans="1:12">
      <c r="A494" s="116"/>
      <c r="B494" s="116"/>
      <c r="C494" s="116"/>
      <c r="D494" s="116"/>
      <c r="E494" s="116"/>
      <c r="F494" s="116"/>
      <c r="G494" s="116"/>
      <c r="H494" s="116"/>
      <c r="I494" s="116"/>
      <c r="J494" s="116"/>
      <c r="K494" s="116"/>
      <c r="L494" s="114"/>
    </row>
    <row r="495" spans="1:12">
      <c r="A495" s="116"/>
      <c r="B495" s="116"/>
      <c r="C495" s="116"/>
      <c r="D495" s="116"/>
      <c r="E495" s="116"/>
      <c r="F495" s="116"/>
      <c r="G495" s="116"/>
      <c r="H495" s="116"/>
      <c r="I495" s="116"/>
      <c r="J495" s="116"/>
      <c r="K495" s="116"/>
      <c r="L495" s="114"/>
    </row>
    <row r="496" spans="1:12">
      <c r="A496" s="116"/>
      <c r="B496" s="116"/>
      <c r="C496" s="116"/>
      <c r="D496" s="116"/>
      <c r="E496" s="116"/>
      <c r="F496" s="116"/>
      <c r="G496" s="116"/>
      <c r="H496" s="116"/>
      <c r="I496" s="116"/>
      <c r="J496" s="116"/>
      <c r="K496" s="116"/>
      <c r="L496" s="114"/>
    </row>
    <row r="497" spans="1:12">
      <c r="A497" s="116"/>
      <c r="B497" s="116"/>
      <c r="C497" s="116"/>
      <c r="D497" s="116"/>
      <c r="E497" s="116"/>
      <c r="F497" s="116"/>
      <c r="G497" s="116"/>
      <c r="H497" s="116"/>
      <c r="I497" s="116"/>
      <c r="J497" s="116"/>
      <c r="K497" s="116"/>
      <c r="L497" s="114"/>
    </row>
    <row r="498" spans="1:12">
      <c r="A498" s="116"/>
      <c r="B498" s="116"/>
      <c r="C498" s="116"/>
      <c r="D498" s="116"/>
      <c r="E498" s="116"/>
      <c r="F498" s="116"/>
      <c r="G498" s="116"/>
      <c r="H498" s="116"/>
      <c r="I498" s="116"/>
      <c r="J498" s="116"/>
      <c r="K498" s="116"/>
      <c r="L498" s="114"/>
    </row>
    <row r="499" spans="1:12">
      <c r="A499" s="116"/>
      <c r="B499" s="116"/>
      <c r="C499" s="116"/>
      <c r="D499" s="116"/>
      <c r="E499" s="116"/>
      <c r="F499" s="116"/>
      <c r="G499" s="116"/>
      <c r="H499" s="116"/>
      <c r="I499" s="116"/>
      <c r="J499" s="116"/>
      <c r="K499" s="116"/>
      <c r="L499" s="114"/>
    </row>
    <row r="500" spans="1:12">
      <c r="A500" s="116"/>
      <c r="B500" s="116"/>
      <c r="C500" s="116"/>
      <c r="D500" s="116"/>
      <c r="E500" s="116"/>
      <c r="F500" s="116"/>
      <c r="G500" s="116"/>
      <c r="H500" s="116"/>
      <c r="I500" s="116"/>
      <c r="J500" s="116"/>
      <c r="K500" s="116"/>
      <c r="L500" s="114"/>
    </row>
    <row r="501" spans="1:12">
      <c r="A501" s="116"/>
      <c r="B501" s="116"/>
      <c r="C501" s="116"/>
      <c r="D501" s="116"/>
      <c r="E501" s="116"/>
      <c r="F501" s="116"/>
      <c r="G501" s="116"/>
      <c r="H501" s="116"/>
      <c r="I501" s="116"/>
      <c r="J501" s="116"/>
      <c r="K501" s="116"/>
      <c r="L501" s="114"/>
    </row>
    <row r="502" spans="1:12">
      <c r="A502" s="116"/>
      <c r="B502" s="116"/>
      <c r="C502" s="116"/>
      <c r="D502" s="116"/>
      <c r="E502" s="116"/>
      <c r="F502" s="116"/>
      <c r="G502" s="116"/>
      <c r="H502" s="116"/>
      <c r="I502" s="116"/>
      <c r="J502" s="116"/>
      <c r="K502" s="116"/>
      <c r="L502" s="114"/>
    </row>
    <row r="503" spans="1:12">
      <c r="A503" s="116"/>
      <c r="B503" s="116"/>
      <c r="C503" s="116"/>
      <c r="D503" s="116"/>
      <c r="E503" s="116"/>
      <c r="F503" s="116"/>
      <c r="G503" s="116"/>
      <c r="H503" s="116"/>
      <c r="I503" s="116"/>
      <c r="J503" s="116"/>
      <c r="K503" s="116"/>
      <c r="L503" s="114"/>
    </row>
    <row r="504" spans="1:12">
      <c r="A504" s="116"/>
      <c r="B504" s="116"/>
      <c r="C504" s="116"/>
      <c r="D504" s="116"/>
      <c r="E504" s="116"/>
      <c r="F504" s="116"/>
      <c r="G504" s="116"/>
      <c r="H504" s="116"/>
      <c r="I504" s="116"/>
      <c r="J504" s="116"/>
      <c r="K504" s="116"/>
      <c r="L504" s="114"/>
    </row>
    <row r="505" spans="1:12">
      <c r="A505" s="116"/>
      <c r="B505" s="116"/>
      <c r="C505" s="116"/>
      <c r="D505" s="116"/>
      <c r="E505" s="116"/>
      <c r="F505" s="116"/>
      <c r="G505" s="116"/>
      <c r="H505" s="116"/>
      <c r="I505" s="116"/>
      <c r="J505" s="116"/>
      <c r="K505" s="116"/>
      <c r="L505" s="114"/>
    </row>
    <row r="506" spans="1:12">
      <c r="A506" s="116"/>
      <c r="B506" s="116"/>
      <c r="C506" s="116"/>
      <c r="D506" s="116"/>
      <c r="E506" s="116"/>
      <c r="F506" s="116"/>
      <c r="G506" s="116"/>
      <c r="H506" s="116"/>
      <c r="I506" s="116"/>
      <c r="J506" s="116"/>
      <c r="K506" s="116"/>
      <c r="L506" s="114"/>
    </row>
    <row r="507" spans="1:12">
      <c r="A507" s="116"/>
      <c r="B507" s="116"/>
      <c r="C507" s="116"/>
      <c r="D507" s="116"/>
      <c r="E507" s="116"/>
      <c r="F507" s="116"/>
      <c r="G507" s="116"/>
      <c r="H507" s="116"/>
      <c r="I507" s="116"/>
      <c r="J507" s="116"/>
      <c r="K507" s="116"/>
      <c r="L507" s="114"/>
    </row>
    <row r="508" spans="1:12">
      <c r="A508" s="116"/>
      <c r="B508" s="116"/>
      <c r="C508" s="116"/>
      <c r="D508" s="116"/>
      <c r="E508" s="116"/>
      <c r="F508" s="116"/>
      <c r="G508" s="116"/>
      <c r="H508" s="116"/>
      <c r="I508" s="116"/>
      <c r="J508" s="116"/>
      <c r="K508" s="116"/>
      <c r="L508" s="114"/>
    </row>
    <row r="509" spans="1:12">
      <c r="A509" s="116"/>
      <c r="B509" s="116"/>
      <c r="C509" s="116"/>
      <c r="D509" s="116"/>
      <c r="E509" s="116"/>
      <c r="F509" s="116"/>
      <c r="G509" s="116"/>
      <c r="H509" s="116"/>
      <c r="I509" s="116"/>
      <c r="J509" s="116"/>
      <c r="K509" s="116"/>
      <c r="L509" s="114"/>
    </row>
    <row r="510" spans="1:12">
      <c r="A510" s="116"/>
      <c r="B510" s="116"/>
      <c r="C510" s="116"/>
      <c r="D510" s="116"/>
      <c r="E510" s="116"/>
      <c r="F510" s="116"/>
      <c r="G510" s="116"/>
      <c r="H510" s="116"/>
      <c r="I510" s="116"/>
      <c r="J510" s="116"/>
      <c r="K510" s="116"/>
      <c r="L510" s="114"/>
    </row>
    <row r="511" spans="1:12">
      <c r="A511" s="116"/>
      <c r="B511" s="116"/>
      <c r="C511" s="116"/>
      <c r="D511" s="116"/>
      <c r="E511" s="116"/>
      <c r="F511" s="116"/>
      <c r="G511" s="116"/>
      <c r="H511" s="116"/>
      <c r="I511" s="116"/>
      <c r="J511" s="116"/>
      <c r="K511" s="116"/>
      <c r="L511" s="114"/>
    </row>
    <row r="512" spans="1:12">
      <c r="A512" s="116"/>
      <c r="B512" s="116"/>
      <c r="C512" s="116"/>
      <c r="D512" s="116"/>
      <c r="E512" s="116"/>
      <c r="F512" s="116"/>
      <c r="G512" s="116"/>
      <c r="H512" s="116"/>
      <c r="I512" s="116"/>
      <c r="J512" s="116"/>
      <c r="K512" s="116"/>
      <c r="L512" s="114"/>
    </row>
    <row r="513" spans="1:12">
      <c r="A513" s="116"/>
      <c r="B513" s="116"/>
      <c r="C513" s="116"/>
      <c r="D513" s="116"/>
      <c r="E513" s="116"/>
      <c r="F513" s="116"/>
      <c r="G513" s="116"/>
      <c r="H513" s="116"/>
      <c r="I513" s="116"/>
      <c r="J513" s="116"/>
      <c r="K513" s="116"/>
      <c r="L513" s="114"/>
    </row>
    <row r="514" spans="1:12">
      <c r="A514" s="116"/>
      <c r="B514" s="116"/>
      <c r="C514" s="116"/>
      <c r="D514" s="116"/>
      <c r="E514" s="116"/>
      <c r="F514" s="116"/>
      <c r="G514" s="116"/>
      <c r="H514" s="116"/>
      <c r="I514" s="116"/>
      <c r="J514" s="116"/>
      <c r="K514" s="116"/>
      <c r="L514" s="114"/>
    </row>
    <row r="515" spans="1:12">
      <c r="A515" s="116"/>
      <c r="B515" s="116"/>
      <c r="C515" s="116"/>
      <c r="D515" s="116"/>
      <c r="E515" s="116"/>
      <c r="F515" s="116"/>
      <c r="G515" s="116"/>
      <c r="H515" s="116"/>
      <c r="I515" s="116"/>
      <c r="J515" s="116"/>
      <c r="K515" s="116"/>
      <c r="L515" s="114"/>
    </row>
    <row r="516" spans="1:12">
      <c r="A516" s="116"/>
      <c r="B516" s="116"/>
      <c r="C516" s="116"/>
      <c r="D516" s="116"/>
      <c r="E516" s="116"/>
      <c r="F516" s="116"/>
      <c r="G516" s="116"/>
      <c r="H516" s="116"/>
      <c r="I516" s="116"/>
      <c r="J516" s="116"/>
      <c r="K516" s="116"/>
      <c r="L516" s="114"/>
    </row>
    <row r="517" spans="1:12">
      <c r="A517" s="116"/>
      <c r="B517" s="116"/>
      <c r="C517" s="116"/>
      <c r="D517" s="116"/>
      <c r="E517" s="116"/>
      <c r="F517" s="116"/>
      <c r="G517" s="116"/>
      <c r="H517" s="116"/>
      <c r="I517" s="116"/>
      <c r="J517" s="116"/>
      <c r="K517" s="116"/>
      <c r="L517" s="114"/>
    </row>
    <row r="518" spans="1:12">
      <c r="A518" s="116"/>
      <c r="B518" s="116"/>
      <c r="C518" s="116"/>
      <c r="D518" s="116"/>
      <c r="E518" s="116"/>
      <c r="F518" s="116"/>
      <c r="G518" s="116"/>
      <c r="H518" s="116"/>
      <c r="I518" s="116"/>
      <c r="J518" s="116"/>
      <c r="K518" s="116"/>
      <c r="L518" s="114"/>
    </row>
    <row r="519" spans="1:12">
      <c r="A519" s="116"/>
      <c r="B519" s="116"/>
      <c r="C519" s="116"/>
      <c r="D519" s="116"/>
      <c r="E519" s="116"/>
      <c r="F519" s="116"/>
      <c r="G519" s="116"/>
      <c r="H519" s="116"/>
      <c r="I519" s="116"/>
      <c r="J519" s="116"/>
      <c r="K519" s="116"/>
      <c r="L519" s="114"/>
    </row>
    <row r="520" spans="1:12">
      <c r="A520" s="116"/>
      <c r="B520" s="116"/>
      <c r="C520" s="116"/>
      <c r="D520" s="116"/>
      <c r="E520" s="116"/>
      <c r="F520" s="116"/>
      <c r="G520" s="116"/>
      <c r="H520" s="116"/>
      <c r="I520" s="116"/>
      <c r="J520" s="116"/>
      <c r="K520" s="116"/>
      <c r="L520" s="114"/>
    </row>
    <row r="521" spans="1:12">
      <c r="A521" s="116"/>
      <c r="B521" s="116"/>
      <c r="C521" s="116"/>
      <c r="D521" s="116"/>
      <c r="E521" s="116"/>
      <c r="F521" s="116"/>
      <c r="G521" s="116"/>
      <c r="H521" s="116"/>
      <c r="I521" s="116"/>
      <c r="J521" s="116"/>
      <c r="K521" s="116"/>
      <c r="L521" s="114"/>
    </row>
    <row r="522" spans="1:12">
      <c r="A522" s="116"/>
      <c r="B522" s="116"/>
      <c r="C522" s="116"/>
      <c r="D522" s="116"/>
      <c r="E522" s="116"/>
      <c r="F522" s="116"/>
      <c r="G522" s="116"/>
      <c r="H522" s="116"/>
      <c r="I522" s="116"/>
      <c r="J522" s="116"/>
      <c r="K522" s="116"/>
      <c r="L522" s="114"/>
    </row>
    <row r="523" spans="1:12">
      <c r="A523" s="116"/>
      <c r="B523" s="116"/>
      <c r="C523" s="116"/>
      <c r="D523" s="116"/>
      <c r="E523" s="116"/>
      <c r="F523" s="116"/>
      <c r="G523" s="116"/>
      <c r="H523" s="116"/>
      <c r="I523" s="116"/>
      <c r="J523" s="116"/>
      <c r="K523" s="116"/>
      <c r="L523" s="114"/>
    </row>
    <row r="524" spans="1:12">
      <c r="A524" s="116"/>
      <c r="B524" s="116"/>
      <c r="C524" s="116"/>
      <c r="D524" s="116"/>
      <c r="E524" s="116"/>
      <c r="F524" s="116"/>
      <c r="G524" s="116"/>
      <c r="H524" s="116"/>
      <c r="I524" s="116"/>
      <c r="J524" s="116"/>
      <c r="K524" s="116"/>
      <c r="L524" s="114"/>
    </row>
    <row r="525" spans="1:12">
      <c r="A525" s="116"/>
      <c r="B525" s="116"/>
      <c r="C525" s="116"/>
      <c r="D525" s="116"/>
      <c r="E525" s="116"/>
      <c r="F525" s="116"/>
      <c r="G525" s="116"/>
      <c r="H525" s="116"/>
      <c r="I525" s="116"/>
      <c r="J525" s="116"/>
      <c r="K525" s="116"/>
      <c r="L525" s="114"/>
    </row>
    <row r="526" spans="1:12">
      <c r="A526" s="116"/>
      <c r="B526" s="116"/>
      <c r="C526" s="116"/>
      <c r="D526" s="116"/>
      <c r="E526" s="116"/>
      <c r="F526" s="116"/>
      <c r="G526" s="116"/>
      <c r="H526" s="116"/>
      <c r="I526" s="116"/>
      <c r="J526" s="116"/>
      <c r="K526" s="116"/>
      <c r="L526" s="114"/>
    </row>
    <row r="527" spans="1:12">
      <c r="A527" s="116"/>
      <c r="B527" s="116"/>
      <c r="C527" s="116"/>
      <c r="D527" s="116"/>
      <c r="E527" s="116"/>
      <c r="F527" s="116"/>
      <c r="G527" s="116"/>
      <c r="H527" s="116"/>
      <c r="I527" s="116"/>
      <c r="J527" s="116"/>
      <c r="K527" s="116"/>
      <c r="L527" s="114"/>
    </row>
    <row r="528" spans="1:12">
      <c r="A528" s="116"/>
      <c r="B528" s="116"/>
      <c r="C528" s="116"/>
      <c r="D528" s="116"/>
      <c r="E528" s="116"/>
      <c r="F528" s="116"/>
      <c r="G528" s="116"/>
      <c r="H528" s="116"/>
      <c r="I528" s="116"/>
      <c r="J528" s="116"/>
      <c r="K528" s="116"/>
      <c r="L528" s="114"/>
    </row>
    <row r="529" spans="1:12">
      <c r="A529" s="116"/>
      <c r="B529" s="116"/>
      <c r="C529" s="116"/>
      <c r="D529" s="116"/>
      <c r="E529" s="116"/>
      <c r="F529" s="116"/>
      <c r="G529" s="116"/>
      <c r="H529" s="116"/>
      <c r="I529" s="116"/>
      <c r="J529" s="116"/>
      <c r="K529" s="116"/>
      <c r="L529" s="114"/>
    </row>
    <row r="530" spans="1:12">
      <c r="A530" s="116"/>
      <c r="B530" s="116"/>
      <c r="C530" s="116"/>
      <c r="D530" s="116"/>
      <c r="E530" s="116"/>
      <c r="F530" s="116"/>
      <c r="G530" s="116"/>
      <c r="H530" s="116"/>
      <c r="I530" s="116"/>
      <c r="J530" s="116"/>
      <c r="K530" s="116"/>
      <c r="L530" s="114"/>
    </row>
    <row r="531" spans="1:12">
      <c r="A531" s="116"/>
      <c r="B531" s="116"/>
      <c r="C531" s="116"/>
      <c r="D531" s="116"/>
      <c r="E531" s="116"/>
      <c r="F531" s="116"/>
      <c r="G531" s="116"/>
      <c r="H531" s="116"/>
      <c r="I531" s="116"/>
      <c r="J531" s="116"/>
      <c r="K531" s="116"/>
      <c r="L531" s="114"/>
    </row>
    <row r="532" spans="1:12">
      <c r="A532" s="116"/>
      <c r="B532" s="116"/>
      <c r="C532" s="116"/>
      <c r="D532" s="116"/>
      <c r="E532" s="116"/>
      <c r="F532" s="116"/>
      <c r="G532" s="116"/>
      <c r="H532" s="116"/>
      <c r="I532" s="116"/>
      <c r="J532" s="116"/>
      <c r="K532" s="116"/>
      <c r="L532" s="114"/>
    </row>
    <row r="533" spans="1:12">
      <c r="A533" s="116"/>
      <c r="B533" s="116"/>
      <c r="C533" s="116"/>
      <c r="D533" s="116"/>
      <c r="E533" s="116"/>
      <c r="F533" s="116"/>
      <c r="G533" s="116"/>
      <c r="H533" s="116"/>
      <c r="I533" s="116"/>
      <c r="J533" s="116"/>
      <c r="K533" s="116"/>
      <c r="L533" s="114"/>
    </row>
    <row r="534" spans="1:12">
      <c r="A534" s="116"/>
      <c r="B534" s="116"/>
      <c r="C534" s="116"/>
      <c r="D534" s="116"/>
      <c r="E534" s="116"/>
      <c r="F534" s="116"/>
      <c r="G534" s="116"/>
      <c r="H534" s="116"/>
      <c r="I534" s="116"/>
      <c r="J534" s="116"/>
      <c r="K534" s="116"/>
      <c r="L534" s="114"/>
    </row>
    <row r="535" spans="1:12">
      <c r="A535" s="116"/>
      <c r="B535" s="116"/>
      <c r="C535" s="116"/>
      <c r="D535" s="116"/>
      <c r="E535" s="116"/>
      <c r="F535" s="116"/>
      <c r="G535" s="116"/>
      <c r="H535" s="116"/>
      <c r="I535" s="116"/>
      <c r="J535" s="116"/>
      <c r="K535" s="116"/>
      <c r="L535" s="114"/>
    </row>
    <row r="536" spans="1:12">
      <c r="A536" s="116"/>
      <c r="B536" s="116"/>
      <c r="C536" s="116"/>
      <c r="D536" s="116"/>
      <c r="E536" s="116"/>
      <c r="F536" s="116"/>
      <c r="G536" s="116"/>
      <c r="H536" s="116"/>
      <c r="I536" s="116"/>
      <c r="J536" s="116"/>
      <c r="K536" s="116"/>
      <c r="L536" s="114"/>
    </row>
    <row r="537" spans="1:12">
      <c r="A537" s="116"/>
      <c r="B537" s="116"/>
      <c r="C537" s="116"/>
      <c r="D537" s="116"/>
      <c r="E537" s="116"/>
      <c r="F537" s="116"/>
      <c r="G537" s="116"/>
      <c r="H537" s="116"/>
      <c r="I537" s="116"/>
      <c r="J537" s="116"/>
      <c r="K537" s="116"/>
      <c r="L537" s="114"/>
    </row>
    <row r="538" spans="1:12">
      <c r="A538" s="116"/>
      <c r="B538" s="116"/>
      <c r="C538" s="116"/>
      <c r="D538" s="116"/>
      <c r="E538" s="116"/>
      <c r="F538" s="116"/>
      <c r="G538" s="116"/>
      <c r="H538" s="116"/>
      <c r="I538" s="116"/>
      <c r="J538" s="116"/>
      <c r="K538" s="116"/>
      <c r="L538" s="114"/>
    </row>
    <row r="539" spans="1:12">
      <c r="A539" s="116"/>
      <c r="B539" s="116"/>
      <c r="C539" s="116"/>
      <c r="D539" s="116"/>
      <c r="E539" s="116"/>
      <c r="F539" s="116"/>
      <c r="G539" s="116"/>
      <c r="H539" s="116"/>
      <c r="I539" s="116"/>
      <c r="J539" s="116"/>
      <c r="K539" s="116"/>
      <c r="L539" s="114"/>
    </row>
    <row r="540" spans="1:12">
      <c r="A540" s="116"/>
      <c r="B540" s="116"/>
      <c r="C540" s="116"/>
      <c r="D540" s="116"/>
      <c r="E540" s="116"/>
      <c r="F540" s="116"/>
      <c r="G540" s="116"/>
      <c r="H540" s="116"/>
      <c r="I540" s="116"/>
      <c r="J540" s="116"/>
      <c r="K540" s="116"/>
      <c r="L540" s="114"/>
    </row>
    <row r="541" spans="1:12">
      <c r="A541" s="116"/>
      <c r="B541" s="116"/>
      <c r="C541" s="116"/>
      <c r="D541" s="116"/>
      <c r="E541" s="116"/>
      <c r="F541" s="116"/>
      <c r="G541" s="116"/>
      <c r="H541" s="116"/>
      <c r="I541" s="116"/>
      <c r="J541" s="116"/>
      <c r="K541" s="116"/>
      <c r="L541" s="114"/>
    </row>
    <row r="542" spans="1:12">
      <c r="A542" s="116"/>
      <c r="B542" s="116"/>
      <c r="C542" s="116"/>
      <c r="D542" s="116"/>
      <c r="E542" s="116"/>
      <c r="F542" s="116"/>
      <c r="G542" s="116"/>
      <c r="H542" s="116"/>
      <c r="I542" s="116"/>
      <c r="J542" s="116"/>
      <c r="K542" s="116"/>
      <c r="L542" s="114"/>
    </row>
    <row r="543" spans="1:12">
      <c r="A543" s="116"/>
      <c r="B543" s="116"/>
      <c r="C543" s="116"/>
      <c r="D543" s="116"/>
      <c r="E543" s="116"/>
      <c r="F543" s="116"/>
      <c r="G543" s="116"/>
      <c r="H543" s="116"/>
      <c r="I543" s="116"/>
      <c r="J543" s="116"/>
      <c r="K543" s="116"/>
      <c r="L543" s="114"/>
    </row>
    <row r="544" spans="1:12">
      <c r="A544" s="116"/>
      <c r="B544" s="116"/>
      <c r="C544" s="116"/>
      <c r="D544" s="116"/>
      <c r="E544" s="116"/>
      <c r="F544" s="116"/>
      <c r="G544" s="116"/>
      <c r="H544" s="116"/>
      <c r="I544" s="116"/>
      <c r="J544" s="116"/>
      <c r="K544" s="116"/>
      <c r="L544" s="114"/>
    </row>
    <row r="545" spans="1:12">
      <c r="A545" s="116"/>
      <c r="B545" s="116"/>
      <c r="C545" s="116"/>
      <c r="D545" s="116"/>
      <c r="E545" s="116"/>
      <c r="F545" s="116"/>
      <c r="G545" s="116"/>
      <c r="H545" s="116"/>
      <c r="I545" s="116"/>
      <c r="J545" s="116"/>
      <c r="K545" s="116"/>
      <c r="L545" s="114"/>
    </row>
    <row r="546" spans="1:12">
      <c r="A546" s="116"/>
      <c r="B546" s="116"/>
      <c r="C546" s="116"/>
      <c r="D546" s="116"/>
      <c r="E546" s="116"/>
      <c r="F546" s="116"/>
      <c r="G546" s="116"/>
      <c r="H546" s="116"/>
      <c r="I546" s="116"/>
      <c r="J546" s="116"/>
      <c r="K546" s="116"/>
      <c r="L546" s="114"/>
    </row>
    <row r="547" spans="1:12">
      <c r="A547" s="116"/>
      <c r="B547" s="116"/>
      <c r="C547" s="116"/>
      <c r="D547" s="116"/>
      <c r="E547" s="116"/>
      <c r="F547" s="116"/>
      <c r="G547" s="116"/>
      <c r="H547" s="116"/>
      <c r="I547" s="116"/>
      <c r="J547" s="116"/>
      <c r="K547" s="116"/>
      <c r="L547" s="114"/>
    </row>
    <row r="548" spans="1:12">
      <c r="A548" s="116"/>
      <c r="B548" s="116"/>
      <c r="C548" s="116"/>
      <c r="D548" s="116"/>
      <c r="E548" s="116"/>
      <c r="F548" s="116"/>
      <c r="G548" s="116"/>
      <c r="H548" s="116"/>
      <c r="I548" s="116"/>
      <c r="J548" s="116"/>
      <c r="K548" s="116"/>
      <c r="L548" s="114"/>
    </row>
    <row r="549" spans="1:12">
      <c r="A549" s="116"/>
      <c r="B549" s="116"/>
      <c r="C549" s="116"/>
      <c r="D549" s="116"/>
      <c r="E549" s="116"/>
      <c r="F549" s="116"/>
      <c r="G549" s="116"/>
      <c r="H549" s="116"/>
      <c r="I549" s="116"/>
      <c r="J549" s="116"/>
      <c r="K549" s="116"/>
      <c r="L549" s="114"/>
    </row>
    <row r="550" spans="1:12">
      <c r="A550" s="116"/>
      <c r="B550" s="116"/>
      <c r="C550" s="116"/>
      <c r="D550" s="116"/>
      <c r="E550" s="116"/>
      <c r="F550" s="116"/>
      <c r="G550" s="116"/>
      <c r="H550" s="116"/>
      <c r="I550" s="116"/>
      <c r="J550" s="116"/>
      <c r="K550" s="116"/>
      <c r="L550" s="114"/>
    </row>
    <row r="551" spans="1:12">
      <c r="A551" s="116"/>
      <c r="B551" s="116"/>
      <c r="C551" s="116"/>
      <c r="D551" s="116"/>
      <c r="E551" s="116"/>
      <c r="F551" s="116"/>
      <c r="G551" s="116"/>
      <c r="H551" s="116"/>
      <c r="I551" s="116"/>
      <c r="J551" s="116"/>
      <c r="K551" s="116"/>
      <c r="L551" s="114"/>
    </row>
    <row r="552" spans="1:12">
      <c r="A552" s="116"/>
      <c r="B552" s="116"/>
      <c r="C552" s="116"/>
      <c r="D552" s="116"/>
      <c r="E552" s="116"/>
      <c r="F552" s="116"/>
      <c r="G552" s="116"/>
      <c r="H552" s="116"/>
      <c r="I552" s="116"/>
      <c r="J552" s="116"/>
      <c r="K552" s="116"/>
      <c r="L552" s="114"/>
    </row>
    <row r="553" spans="1:12">
      <c r="A553" s="116"/>
      <c r="B553" s="116"/>
      <c r="C553" s="116"/>
      <c r="D553" s="116"/>
      <c r="E553" s="116"/>
      <c r="F553" s="116"/>
      <c r="G553" s="116"/>
      <c r="H553" s="116"/>
      <c r="I553" s="116"/>
      <c r="J553" s="116"/>
      <c r="K553" s="116"/>
      <c r="L553" s="114"/>
    </row>
    <row r="554" spans="1:12">
      <c r="A554" s="116"/>
      <c r="B554" s="116"/>
      <c r="C554" s="116"/>
      <c r="D554" s="116"/>
      <c r="E554" s="116"/>
      <c r="F554" s="116"/>
      <c r="G554" s="116"/>
      <c r="H554" s="116"/>
      <c r="I554" s="116"/>
      <c r="J554" s="116"/>
      <c r="K554" s="116"/>
      <c r="L554" s="114"/>
    </row>
    <row r="555" spans="1:12">
      <c r="A555" s="116"/>
      <c r="B555" s="116"/>
      <c r="C555" s="116"/>
      <c r="D555" s="116"/>
      <c r="E555" s="116"/>
      <c r="F555" s="116"/>
      <c r="G555" s="116"/>
      <c r="H555" s="116"/>
      <c r="I555" s="116"/>
      <c r="J555" s="116"/>
      <c r="K555" s="116"/>
      <c r="L555" s="114"/>
    </row>
    <row r="556" spans="1:12">
      <c r="A556" s="116"/>
      <c r="B556" s="116"/>
      <c r="C556" s="116"/>
      <c r="D556" s="116"/>
      <c r="E556" s="116"/>
      <c r="F556" s="116"/>
      <c r="G556" s="116"/>
      <c r="H556" s="116"/>
      <c r="I556" s="116"/>
      <c r="J556" s="116"/>
      <c r="K556" s="116"/>
      <c r="L556" s="114"/>
    </row>
    <row r="557" spans="1:12">
      <c r="A557" s="116"/>
      <c r="B557" s="116"/>
      <c r="C557" s="116"/>
      <c r="D557" s="116"/>
      <c r="E557" s="116"/>
      <c r="F557" s="116"/>
      <c r="G557" s="116"/>
      <c r="H557" s="116"/>
      <c r="I557" s="116"/>
      <c r="J557" s="116"/>
      <c r="K557" s="116"/>
      <c r="L557" s="114"/>
    </row>
    <row r="558" spans="1:12">
      <c r="A558" s="116"/>
      <c r="B558" s="116"/>
      <c r="C558" s="116"/>
      <c r="D558" s="116"/>
      <c r="E558" s="116"/>
      <c r="F558" s="116"/>
      <c r="G558" s="116"/>
      <c r="H558" s="116"/>
      <c r="I558" s="116"/>
      <c r="J558" s="116"/>
      <c r="K558" s="116"/>
      <c r="L558" s="114"/>
    </row>
    <row r="559" spans="1:12">
      <c r="A559" s="116"/>
      <c r="B559" s="116"/>
      <c r="C559" s="116"/>
      <c r="D559" s="116"/>
      <c r="E559" s="116"/>
      <c r="F559" s="116"/>
      <c r="G559" s="116"/>
      <c r="H559" s="116"/>
      <c r="I559" s="116"/>
      <c r="J559" s="116"/>
      <c r="K559" s="116"/>
      <c r="L559" s="114"/>
    </row>
    <row r="560" spans="1:12">
      <c r="A560" s="116"/>
      <c r="B560" s="116"/>
      <c r="C560" s="116"/>
      <c r="D560" s="116"/>
      <c r="E560" s="116"/>
      <c r="F560" s="116"/>
      <c r="G560" s="116"/>
      <c r="H560" s="116"/>
      <c r="I560" s="116"/>
      <c r="J560" s="116"/>
      <c r="K560" s="116"/>
      <c r="L560" s="114"/>
    </row>
    <row r="561" spans="1:12">
      <c r="A561" s="116"/>
      <c r="B561" s="116"/>
      <c r="C561" s="116"/>
      <c r="D561" s="116"/>
      <c r="E561" s="116"/>
      <c r="F561" s="116"/>
      <c r="G561" s="116"/>
      <c r="H561" s="116"/>
      <c r="I561" s="116"/>
      <c r="J561" s="116"/>
      <c r="K561" s="116"/>
      <c r="L561" s="114"/>
    </row>
    <row r="562" spans="1:12">
      <c r="A562" s="116"/>
      <c r="B562" s="116"/>
      <c r="C562" s="116"/>
      <c r="D562" s="116"/>
      <c r="E562" s="116"/>
      <c r="F562" s="116"/>
      <c r="G562" s="116"/>
      <c r="H562" s="116"/>
      <c r="I562" s="116"/>
      <c r="J562" s="116"/>
      <c r="K562" s="116"/>
      <c r="L562" s="114"/>
    </row>
    <row r="563" spans="1:12">
      <c r="A563" s="116"/>
      <c r="B563" s="116"/>
      <c r="C563" s="116"/>
      <c r="D563" s="116"/>
      <c r="E563" s="116"/>
      <c r="F563" s="116"/>
      <c r="G563" s="116"/>
      <c r="H563" s="116"/>
      <c r="I563" s="116"/>
      <c r="J563" s="116"/>
      <c r="K563" s="116"/>
      <c r="L563" s="114"/>
    </row>
    <row r="564" spans="1:12">
      <c r="A564" s="116"/>
      <c r="B564" s="116"/>
      <c r="C564" s="116"/>
      <c r="D564" s="116"/>
      <c r="E564" s="116"/>
      <c r="F564" s="116"/>
      <c r="G564" s="116"/>
      <c r="H564" s="116"/>
      <c r="I564" s="116"/>
      <c r="J564" s="116"/>
      <c r="K564" s="116"/>
      <c r="L564" s="114"/>
    </row>
    <row r="565" spans="1:12">
      <c r="A565" s="116"/>
      <c r="B565" s="116"/>
      <c r="C565" s="116"/>
      <c r="D565" s="116"/>
      <c r="E565" s="116"/>
      <c r="F565" s="116"/>
      <c r="G565" s="116"/>
      <c r="H565" s="116"/>
      <c r="I565" s="116"/>
      <c r="J565" s="116"/>
      <c r="K565" s="116"/>
      <c r="L565" s="114"/>
    </row>
    <row r="566" spans="1:12">
      <c r="A566" s="116"/>
      <c r="B566" s="116"/>
      <c r="C566" s="116"/>
      <c r="D566" s="116"/>
      <c r="E566" s="116"/>
      <c r="F566" s="116"/>
      <c r="G566" s="116"/>
      <c r="H566" s="116"/>
      <c r="I566" s="116"/>
      <c r="J566" s="116"/>
      <c r="K566" s="116"/>
      <c r="L566" s="114"/>
    </row>
    <row r="567" spans="1:12">
      <c r="A567" s="116"/>
      <c r="B567" s="116"/>
      <c r="C567" s="116"/>
      <c r="D567" s="116"/>
      <c r="E567" s="116"/>
      <c r="F567" s="116"/>
      <c r="G567" s="116"/>
      <c r="H567" s="116"/>
      <c r="I567" s="116"/>
      <c r="J567" s="116"/>
      <c r="K567" s="116"/>
      <c r="L567" s="114"/>
    </row>
    <row r="568" spans="1:12">
      <c r="A568" s="116"/>
      <c r="B568" s="116"/>
      <c r="C568" s="116"/>
      <c r="D568" s="116"/>
      <c r="E568" s="116"/>
      <c r="F568" s="116"/>
      <c r="G568" s="116"/>
      <c r="H568" s="116"/>
      <c r="I568" s="116"/>
      <c r="J568" s="116"/>
      <c r="K568" s="116"/>
      <c r="L568" s="114"/>
    </row>
    <row r="569" spans="1:12">
      <c r="A569" s="116"/>
      <c r="B569" s="116"/>
      <c r="C569" s="116"/>
      <c r="D569" s="116"/>
      <c r="E569" s="116"/>
      <c r="F569" s="116"/>
      <c r="G569" s="116"/>
      <c r="H569" s="116"/>
      <c r="I569" s="116"/>
      <c r="J569" s="116"/>
      <c r="K569" s="116"/>
      <c r="L569" s="114"/>
    </row>
    <row r="570" spans="1:12">
      <c r="A570" s="116"/>
      <c r="B570" s="116"/>
      <c r="C570" s="116"/>
      <c r="D570" s="116"/>
      <c r="E570" s="116"/>
      <c r="F570" s="116"/>
      <c r="G570" s="116"/>
      <c r="H570" s="116"/>
      <c r="I570" s="116"/>
      <c r="J570" s="116"/>
      <c r="K570" s="116"/>
      <c r="L570" s="114"/>
    </row>
    <row r="571" spans="1:12">
      <c r="A571" s="116"/>
      <c r="B571" s="116"/>
      <c r="C571" s="116"/>
      <c r="D571" s="116"/>
      <c r="E571" s="116"/>
      <c r="F571" s="116"/>
      <c r="G571" s="116"/>
      <c r="H571" s="116"/>
      <c r="I571" s="116"/>
      <c r="J571" s="116"/>
      <c r="K571" s="116"/>
      <c r="L571" s="114"/>
    </row>
    <row r="572" spans="1:12">
      <c r="A572" s="116"/>
      <c r="B572" s="116"/>
      <c r="C572" s="116"/>
      <c r="D572" s="116"/>
      <c r="E572" s="116"/>
      <c r="F572" s="116"/>
      <c r="G572" s="116"/>
      <c r="H572" s="116"/>
      <c r="I572" s="116"/>
      <c r="J572" s="116"/>
      <c r="K572" s="116"/>
      <c r="L572" s="114"/>
    </row>
    <row r="573" spans="1:12">
      <c r="A573" s="116"/>
      <c r="B573" s="116"/>
      <c r="C573" s="116"/>
      <c r="D573" s="116"/>
      <c r="E573" s="116"/>
      <c r="F573" s="116"/>
      <c r="G573" s="116"/>
      <c r="H573" s="116"/>
      <c r="I573" s="116"/>
      <c r="J573" s="116"/>
      <c r="K573" s="116"/>
      <c r="L573" s="114"/>
    </row>
    <row r="574" spans="1:12">
      <c r="A574" s="116"/>
      <c r="B574" s="116"/>
      <c r="C574" s="116"/>
      <c r="D574" s="116"/>
      <c r="E574" s="116"/>
      <c r="F574" s="116"/>
      <c r="G574" s="116"/>
      <c r="H574" s="116"/>
      <c r="I574" s="116"/>
      <c r="J574" s="116"/>
      <c r="K574" s="116"/>
      <c r="L574" s="114"/>
    </row>
    <row r="575" spans="1:12">
      <c r="A575" s="116"/>
      <c r="B575" s="116"/>
      <c r="C575" s="116"/>
      <c r="D575" s="116"/>
      <c r="E575" s="116"/>
      <c r="F575" s="116"/>
      <c r="G575" s="116"/>
      <c r="H575" s="116"/>
      <c r="I575" s="116"/>
      <c r="J575" s="116"/>
      <c r="K575" s="116"/>
      <c r="L575" s="114"/>
    </row>
    <row r="576" spans="1:12">
      <c r="A576" s="116"/>
      <c r="B576" s="116"/>
      <c r="C576" s="116"/>
      <c r="D576" s="116"/>
      <c r="E576" s="116"/>
      <c r="F576" s="116"/>
      <c r="G576" s="116"/>
      <c r="H576" s="116"/>
      <c r="I576" s="116"/>
      <c r="J576" s="116"/>
      <c r="K576" s="116"/>
      <c r="L576" s="114"/>
    </row>
    <row r="577" spans="1:12">
      <c r="A577" s="116"/>
      <c r="B577" s="116"/>
      <c r="C577" s="116"/>
      <c r="D577" s="116"/>
      <c r="E577" s="116"/>
      <c r="F577" s="116"/>
      <c r="G577" s="116"/>
      <c r="H577" s="116"/>
      <c r="I577" s="116"/>
      <c r="J577" s="116"/>
      <c r="K577" s="116"/>
      <c r="L577" s="114"/>
    </row>
    <row r="578" spans="1:12">
      <c r="A578" s="116"/>
      <c r="B578" s="116"/>
      <c r="C578" s="116"/>
      <c r="D578" s="116"/>
      <c r="E578" s="116"/>
      <c r="F578" s="116"/>
      <c r="G578" s="116"/>
      <c r="H578" s="116"/>
      <c r="I578" s="116"/>
      <c r="J578" s="116"/>
      <c r="K578" s="116"/>
      <c r="L578" s="114"/>
    </row>
    <row r="579" spans="1:12">
      <c r="A579" s="116"/>
      <c r="B579" s="116"/>
      <c r="C579" s="116"/>
      <c r="D579" s="116"/>
      <c r="E579" s="116"/>
      <c r="F579" s="116"/>
      <c r="G579" s="116"/>
      <c r="H579" s="116"/>
      <c r="I579" s="116"/>
      <c r="J579" s="116"/>
      <c r="K579" s="116"/>
      <c r="L579" s="114"/>
    </row>
    <row r="580" spans="1:12">
      <c r="A580" s="116"/>
      <c r="B580" s="116"/>
      <c r="C580" s="116"/>
      <c r="D580" s="116"/>
      <c r="E580" s="116"/>
      <c r="F580" s="116"/>
      <c r="G580" s="116"/>
      <c r="H580" s="116"/>
      <c r="I580" s="116"/>
      <c r="J580" s="116"/>
      <c r="K580" s="116"/>
      <c r="L580" s="114"/>
    </row>
    <row r="581" spans="1:12">
      <c r="A581" s="116"/>
      <c r="B581" s="116"/>
      <c r="C581" s="116"/>
      <c r="D581" s="116"/>
      <c r="E581" s="116"/>
      <c r="F581" s="116"/>
      <c r="G581" s="116"/>
      <c r="H581" s="116"/>
      <c r="I581" s="116"/>
      <c r="J581" s="116"/>
      <c r="K581" s="116"/>
      <c r="L581" s="114"/>
    </row>
    <row r="582" spans="1:12">
      <c r="A582" s="116"/>
      <c r="B582" s="116"/>
      <c r="C582" s="116"/>
      <c r="D582" s="116"/>
      <c r="E582" s="116"/>
      <c r="F582" s="116"/>
      <c r="G582" s="116"/>
      <c r="H582" s="116"/>
      <c r="I582" s="116"/>
      <c r="J582" s="116"/>
      <c r="K582" s="116"/>
      <c r="L582" s="114"/>
    </row>
    <row r="583" spans="1:12">
      <c r="A583" s="116"/>
      <c r="B583" s="116"/>
      <c r="C583" s="116"/>
      <c r="D583" s="116"/>
      <c r="E583" s="116"/>
      <c r="F583" s="116"/>
      <c r="G583" s="116"/>
      <c r="H583" s="116"/>
      <c r="I583" s="116"/>
      <c r="J583" s="116"/>
      <c r="K583" s="116"/>
      <c r="L583" s="114"/>
    </row>
    <row r="584" spans="1:12">
      <c r="A584" s="116"/>
      <c r="B584" s="116"/>
      <c r="C584" s="116"/>
      <c r="D584" s="116"/>
      <c r="E584" s="116"/>
      <c r="F584" s="116"/>
      <c r="G584" s="116"/>
      <c r="H584" s="116"/>
      <c r="I584" s="116"/>
      <c r="J584" s="116"/>
      <c r="K584" s="116"/>
      <c r="L584" s="114"/>
    </row>
    <row r="585" spans="1:12">
      <c r="A585" s="116"/>
      <c r="B585" s="116"/>
      <c r="C585" s="116"/>
      <c r="D585" s="116"/>
      <c r="E585" s="116"/>
      <c r="F585" s="116"/>
      <c r="G585" s="116"/>
      <c r="H585" s="116"/>
      <c r="I585" s="116"/>
      <c r="J585" s="116"/>
      <c r="K585" s="116"/>
      <c r="L585" s="114"/>
    </row>
    <row r="586" spans="1:12">
      <c r="A586" s="116"/>
      <c r="B586" s="116"/>
      <c r="C586" s="116"/>
      <c r="D586" s="116"/>
      <c r="E586" s="116"/>
      <c r="F586" s="116"/>
      <c r="G586" s="116"/>
      <c r="H586" s="116"/>
      <c r="I586" s="116"/>
      <c r="J586" s="116"/>
      <c r="K586" s="116"/>
      <c r="L586" s="114"/>
    </row>
    <row r="587" spans="1:12">
      <c r="A587" s="116"/>
      <c r="B587" s="116"/>
      <c r="C587" s="116"/>
      <c r="D587" s="116"/>
      <c r="E587" s="116"/>
      <c r="F587" s="116"/>
      <c r="G587" s="116"/>
      <c r="H587" s="116"/>
      <c r="I587" s="116"/>
      <c r="J587" s="116"/>
      <c r="K587" s="116"/>
      <c r="L587" s="114"/>
    </row>
    <row r="588" spans="1:12">
      <c r="A588" s="116"/>
      <c r="B588" s="116"/>
      <c r="C588" s="116"/>
      <c r="D588" s="116"/>
      <c r="E588" s="116"/>
      <c r="F588" s="116"/>
      <c r="G588" s="116"/>
      <c r="H588" s="116"/>
      <c r="I588" s="116"/>
      <c r="J588" s="116"/>
      <c r="K588" s="116"/>
      <c r="L588" s="114"/>
    </row>
    <row r="589" spans="1:12">
      <c r="A589" s="116"/>
      <c r="B589" s="116"/>
      <c r="C589" s="116"/>
      <c r="D589" s="116"/>
      <c r="E589" s="116"/>
      <c r="F589" s="116"/>
      <c r="G589" s="116"/>
      <c r="H589" s="116"/>
      <c r="I589" s="116"/>
      <c r="J589" s="116"/>
      <c r="K589" s="116"/>
      <c r="L589" s="114"/>
    </row>
    <row r="590" spans="1:12">
      <c r="A590" s="116"/>
      <c r="B590" s="116"/>
      <c r="C590" s="116"/>
      <c r="D590" s="116"/>
      <c r="E590" s="116"/>
      <c r="F590" s="116"/>
      <c r="G590" s="116"/>
      <c r="H590" s="116"/>
      <c r="I590" s="116"/>
      <c r="J590" s="116"/>
      <c r="K590" s="116"/>
      <c r="L590" s="114"/>
    </row>
    <row r="591" spans="1:12">
      <c r="A591" s="116"/>
      <c r="B591" s="116"/>
      <c r="C591" s="116"/>
      <c r="D591" s="116"/>
      <c r="E591" s="116"/>
      <c r="F591" s="116"/>
      <c r="G591" s="116"/>
      <c r="H591" s="116"/>
      <c r="I591" s="116"/>
      <c r="J591" s="116"/>
      <c r="K591" s="116"/>
      <c r="L591" s="114"/>
    </row>
    <row r="592" spans="1:12">
      <c r="A592" s="116"/>
      <c r="B592" s="116"/>
      <c r="C592" s="116"/>
      <c r="D592" s="116"/>
      <c r="E592" s="116"/>
      <c r="F592" s="116"/>
      <c r="G592" s="116"/>
      <c r="H592" s="116"/>
      <c r="I592" s="116"/>
      <c r="J592" s="116"/>
      <c r="K592" s="116"/>
      <c r="L592" s="114"/>
    </row>
    <row r="593" spans="1:12">
      <c r="A593" s="116"/>
      <c r="B593" s="116"/>
      <c r="C593" s="116"/>
      <c r="D593" s="116"/>
      <c r="E593" s="116"/>
      <c r="F593" s="116"/>
      <c r="G593" s="116"/>
      <c r="H593" s="116"/>
      <c r="I593" s="116"/>
      <c r="J593" s="116"/>
      <c r="K593" s="116"/>
      <c r="L593" s="114"/>
    </row>
    <row r="594" spans="1:12">
      <c r="A594" s="116"/>
      <c r="B594" s="116"/>
      <c r="C594" s="116"/>
      <c r="D594" s="116"/>
      <c r="E594" s="116"/>
      <c r="F594" s="116"/>
      <c r="G594" s="116"/>
      <c r="H594" s="116"/>
      <c r="I594" s="116"/>
      <c r="J594" s="116"/>
      <c r="K594" s="116"/>
      <c r="L594" s="114"/>
    </row>
    <row r="595" spans="1:12">
      <c r="A595" s="116"/>
      <c r="B595" s="116"/>
      <c r="C595" s="116"/>
      <c r="D595" s="116"/>
      <c r="E595" s="116"/>
      <c r="F595" s="116"/>
      <c r="G595" s="116"/>
      <c r="H595" s="116"/>
      <c r="I595" s="116"/>
      <c r="J595" s="116"/>
      <c r="K595" s="116"/>
      <c r="L595" s="114"/>
    </row>
    <row r="596" spans="1:12">
      <c r="A596" s="116"/>
      <c r="B596" s="116"/>
      <c r="C596" s="116"/>
      <c r="D596" s="116"/>
      <c r="E596" s="116"/>
      <c r="F596" s="116"/>
      <c r="G596" s="116"/>
      <c r="H596" s="116"/>
      <c r="I596" s="116"/>
      <c r="J596" s="116"/>
      <c r="K596" s="116"/>
      <c r="L596" s="114"/>
    </row>
    <row r="597" spans="1:12">
      <c r="A597" s="116"/>
      <c r="B597" s="116"/>
      <c r="C597" s="116"/>
      <c r="D597" s="116"/>
      <c r="E597" s="116"/>
      <c r="F597" s="116"/>
      <c r="G597" s="116"/>
      <c r="H597" s="116"/>
      <c r="I597" s="116"/>
      <c r="J597" s="116"/>
      <c r="K597" s="116"/>
      <c r="L597" s="114"/>
    </row>
    <row r="598" spans="1:12">
      <c r="A598" s="116"/>
      <c r="B598" s="116"/>
      <c r="C598" s="116"/>
      <c r="D598" s="116"/>
      <c r="E598" s="116"/>
      <c r="F598" s="116"/>
      <c r="G598" s="116"/>
      <c r="H598" s="116"/>
      <c r="I598" s="116"/>
      <c r="J598" s="116"/>
      <c r="K598" s="116"/>
      <c r="L598" s="114"/>
    </row>
    <row r="599" spans="1:12">
      <c r="A599" s="116"/>
      <c r="B599" s="116"/>
      <c r="C599" s="116"/>
      <c r="D599" s="116"/>
      <c r="E599" s="116"/>
      <c r="F599" s="116"/>
      <c r="G599" s="116"/>
      <c r="H599" s="116"/>
      <c r="I599" s="116"/>
      <c r="J599" s="116"/>
      <c r="K599" s="116"/>
      <c r="L599" s="114"/>
    </row>
    <row r="600" spans="1:12">
      <c r="A600" s="116"/>
      <c r="B600" s="116"/>
      <c r="C600" s="116"/>
      <c r="D600" s="116"/>
      <c r="E600" s="116"/>
      <c r="F600" s="116"/>
      <c r="G600" s="116"/>
      <c r="H600" s="116"/>
      <c r="I600" s="116"/>
      <c r="J600" s="116"/>
      <c r="K600" s="116"/>
      <c r="L600" s="114"/>
    </row>
    <row r="601" spans="1:12">
      <c r="A601" s="116"/>
      <c r="B601" s="116"/>
      <c r="C601" s="116"/>
      <c r="D601" s="116"/>
      <c r="E601" s="116"/>
      <c r="F601" s="116"/>
      <c r="G601" s="116"/>
      <c r="H601" s="116"/>
      <c r="I601" s="116"/>
      <c r="J601" s="116"/>
      <c r="K601" s="116"/>
      <c r="L601" s="114"/>
    </row>
    <row r="602" spans="1:12">
      <c r="A602" s="116"/>
      <c r="B602" s="116"/>
      <c r="C602" s="116"/>
      <c r="D602" s="116"/>
      <c r="E602" s="116"/>
      <c r="F602" s="116"/>
      <c r="G602" s="116"/>
      <c r="H602" s="116"/>
      <c r="I602" s="116"/>
      <c r="J602" s="116"/>
      <c r="K602" s="116"/>
      <c r="L602" s="114"/>
    </row>
    <row r="603" spans="1:12">
      <c r="A603" s="116"/>
      <c r="B603" s="116"/>
      <c r="C603" s="116"/>
      <c r="D603" s="116"/>
      <c r="E603" s="116"/>
      <c r="F603" s="116"/>
      <c r="G603" s="116"/>
      <c r="H603" s="116"/>
      <c r="I603" s="116"/>
      <c r="J603" s="116"/>
      <c r="K603" s="116"/>
      <c r="L603" s="114"/>
    </row>
    <row r="604" spans="1:12">
      <c r="A604" s="116"/>
      <c r="B604" s="116"/>
      <c r="C604" s="116"/>
      <c r="D604" s="116"/>
      <c r="E604" s="116"/>
      <c r="F604" s="116"/>
      <c r="G604" s="116"/>
      <c r="H604" s="116"/>
      <c r="I604" s="116"/>
      <c r="J604" s="116"/>
      <c r="K604" s="116"/>
      <c r="L604" s="114"/>
    </row>
    <row r="605" spans="1:12">
      <c r="A605" s="116"/>
      <c r="B605" s="116"/>
      <c r="C605" s="116"/>
      <c r="D605" s="116"/>
      <c r="E605" s="116"/>
      <c r="F605" s="116"/>
      <c r="G605" s="116"/>
      <c r="H605" s="116"/>
      <c r="I605" s="116"/>
      <c r="J605" s="116"/>
      <c r="K605" s="116"/>
      <c r="L605" s="114"/>
    </row>
    <row r="606" spans="1:12">
      <c r="A606" s="116"/>
      <c r="B606" s="116"/>
      <c r="C606" s="116"/>
      <c r="D606" s="116"/>
      <c r="E606" s="116"/>
      <c r="F606" s="116"/>
      <c r="G606" s="116"/>
      <c r="H606" s="116"/>
      <c r="I606" s="116"/>
      <c r="J606" s="116"/>
      <c r="K606" s="116"/>
      <c r="L606" s="114"/>
    </row>
    <row r="607" spans="1:12">
      <c r="A607" s="116"/>
      <c r="B607" s="116"/>
      <c r="C607" s="116"/>
      <c r="D607" s="116"/>
      <c r="E607" s="116"/>
      <c r="F607" s="116"/>
      <c r="G607" s="116"/>
      <c r="H607" s="116"/>
      <c r="I607" s="116"/>
      <c r="J607" s="116"/>
      <c r="K607" s="116"/>
      <c r="L607" s="114"/>
    </row>
    <row r="608" spans="1:12">
      <c r="A608" s="116"/>
      <c r="B608" s="116"/>
      <c r="C608" s="116"/>
      <c r="D608" s="116"/>
      <c r="E608" s="116"/>
      <c r="F608" s="116"/>
      <c r="G608" s="116"/>
      <c r="H608" s="116"/>
      <c r="I608" s="116"/>
      <c r="J608" s="116"/>
      <c r="K608" s="116"/>
      <c r="L608" s="114"/>
    </row>
    <row r="609" spans="1:12">
      <c r="A609" s="116"/>
      <c r="B609" s="116"/>
      <c r="C609" s="116"/>
      <c r="D609" s="116"/>
      <c r="E609" s="116"/>
      <c r="F609" s="116"/>
      <c r="G609" s="116"/>
      <c r="H609" s="116"/>
      <c r="I609" s="116"/>
      <c r="J609" s="116"/>
      <c r="K609" s="116"/>
      <c r="L609" s="114"/>
    </row>
    <row r="610" spans="1:12">
      <c r="A610" s="116"/>
      <c r="B610" s="116"/>
      <c r="C610" s="116"/>
      <c r="D610" s="116"/>
      <c r="E610" s="116"/>
      <c r="F610" s="116"/>
      <c r="G610" s="116"/>
      <c r="H610" s="116"/>
      <c r="I610" s="116"/>
      <c r="J610" s="116"/>
      <c r="K610" s="116"/>
      <c r="L610" s="114"/>
    </row>
    <row r="611" spans="1:12">
      <c r="A611" s="116"/>
      <c r="B611" s="116"/>
      <c r="C611" s="116"/>
      <c r="D611" s="116"/>
      <c r="E611" s="116"/>
      <c r="F611" s="116"/>
      <c r="G611" s="116"/>
      <c r="H611" s="116"/>
      <c r="I611" s="116"/>
      <c r="J611" s="116"/>
      <c r="K611" s="116"/>
      <c r="L611" s="114"/>
    </row>
    <row r="612" spans="1:12">
      <c r="A612" s="116"/>
      <c r="B612" s="116"/>
      <c r="C612" s="116"/>
      <c r="D612" s="116"/>
      <c r="E612" s="116"/>
      <c r="F612" s="116"/>
      <c r="G612" s="116"/>
      <c r="H612" s="116"/>
      <c r="I612" s="116"/>
      <c r="J612" s="116"/>
      <c r="K612" s="116"/>
      <c r="L612" s="114"/>
    </row>
    <row r="613" spans="1:12">
      <c r="A613" s="116"/>
      <c r="B613" s="116"/>
      <c r="C613" s="116"/>
      <c r="D613" s="116"/>
      <c r="E613" s="116"/>
      <c r="F613" s="116"/>
      <c r="G613" s="116"/>
      <c r="H613" s="116"/>
      <c r="I613" s="116"/>
      <c r="J613" s="116"/>
      <c r="K613" s="116"/>
      <c r="L613" s="114"/>
    </row>
    <row r="614" spans="1:12">
      <c r="A614" s="116"/>
      <c r="B614" s="116"/>
      <c r="C614" s="116"/>
      <c r="D614" s="116"/>
      <c r="E614" s="116"/>
      <c r="F614" s="116"/>
      <c r="G614" s="116"/>
      <c r="H614" s="116"/>
      <c r="I614" s="116"/>
      <c r="J614" s="116"/>
      <c r="K614" s="116"/>
      <c r="L614" s="114"/>
    </row>
    <row r="615" spans="1:12">
      <c r="A615" s="116"/>
      <c r="B615" s="116"/>
      <c r="C615" s="116"/>
      <c r="D615" s="116"/>
      <c r="E615" s="116"/>
      <c r="F615" s="116"/>
      <c r="G615" s="116"/>
      <c r="H615" s="116"/>
      <c r="I615" s="116"/>
      <c r="J615" s="116"/>
      <c r="K615" s="116"/>
      <c r="L615" s="114"/>
    </row>
    <row r="616" spans="1:12">
      <c r="A616" s="116"/>
      <c r="B616" s="116"/>
      <c r="C616" s="116"/>
      <c r="D616" s="116"/>
      <c r="E616" s="116"/>
      <c r="F616" s="116"/>
      <c r="G616" s="116"/>
      <c r="H616" s="116"/>
      <c r="I616" s="116"/>
      <c r="J616" s="116"/>
      <c r="K616" s="116"/>
      <c r="L616" s="114"/>
    </row>
    <row r="617" spans="1:12">
      <c r="A617" s="116"/>
      <c r="B617" s="116"/>
      <c r="C617" s="116"/>
      <c r="D617" s="116"/>
      <c r="E617" s="116"/>
      <c r="F617" s="116"/>
      <c r="G617" s="116"/>
      <c r="H617" s="116"/>
      <c r="I617" s="116"/>
      <c r="J617" s="116"/>
      <c r="K617" s="116"/>
      <c r="L617" s="114"/>
    </row>
    <row r="618" spans="1:12">
      <c r="A618" s="116"/>
      <c r="B618" s="116"/>
      <c r="C618" s="116"/>
      <c r="D618" s="116"/>
      <c r="E618" s="116"/>
      <c r="F618" s="116"/>
      <c r="G618" s="116"/>
      <c r="H618" s="116"/>
      <c r="I618" s="116"/>
      <c r="J618" s="116"/>
      <c r="K618" s="116"/>
      <c r="L618" s="114"/>
    </row>
    <row r="619" spans="1:12">
      <c r="A619" s="116"/>
      <c r="B619" s="116"/>
      <c r="C619" s="116"/>
      <c r="D619" s="116"/>
      <c r="E619" s="116"/>
      <c r="F619" s="116"/>
      <c r="G619" s="116"/>
      <c r="H619" s="116"/>
      <c r="I619" s="116"/>
      <c r="J619" s="116"/>
      <c r="K619" s="116"/>
      <c r="L619" s="114"/>
    </row>
    <row r="620" spans="1:12">
      <c r="A620" s="116"/>
      <c r="B620" s="116"/>
      <c r="C620" s="116"/>
      <c r="D620" s="116"/>
      <c r="E620" s="116"/>
      <c r="F620" s="116"/>
      <c r="G620" s="116"/>
      <c r="H620" s="116"/>
      <c r="I620" s="116"/>
      <c r="J620" s="116"/>
      <c r="K620" s="116"/>
      <c r="L620" s="114"/>
    </row>
    <row r="621" spans="1:12">
      <c r="A621" s="116"/>
      <c r="B621" s="116"/>
      <c r="C621" s="116"/>
      <c r="D621" s="116"/>
      <c r="E621" s="116"/>
      <c r="F621" s="116"/>
      <c r="G621" s="116"/>
      <c r="H621" s="116"/>
      <c r="I621" s="116"/>
      <c r="J621" s="116"/>
      <c r="K621" s="116"/>
      <c r="L621" s="114"/>
    </row>
    <row r="622" spans="1:12">
      <c r="A622" s="116"/>
      <c r="B622" s="116"/>
      <c r="C622" s="116"/>
      <c r="D622" s="116"/>
      <c r="E622" s="116"/>
      <c r="F622" s="116"/>
      <c r="G622" s="116"/>
      <c r="H622" s="116"/>
      <c r="I622" s="116"/>
      <c r="J622" s="116"/>
      <c r="K622" s="116"/>
      <c r="L622" s="114"/>
    </row>
    <row r="623" spans="1:12">
      <c r="A623" s="116"/>
      <c r="B623" s="116"/>
      <c r="C623" s="116"/>
      <c r="D623" s="116"/>
      <c r="E623" s="116"/>
      <c r="F623" s="116"/>
      <c r="G623" s="116"/>
      <c r="H623" s="116"/>
      <c r="I623" s="116"/>
      <c r="J623" s="116"/>
      <c r="K623" s="116"/>
      <c r="L623" s="114"/>
    </row>
    <row r="624" spans="1:12">
      <c r="A624" s="116"/>
      <c r="B624" s="116"/>
      <c r="C624" s="116"/>
      <c r="D624" s="116"/>
      <c r="E624" s="116"/>
      <c r="F624" s="116"/>
      <c r="G624" s="116"/>
      <c r="H624" s="116"/>
      <c r="I624" s="116"/>
      <c r="J624" s="116"/>
      <c r="K624" s="116"/>
      <c r="L624" s="114"/>
    </row>
    <row r="625" spans="1:12">
      <c r="A625" s="116"/>
      <c r="B625" s="116"/>
      <c r="C625" s="116"/>
      <c r="D625" s="116"/>
      <c r="E625" s="116"/>
      <c r="F625" s="116"/>
      <c r="G625" s="116"/>
      <c r="H625" s="116"/>
      <c r="I625" s="116"/>
      <c r="J625" s="116"/>
      <c r="K625" s="116"/>
      <c r="L625" s="114"/>
    </row>
    <row r="626" spans="1:12">
      <c r="A626" s="116"/>
      <c r="B626" s="116"/>
      <c r="C626" s="116"/>
      <c r="D626" s="116"/>
      <c r="E626" s="116"/>
      <c r="F626" s="116"/>
      <c r="G626" s="116"/>
      <c r="H626" s="116"/>
      <c r="I626" s="116"/>
      <c r="J626" s="116"/>
      <c r="K626" s="116"/>
      <c r="L626" s="114"/>
    </row>
    <row r="627" spans="1:12">
      <c r="A627" s="116"/>
      <c r="B627" s="116"/>
      <c r="C627" s="116"/>
      <c r="D627" s="116"/>
      <c r="E627" s="116"/>
      <c r="F627" s="116"/>
      <c r="G627" s="116"/>
      <c r="H627" s="116"/>
      <c r="I627" s="116"/>
      <c r="J627" s="116"/>
      <c r="K627" s="116"/>
      <c r="L627" s="114"/>
    </row>
    <row r="628" spans="1:12">
      <c r="A628" s="116"/>
      <c r="B628" s="116"/>
      <c r="C628" s="116"/>
      <c r="D628" s="116"/>
      <c r="E628" s="116"/>
      <c r="F628" s="116"/>
      <c r="G628" s="116"/>
      <c r="H628" s="116"/>
      <c r="I628" s="116"/>
      <c r="J628" s="116"/>
      <c r="K628" s="116"/>
      <c r="L628" s="114"/>
    </row>
    <row r="629" spans="1:12">
      <c r="A629" s="116"/>
      <c r="B629" s="116"/>
      <c r="C629" s="116"/>
      <c r="D629" s="116"/>
      <c r="E629" s="116"/>
      <c r="F629" s="116"/>
      <c r="G629" s="116"/>
      <c r="H629" s="116"/>
      <c r="I629" s="116"/>
      <c r="J629" s="116"/>
      <c r="K629" s="116"/>
      <c r="L629" s="114"/>
    </row>
    <row r="630" spans="1:12">
      <c r="A630" s="116"/>
      <c r="B630" s="116"/>
      <c r="C630" s="116"/>
      <c r="D630" s="116"/>
      <c r="E630" s="116"/>
      <c r="F630" s="116"/>
      <c r="G630" s="116"/>
      <c r="H630" s="116"/>
      <c r="I630" s="116"/>
      <c r="J630" s="116"/>
      <c r="K630" s="116"/>
      <c r="L630" s="114"/>
    </row>
    <row r="631" spans="1:12">
      <c r="A631" s="116"/>
      <c r="B631" s="116"/>
      <c r="C631" s="116"/>
      <c r="D631" s="116"/>
      <c r="E631" s="116"/>
      <c r="F631" s="116"/>
      <c r="G631" s="116"/>
      <c r="H631" s="116"/>
      <c r="I631" s="116"/>
      <c r="J631" s="116"/>
      <c r="K631" s="116"/>
      <c r="L631" s="114"/>
    </row>
    <row r="632" spans="1:12">
      <c r="A632" s="116"/>
      <c r="B632" s="116"/>
      <c r="C632" s="116"/>
      <c r="D632" s="116"/>
      <c r="E632" s="116"/>
      <c r="F632" s="116"/>
      <c r="G632" s="116"/>
      <c r="H632" s="116"/>
      <c r="I632" s="116"/>
      <c r="J632" s="116"/>
      <c r="K632" s="116"/>
      <c r="L632" s="114"/>
    </row>
    <row r="633" spans="1:12">
      <c r="A633" s="116"/>
      <c r="B633" s="116"/>
      <c r="C633" s="116"/>
      <c r="D633" s="116"/>
      <c r="E633" s="116"/>
      <c r="F633" s="116"/>
      <c r="G633" s="116"/>
      <c r="H633" s="116"/>
      <c r="I633" s="116"/>
      <c r="J633" s="116"/>
      <c r="K633" s="116"/>
      <c r="L633" s="114"/>
    </row>
    <row r="634" spans="1:12">
      <c r="A634" s="116"/>
      <c r="B634" s="116"/>
      <c r="C634" s="116"/>
      <c r="D634" s="116"/>
      <c r="E634" s="116"/>
      <c r="F634" s="116"/>
      <c r="G634" s="116"/>
      <c r="H634" s="116"/>
      <c r="I634" s="116"/>
      <c r="J634" s="116"/>
      <c r="K634" s="116"/>
      <c r="L634" s="114"/>
    </row>
    <row r="635" spans="1:12">
      <c r="A635" s="116"/>
      <c r="B635" s="116"/>
      <c r="C635" s="116"/>
      <c r="D635" s="116"/>
      <c r="E635" s="116"/>
      <c r="F635" s="116"/>
      <c r="G635" s="116"/>
      <c r="H635" s="116"/>
      <c r="I635" s="116"/>
      <c r="J635" s="116"/>
      <c r="K635" s="116"/>
      <c r="L635" s="114"/>
    </row>
    <row r="636" spans="1:12">
      <c r="A636" s="116"/>
      <c r="B636" s="116"/>
      <c r="C636" s="116"/>
      <c r="D636" s="116"/>
      <c r="E636" s="116"/>
      <c r="F636" s="116"/>
      <c r="G636" s="116"/>
      <c r="H636" s="116"/>
      <c r="I636" s="116"/>
      <c r="J636" s="116"/>
      <c r="K636" s="116"/>
      <c r="L636" s="114"/>
    </row>
    <row r="637" spans="1:12">
      <c r="A637" s="116"/>
      <c r="B637" s="116"/>
      <c r="C637" s="116"/>
      <c r="D637" s="116"/>
      <c r="E637" s="116"/>
      <c r="F637" s="116"/>
      <c r="G637" s="116"/>
      <c r="H637" s="116"/>
      <c r="I637" s="116"/>
      <c r="J637" s="116"/>
      <c r="K637" s="116"/>
      <c r="L637" s="114"/>
    </row>
    <row r="638" spans="1:12">
      <c r="A638" s="116"/>
      <c r="B638" s="116"/>
      <c r="C638" s="116"/>
      <c r="D638" s="116"/>
      <c r="E638" s="116"/>
      <c r="F638" s="116"/>
      <c r="G638" s="116"/>
      <c r="H638" s="116"/>
      <c r="I638" s="116"/>
      <c r="J638" s="116"/>
      <c r="K638" s="116"/>
      <c r="L638" s="114"/>
    </row>
    <row r="639" spans="1:12">
      <c r="A639" s="116"/>
      <c r="B639" s="116"/>
      <c r="C639" s="116"/>
      <c r="D639" s="116"/>
      <c r="E639" s="116"/>
      <c r="F639" s="116"/>
      <c r="G639" s="116"/>
      <c r="H639" s="116"/>
      <c r="I639" s="116"/>
      <c r="J639" s="116"/>
      <c r="K639" s="116"/>
      <c r="L639" s="114"/>
    </row>
    <row r="640" spans="1:12">
      <c r="A640" s="116"/>
      <c r="B640" s="116"/>
      <c r="C640" s="116"/>
      <c r="D640" s="116"/>
      <c r="E640" s="116"/>
      <c r="F640" s="116"/>
      <c r="G640" s="116"/>
      <c r="H640" s="116"/>
      <c r="I640" s="116"/>
      <c r="J640" s="116"/>
      <c r="K640" s="116"/>
      <c r="L640" s="114"/>
    </row>
    <row r="641" spans="1:12">
      <c r="A641" s="116"/>
      <c r="B641" s="116"/>
      <c r="C641" s="116"/>
      <c r="D641" s="116"/>
      <c r="E641" s="116"/>
      <c r="F641" s="116"/>
      <c r="G641" s="116"/>
      <c r="H641" s="116"/>
      <c r="I641" s="116"/>
      <c r="J641" s="116"/>
      <c r="K641" s="116"/>
      <c r="L641" s="114"/>
    </row>
    <row r="642" spans="1:12">
      <c r="A642" s="116"/>
      <c r="B642" s="116"/>
      <c r="C642" s="116"/>
      <c r="D642" s="116"/>
      <c r="E642" s="116"/>
      <c r="F642" s="116"/>
      <c r="G642" s="116"/>
      <c r="H642" s="116"/>
      <c r="I642" s="116"/>
      <c r="J642" s="116"/>
      <c r="K642" s="116"/>
      <c r="L642" s="114"/>
    </row>
    <row r="643" spans="1:12">
      <c r="A643" s="116"/>
      <c r="B643" s="116"/>
      <c r="C643" s="116"/>
      <c r="D643" s="116"/>
      <c r="E643" s="116"/>
      <c r="F643" s="116"/>
      <c r="G643" s="116"/>
      <c r="H643" s="116"/>
      <c r="I643" s="116"/>
      <c r="J643" s="116"/>
      <c r="K643" s="116"/>
      <c r="L643" s="114"/>
    </row>
    <row r="644" spans="1:12">
      <c r="A644" s="116"/>
      <c r="B644" s="116"/>
      <c r="C644" s="116"/>
      <c r="D644" s="116"/>
      <c r="E644" s="116"/>
      <c r="F644" s="116"/>
      <c r="G644" s="116"/>
      <c r="H644" s="116"/>
      <c r="I644" s="116"/>
      <c r="J644" s="116"/>
      <c r="K644" s="116"/>
      <c r="L644" s="114"/>
    </row>
    <row r="645" spans="1:12">
      <c r="A645" s="116"/>
      <c r="B645" s="116"/>
      <c r="C645" s="116"/>
      <c r="D645" s="116"/>
      <c r="E645" s="116"/>
      <c r="F645" s="116"/>
      <c r="G645" s="116"/>
      <c r="H645" s="116"/>
      <c r="I645" s="116"/>
      <c r="J645" s="116"/>
      <c r="K645" s="116"/>
      <c r="L645" s="114"/>
    </row>
    <row r="646" spans="1:12">
      <c r="A646" s="116"/>
      <c r="B646" s="116"/>
      <c r="C646" s="116"/>
      <c r="D646" s="116"/>
      <c r="E646" s="116"/>
      <c r="F646" s="116"/>
      <c r="G646" s="116"/>
      <c r="H646" s="116"/>
      <c r="I646" s="116"/>
      <c r="J646" s="116"/>
      <c r="K646" s="116"/>
      <c r="L646" s="114"/>
    </row>
    <row r="647" spans="1:12">
      <c r="A647" s="116"/>
      <c r="B647" s="116"/>
      <c r="C647" s="116"/>
      <c r="D647" s="116"/>
      <c r="E647" s="116"/>
      <c r="F647" s="116"/>
      <c r="G647" s="116"/>
      <c r="H647" s="116"/>
      <c r="I647" s="116"/>
      <c r="J647" s="116"/>
      <c r="K647" s="116"/>
      <c r="L647" s="114"/>
    </row>
    <row r="648" spans="1:12">
      <c r="A648" s="116"/>
      <c r="B648" s="116"/>
      <c r="C648" s="116"/>
      <c r="D648" s="116"/>
      <c r="E648" s="116"/>
      <c r="F648" s="116"/>
      <c r="G648" s="116"/>
      <c r="H648" s="116"/>
      <c r="I648" s="116"/>
      <c r="J648" s="116"/>
      <c r="K648" s="116"/>
      <c r="L648" s="114"/>
    </row>
    <row r="649" spans="1:12">
      <c r="A649" s="116"/>
      <c r="B649" s="116"/>
      <c r="C649" s="116"/>
      <c r="D649" s="116"/>
      <c r="E649" s="116"/>
      <c r="F649" s="116"/>
      <c r="G649" s="116"/>
      <c r="H649" s="116"/>
      <c r="I649" s="116"/>
      <c r="J649" s="116"/>
      <c r="K649" s="116"/>
      <c r="L649" s="114"/>
    </row>
    <row r="650" spans="1:12">
      <c r="A650" s="116"/>
      <c r="B650" s="116"/>
      <c r="C650" s="116"/>
      <c r="D650" s="116"/>
      <c r="E650" s="116"/>
      <c r="F650" s="116"/>
      <c r="G650" s="116"/>
      <c r="H650" s="116"/>
      <c r="I650" s="116"/>
      <c r="J650" s="116"/>
      <c r="K650" s="116"/>
      <c r="L650" s="114"/>
    </row>
    <row r="651" spans="1:12">
      <c r="A651" s="116"/>
      <c r="B651" s="116"/>
      <c r="C651" s="116"/>
      <c r="D651" s="116"/>
      <c r="E651" s="116"/>
      <c r="F651" s="116"/>
      <c r="G651" s="116"/>
      <c r="H651" s="116"/>
      <c r="I651" s="116"/>
      <c r="J651" s="116"/>
      <c r="K651" s="116"/>
      <c r="L651" s="114"/>
    </row>
    <row r="652" spans="1:12">
      <c r="A652" s="116"/>
      <c r="B652" s="116"/>
      <c r="C652" s="116"/>
      <c r="D652" s="116"/>
      <c r="E652" s="116"/>
      <c r="F652" s="116"/>
      <c r="G652" s="116"/>
      <c r="H652" s="116"/>
      <c r="I652" s="116"/>
      <c r="J652" s="116"/>
      <c r="K652" s="116"/>
      <c r="L652" s="114"/>
    </row>
    <row r="653" spans="1:12">
      <c r="A653" s="116"/>
      <c r="B653" s="116"/>
      <c r="C653" s="116"/>
      <c r="D653" s="116"/>
      <c r="E653" s="116"/>
      <c r="F653" s="116"/>
      <c r="G653" s="116"/>
      <c r="H653" s="116"/>
      <c r="I653" s="116"/>
      <c r="J653" s="116"/>
      <c r="K653" s="116"/>
      <c r="L653" s="114"/>
    </row>
    <row r="654" spans="1:12">
      <c r="A654" s="116"/>
      <c r="B654" s="116"/>
      <c r="C654" s="116"/>
      <c r="D654" s="116"/>
      <c r="E654" s="116"/>
      <c r="F654" s="116"/>
      <c r="G654" s="116"/>
      <c r="H654" s="116"/>
      <c r="I654" s="116"/>
      <c r="J654" s="116"/>
      <c r="K654" s="116"/>
      <c r="L654" s="114"/>
    </row>
    <row r="655" spans="1:12">
      <c r="A655" s="116"/>
      <c r="B655" s="116"/>
      <c r="C655" s="116"/>
      <c r="D655" s="116"/>
      <c r="E655" s="116"/>
      <c r="F655" s="116"/>
      <c r="G655" s="116"/>
      <c r="H655" s="116"/>
      <c r="I655" s="116"/>
      <c r="J655" s="116"/>
      <c r="K655" s="116"/>
      <c r="L655" s="114"/>
    </row>
    <row r="656" spans="1:12">
      <c r="A656" s="116"/>
      <c r="B656" s="116"/>
      <c r="C656" s="116"/>
      <c r="D656" s="116"/>
      <c r="E656" s="116"/>
      <c r="F656" s="116"/>
      <c r="G656" s="116"/>
      <c r="H656" s="116"/>
      <c r="I656" s="116"/>
      <c r="J656" s="116"/>
      <c r="K656" s="116"/>
      <c r="L656" s="114"/>
    </row>
    <row r="657" spans="1:12">
      <c r="A657" s="116"/>
      <c r="B657" s="116"/>
      <c r="C657" s="116"/>
      <c r="D657" s="116"/>
      <c r="E657" s="116"/>
      <c r="F657" s="116"/>
      <c r="G657" s="116"/>
      <c r="H657" s="116"/>
      <c r="I657" s="116"/>
      <c r="J657" s="116"/>
      <c r="K657" s="116"/>
      <c r="L657" s="114"/>
    </row>
    <row r="658" spans="1:12">
      <c r="A658" s="116"/>
      <c r="B658" s="116"/>
      <c r="C658" s="116"/>
      <c r="D658" s="116"/>
      <c r="E658" s="116"/>
      <c r="F658" s="116"/>
      <c r="G658" s="116"/>
      <c r="H658" s="116"/>
      <c r="I658" s="116"/>
      <c r="J658" s="116"/>
      <c r="K658" s="116"/>
      <c r="L658" s="114"/>
    </row>
    <row r="659" spans="1:12">
      <c r="A659" s="116"/>
      <c r="B659" s="116"/>
      <c r="C659" s="116"/>
      <c r="D659" s="116"/>
      <c r="E659" s="116"/>
      <c r="F659" s="116"/>
      <c r="G659" s="116"/>
      <c r="H659" s="116"/>
      <c r="I659" s="116"/>
      <c r="J659" s="116"/>
      <c r="K659" s="116"/>
      <c r="L659" s="114"/>
    </row>
    <row r="660" spans="1:12">
      <c r="A660" s="116"/>
      <c r="B660" s="116"/>
      <c r="C660" s="116"/>
      <c r="D660" s="116"/>
      <c r="E660" s="116"/>
      <c r="F660" s="116"/>
      <c r="G660" s="116"/>
      <c r="H660" s="116"/>
      <c r="I660" s="116"/>
      <c r="J660" s="116"/>
      <c r="K660" s="116"/>
      <c r="L660" s="114"/>
    </row>
    <row r="661" spans="1:12">
      <c r="A661" s="116"/>
      <c r="B661" s="116"/>
      <c r="C661" s="116"/>
      <c r="D661" s="116"/>
      <c r="E661" s="116"/>
      <c r="F661" s="116"/>
      <c r="G661" s="116"/>
      <c r="H661" s="116"/>
      <c r="I661" s="116"/>
      <c r="J661" s="116"/>
      <c r="K661" s="116"/>
      <c r="L661" s="114"/>
    </row>
    <row r="662" spans="1:12">
      <c r="A662" s="116"/>
      <c r="B662" s="116"/>
      <c r="C662" s="116"/>
      <c r="D662" s="116"/>
      <c r="E662" s="116"/>
      <c r="F662" s="116"/>
      <c r="G662" s="116"/>
      <c r="H662" s="116"/>
      <c r="I662" s="116"/>
      <c r="J662" s="116"/>
      <c r="K662" s="116"/>
      <c r="L662" s="114"/>
    </row>
    <row r="663" spans="1:12">
      <c r="A663" s="116"/>
      <c r="B663" s="116"/>
      <c r="C663" s="116"/>
      <c r="D663" s="116"/>
      <c r="E663" s="116"/>
      <c r="F663" s="116"/>
      <c r="G663" s="116"/>
      <c r="H663" s="116"/>
      <c r="I663" s="116"/>
      <c r="J663" s="116"/>
      <c r="K663" s="116"/>
      <c r="L663" s="114"/>
    </row>
    <row r="664" spans="1:12">
      <c r="A664" s="116"/>
      <c r="B664" s="116"/>
      <c r="C664" s="116"/>
      <c r="D664" s="116"/>
      <c r="E664" s="116"/>
      <c r="F664" s="116"/>
      <c r="G664" s="116"/>
      <c r="H664" s="116"/>
      <c r="I664" s="116"/>
      <c r="J664" s="116"/>
      <c r="K664" s="116"/>
      <c r="L664" s="114"/>
    </row>
    <row r="665" spans="1:12">
      <c r="A665" s="116"/>
      <c r="B665" s="116"/>
      <c r="C665" s="116"/>
      <c r="D665" s="116"/>
      <c r="E665" s="116"/>
      <c r="F665" s="116"/>
      <c r="G665" s="116"/>
      <c r="H665" s="116"/>
      <c r="I665" s="116"/>
      <c r="J665" s="116"/>
      <c r="K665" s="116"/>
      <c r="L665" s="114"/>
    </row>
    <row r="666" spans="1:12">
      <c r="A666" s="116"/>
      <c r="B666" s="116"/>
      <c r="C666" s="116"/>
      <c r="D666" s="116"/>
      <c r="E666" s="116"/>
      <c r="F666" s="116"/>
      <c r="G666" s="116"/>
      <c r="H666" s="116"/>
      <c r="I666" s="116"/>
      <c r="J666" s="116"/>
      <c r="K666" s="116"/>
      <c r="L666" s="114"/>
    </row>
    <row r="667" spans="1:12">
      <c r="A667" s="116"/>
      <c r="B667" s="116"/>
      <c r="C667" s="116"/>
      <c r="D667" s="116"/>
      <c r="E667" s="116"/>
      <c r="F667" s="116"/>
      <c r="G667" s="116"/>
      <c r="H667" s="116"/>
      <c r="I667" s="116"/>
      <c r="J667" s="116"/>
      <c r="K667" s="116"/>
      <c r="L667" s="114"/>
    </row>
    <row r="668" spans="1:12">
      <c r="A668" s="116"/>
      <c r="B668" s="116"/>
      <c r="C668" s="116"/>
      <c r="D668" s="116"/>
      <c r="E668" s="116"/>
      <c r="F668" s="116"/>
      <c r="G668" s="116"/>
      <c r="H668" s="116"/>
      <c r="I668" s="116"/>
      <c r="J668" s="116"/>
      <c r="K668" s="116"/>
      <c r="L668" s="114"/>
    </row>
    <row r="669" spans="1:12">
      <c r="A669" s="116"/>
      <c r="B669" s="116"/>
      <c r="C669" s="116"/>
      <c r="D669" s="116"/>
      <c r="E669" s="116"/>
      <c r="F669" s="116"/>
      <c r="G669" s="116"/>
      <c r="H669" s="116"/>
      <c r="I669" s="116"/>
      <c r="J669" s="116"/>
      <c r="K669" s="116"/>
      <c r="L669" s="114"/>
    </row>
    <row r="670" spans="1:12">
      <c r="A670" s="116"/>
      <c r="B670" s="116"/>
      <c r="C670" s="116"/>
      <c r="D670" s="116"/>
      <c r="E670" s="116"/>
      <c r="F670" s="116"/>
      <c r="G670" s="116"/>
      <c r="H670" s="116"/>
      <c r="I670" s="116"/>
      <c r="J670" s="116"/>
      <c r="K670" s="116"/>
      <c r="L670" s="114"/>
    </row>
    <row r="671" spans="1:12">
      <c r="A671" s="116"/>
      <c r="B671" s="116"/>
      <c r="C671" s="116"/>
      <c r="D671" s="116"/>
      <c r="E671" s="116"/>
      <c r="F671" s="116"/>
      <c r="G671" s="116"/>
      <c r="H671" s="116"/>
      <c r="I671" s="116"/>
      <c r="J671" s="116"/>
      <c r="K671" s="116"/>
      <c r="L671" s="114"/>
    </row>
    <row r="672" spans="1:12">
      <c r="A672" s="116"/>
      <c r="B672" s="116"/>
      <c r="C672" s="116"/>
      <c r="D672" s="116"/>
      <c r="E672" s="116"/>
      <c r="F672" s="116"/>
      <c r="G672" s="116"/>
      <c r="H672" s="116"/>
      <c r="I672" s="116"/>
      <c r="J672" s="116"/>
      <c r="K672" s="116"/>
      <c r="L672" s="114"/>
    </row>
    <row r="673" spans="1:12">
      <c r="A673" s="116"/>
      <c r="B673" s="116"/>
      <c r="C673" s="116"/>
      <c r="D673" s="116"/>
      <c r="E673" s="116"/>
      <c r="F673" s="116"/>
      <c r="G673" s="116"/>
      <c r="H673" s="116"/>
      <c r="I673" s="116"/>
      <c r="J673" s="116"/>
      <c r="K673" s="116"/>
      <c r="L673" s="114"/>
    </row>
    <row r="674" spans="1:12">
      <c r="A674" s="116"/>
      <c r="B674" s="116"/>
      <c r="C674" s="116"/>
      <c r="D674" s="116"/>
      <c r="E674" s="116"/>
      <c r="F674" s="116"/>
      <c r="G674" s="116"/>
      <c r="H674" s="116"/>
      <c r="I674" s="116"/>
      <c r="J674" s="116"/>
      <c r="K674" s="116"/>
      <c r="L674" s="114"/>
    </row>
    <row r="675" spans="1:12">
      <c r="A675" s="116"/>
      <c r="B675" s="116"/>
      <c r="C675" s="116"/>
      <c r="D675" s="116"/>
      <c r="E675" s="116"/>
      <c r="F675" s="116"/>
      <c r="G675" s="116"/>
      <c r="H675" s="116"/>
      <c r="I675" s="116"/>
      <c r="J675" s="116"/>
      <c r="K675" s="116"/>
      <c r="L675" s="114"/>
    </row>
    <row r="676" spans="1:12">
      <c r="A676" s="116"/>
      <c r="B676" s="116"/>
      <c r="C676" s="116"/>
      <c r="D676" s="116"/>
      <c r="E676" s="116"/>
      <c r="F676" s="116"/>
      <c r="G676" s="116"/>
      <c r="H676" s="116"/>
      <c r="I676" s="116"/>
      <c r="J676" s="116"/>
      <c r="K676" s="116"/>
      <c r="L676" s="114"/>
    </row>
    <row r="677" spans="1:12">
      <c r="A677" s="116"/>
      <c r="B677" s="116"/>
      <c r="C677" s="116"/>
      <c r="D677" s="116"/>
      <c r="E677" s="116"/>
      <c r="F677" s="116"/>
      <c r="G677" s="116"/>
      <c r="H677" s="116"/>
      <c r="I677" s="116"/>
      <c r="J677" s="116"/>
      <c r="K677" s="116"/>
      <c r="L677" s="114"/>
    </row>
    <row r="678" spans="1:12">
      <c r="A678" s="116"/>
      <c r="B678" s="116"/>
      <c r="C678" s="116"/>
      <c r="D678" s="116"/>
      <c r="E678" s="116"/>
      <c r="F678" s="116"/>
      <c r="G678" s="116"/>
      <c r="H678" s="116"/>
      <c r="I678" s="116"/>
      <c r="J678" s="116"/>
      <c r="K678" s="116"/>
      <c r="L678" s="114"/>
    </row>
    <row r="679" spans="1:12">
      <c r="A679" s="116"/>
      <c r="B679" s="116"/>
      <c r="C679" s="116"/>
      <c r="D679" s="116"/>
      <c r="E679" s="116"/>
      <c r="F679" s="116"/>
      <c r="G679" s="116"/>
      <c r="H679" s="116"/>
      <c r="I679" s="116"/>
      <c r="J679" s="116"/>
      <c r="K679" s="116"/>
      <c r="L679" s="114"/>
    </row>
    <row r="680" spans="1:12">
      <c r="A680" s="116"/>
      <c r="B680" s="116"/>
      <c r="C680" s="116"/>
      <c r="D680" s="116"/>
      <c r="E680" s="116"/>
      <c r="F680" s="116"/>
      <c r="G680" s="116"/>
      <c r="H680" s="116"/>
      <c r="I680" s="116"/>
      <c r="J680" s="116"/>
      <c r="K680" s="116"/>
      <c r="L680" s="114"/>
    </row>
    <row r="681" spans="1:12">
      <c r="A681" s="116"/>
      <c r="B681" s="116"/>
      <c r="C681" s="116"/>
      <c r="D681" s="116"/>
      <c r="E681" s="116"/>
      <c r="F681" s="116"/>
      <c r="G681" s="116"/>
      <c r="H681" s="116"/>
      <c r="I681" s="116"/>
      <c r="J681" s="116"/>
      <c r="K681" s="116"/>
      <c r="L681" s="114"/>
    </row>
    <row r="682" spans="1:12">
      <c r="A682" s="116"/>
      <c r="B682" s="116"/>
      <c r="C682" s="116"/>
      <c r="D682" s="116"/>
      <c r="E682" s="116"/>
      <c r="F682" s="116"/>
      <c r="G682" s="116"/>
      <c r="H682" s="116"/>
      <c r="I682" s="116"/>
      <c r="J682" s="116"/>
      <c r="K682" s="116"/>
      <c r="L682" s="114"/>
    </row>
    <row r="683" spans="1:12">
      <c r="A683" s="116"/>
      <c r="B683" s="116"/>
      <c r="C683" s="116"/>
      <c r="D683" s="116"/>
      <c r="E683" s="116"/>
      <c r="F683" s="116"/>
      <c r="G683" s="116"/>
      <c r="H683" s="116"/>
      <c r="I683" s="116"/>
      <c r="J683" s="116"/>
      <c r="K683" s="116"/>
      <c r="L683" s="114"/>
    </row>
    <row r="684" spans="1:12">
      <c r="A684" s="116"/>
      <c r="B684" s="116"/>
      <c r="C684" s="116"/>
      <c r="D684" s="116"/>
      <c r="E684" s="116"/>
      <c r="F684" s="116"/>
      <c r="G684" s="116"/>
      <c r="H684" s="116"/>
      <c r="I684" s="116"/>
      <c r="J684" s="116"/>
      <c r="K684" s="116"/>
      <c r="L684" s="114"/>
    </row>
    <row r="685" spans="1:12">
      <c r="A685" s="116"/>
      <c r="B685" s="116"/>
      <c r="C685" s="116"/>
      <c r="D685" s="116"/>
      <c r="E685" s="116"/>
      <c r="F685" s="116"/>
      <c r="G685" s="116"/>
      <c r="H685" s="116"/>
      <c r="I685" s="116"/>
      <c r="J685" s="116"/>
      <c r="K685" s="116"/>
      <c r="L685" s="114"/>
    </row>
    <row r="686" spans="1:12">
      <c r="A686" s="116"/>
      <c r="B686" s="116"/>
      <c r="C686" s="116"/>
      <c r="D686" s="116"/>
      <c r="E686" s="116"/>
      <c r="F686" s="116"/>
      <c r="G686" s="116"/>
      <c r="H686" s="116"/>
      <c r="I686" s="116"/>
      <c r="J686" s="116"/>
      <c r="K686" s="116"/>
      <c r="L686" s="114"/>
    </row>
    <row r="687" spans="1:12">
      <c r="A687" s="116"/>
      <c r="B687" s="116"/>
      <c r="C687" s="116"/>
      <c r="D687" s="116"/>
      <c r="E687" s="116"/>
      <c r="F687" s="116"/>
      <c r="G687" s="116"/>
      <c r="H687" s="116"/>
      <c r="I687" s="116"/>
      <c r="J687" s="116"/>
      <c r="K687" s="116"/>
      <c r="L687" s="114"/>
    </row>
    <row r="688" spans="1:12">
      <c r="A688" s="116"/>
      <c r="B688" s="116"/>
      <c r="C688" s="116"/>
      <c r="D688" s="116"/>
      <c r="E688" s="116"/>
      <c r="F688" s="116"/>
      <c r="G688" s="116"/>
      <c r="H688" s="116"/>
      <c r="I688" s="116"/>
      <c r="J688" s="116"/>
      <c r="K688" s="116"/>
      <c r="L688" s="114"/>
    </row>
    <row r="689" spans="1:12">
      <c r="A689" s="116"/>
      <c r="B689" s="116"/>
      <c r="C689" s="116"/>
      <c r="D689" s="116"/>
      <c r="E689" s="116"/>
      <c r="F689" s="116"/>
      <c r="G689" s="116"/>
      <c r="H689" s="116"/>
      <c r="I689" s="116"/>
      <c r="J689" s="116"/>
      <c r="K689" s="116"/>
      <c r="L689" s="114"/>
    </row>
    <row r="690" spans="1:12">
      <c r="A690" s="116"/>
      <c r="B690" s="116"/>
      <c r="C690" s="116"/>
      <c r="D690" s="116"/>
      <c r="E690" s="116"/>
      <c r="F690" s="116"/>
      <c r="G690" s="116"/>
      <c r="H690" s="116"/>
      <c r="I690" s="116"/>
      <c r="J690" s="116"/>
      <c r="K690" s="116"/>
      <c r="L690" s="114"/>
    </row>
    <row r="691" spans="1:12">
      <c r="A691" s="116"/>
      <c r="B691" s="116"/>
      <c r="C691" s="116"/>
      <c r="D691" s="116"/>
      <c r="E691" s="116"/>
      <c r="F691" s="116"/>
      <c r="G691" s="116"/>
      <c r="H691" s="116"/>
      <c r="I691" s="116"/>
      <c r="J691" s="116"/>
      <c r="K691" s="116"/>
      <c r="L691" s="114"/>
    </row>
    <row r="692" spans="1:12">
      <c r="A692" s="116"/>
      <c r="B692" s="116"/>
      <c r="C692" s="116"/>
      <c r="D692" s="116"/>
      <c r="E692" s="116"/>
      <c r="F692" s="116"/>
      <c r="G692" s="116"/>
      <c r="H692" s="116"/>
      <c r="I692" s="116"/>
      <c r="J692" s="116"/>
      <c r="K692" s="116"/>
      <c r="L692" s="114"/>
    </row>
    <row r="693" spans="1:12">
      <c r="A693" s="116"/>
      <c r="B693" s="116"/>
      <c r="C693" s="116"/>
      <c r="D693" s="116"/>
      <c r="E693" s="116"/>
      <c r="F693" s="116"/>
      <c r="G693" s="116"/>
      <c r="H693" s="116"/>
      <c r="I693" s="116"/>
      <c r="J693" s="116"/>
      <c r="K693" s="116"/>
      <c r="L693" s="114"/>
    </row>
    <row r="694" spans="1:12">
      <c r="A694" s="116"/>
      <c r="B694" s="116"/>
      <c r="C694" s="116"/>
      <c r="D694" s="116"/>
      <c r="E694" s="116"/>
      <c r="F694" s="116"/>
      <c r="G694" s="116"/>
      <c r="H694" s="116"/>
      <c r="I694" s="116"/>
      <c r="J694" s="116"/>
      <c r="K694" s="116"/>
      <c r="L694" s="114"/>
    </row>
    <row r="695" spans="1:12">
      <c r="A695" s="116"/>
      <c r="B695" s="116"/>
      <c r="C695" s="116"/>
      <c r="D695" s="116"/>
      <c r="E695" s="116"/>
      <c r="F695" s="116"/>
      <c r="G695" s="116"/>
      <c r="H695" s="116"/>
      <c r="I695" s="116"/>
      <c r="J695" s="116"/>
      <c r="K695" s="116"/>
      <c r="L695" s="114"/>
    </row>
    <row r="696" spans="1:12">
      <c r="A696" s="116"/>
      <c r="B696" s="116"/>
      <c r="C696" s="116"/>
      <c r="D696" s="116"/>
      <c r="E696" s="116"/>
      <c r="F696" s="116"/>
      <c r="G696" s="116"/>
      <c r="H696" s="116"/>
      <c r="I696" s="116"/>
      <c r="J696" s="116"/>
      <c r="K696" s="116"/>
      <c r="L696" s="114"/>
    </row>
    <row r="697" spans="1:12">
      <c r="A697" s="116"/>
      <c r="B697" s="116"/>
      <c r="C697" s="116"/>
      <c r="D697" s="116"/>
      <c r="E697" s="116"/>
      <c r="F697" s="116"/>
      <c r="G697" s="116"/>
      <c r="H697" s="116"/>
      <c r="I697" s="116"/>
      <c r="J697" s="116"/>
      <c r="K697" s="116"/>
      <c r="L697" s="114"/>
    </row>
    <row r="698" spans="1:12">
      <c r="A698" s="116"/>
      <c r="B698" s="116"/>
      <c r="C698" s="116"/>
      <c r="D698" s="116"/>
      <c r="E698" s="116"/>
      <c r="F698" s="116"/>
      <c r="G698" s="116"/>
      <c r="H698" s="116"/>
      <c r="I698" s="116"/>
      <c r="J698" s="116"/>
      <c r="K698" s="116"/>
      <c r="L698" s="114"/>
    </row>
    <row r="699" spans="1:12">
      <c r="A699" s="116"/>
      <c r="B699" s="116"/>
      <c r="C699" s="116"/>
      <c r="D699" s="116"/>
      <c r="E699" s="116"/>
      <c r="F699" s="116"/>
      <c r="G699" s="116"/>
      <c r="H699" s="116"/>
      <c r="I699" s="116"/>
      <c r="J699" s="116"/>
      <c r="K699" s="116"/>
      <c r="L699" s="114"/>
    </row>
    <row r="700" spans="1:12">
      <c r="A700" s="116"/>
      <c r="B700" s="116"/>
      <c r="C700" s="116"/>
      <c r="D700" s="116"/>
      <c r="E700" s="116"/>
      <c r="F700" s="116"/>
      <c r="G700" s="116"/>
      <c r="H700" s="116"/>
      <c r="I700" s="116"/>
      <c r="J700" s="116"/>
      <c r="K700" s="116"/>
      <c r="L700" s="114"/>
    </row>
    <row r="701" spans="1:12">
      <c r="A701" s="116"/>
      <c r="B701" s="116"/>
      <c r="C701" s="116"/>
      <c r="D701" s="116"/>
      <c r="E701" s="116"/>
      <c r="F701" s="116"/>
      <c r="G701" s="116"/>
      <c r="H701" s="116"/>
      <c r="I701" s="116"/>
      <c r="J701" s="116"/>
      <c r="K701" s="116"/>
      <c r="L701" s="114"/>
    </row>
    <row r="702" spans="1:12">
      <c r="A702" s="116"/>
      <c r="B702" s="116"/>
      <c r="C702" s="116"/>
      <c r="D702" s="116"/>
      <c r="E702" s="116"/>
      <c r="F702" s="116"/>
      <c r="G702" s="116"/>
      <c r="H702" s="116"/>
      <c r="I702" s="116"/>
      <c r="J702" s="116"/>
      <c r="K702" s="116"/>
      <c r="L702" s="114"/>
    </row>
    <row r="703" spans="1:12">
      <c r="A703" s="116"/>
      <c r="B703" s="116"/>
      <c r="C703" s="116"/>
      <c r="D703" s="116"/>
      <c r="E703" s="116"/>
      <c r="F703" s="116"/>
      <c r="G703" s="116"/>
      <c r="H703" s="116"/>
      <c r="I703" s="116"/>
      <c r="J703" s="116"/>
      <c r="K703" s="116"/>
      <c r="L703" s="114"/>
    </row>
    <row r="704" spans="1:12">
      <c r="A704" s="116"/>
      <c r="B704" s="116"/>
      <c r="C704" s="116"/>
      <c r="D704" s="116"/>
      <c r="E704" s="116"/>
      <c r="F704" s="116"/>
      <c r="G704" s="116"/>
      <c r="H704" s="116"/>
      <c r="I704" s="116"/>
      <c r="J704" s="116"/>
      <c r="K704" s="116"/>
      <c r="L704" s="114"/>
    </row>
    <row r="705" spans="1:12">
      <c r="A705" s="116"/>
      <c r="B705" s="116"/>
      <c r="C705" s="116"/>
      <c r="D705" s="116"/>
      <c r="E705" s="116"/>
      <c r="F705" s="116"/>
      <c r="G705" s="116"/>
      <c r="H705" s="116"/>
      <c r="I705" s="116"/>
      <c r="J705" s="116"/>
      <c r="K705" s="116"/>
      <c r="L705" s="114"/>
    </row>
    <row r="706" spans="1:12">
      <c r="A706" s="116"/>
      <c r="B706" s="116"/>
      <c r="C706" s="116"/>
      <c r="D706" s="116"/>
      <c r="E706" s="116"/>
      <c r="F706" s="116"/>
      <c r="G706" s="116"/>
      <c r="H706" s="116"/>
      <c r="I706" s="116"/>
      <c r="J706" s="116"/>
      <c r="K706" s="116"/>
      <c r="L706" s="114"/>
    </row>
    <row r="707" spans="1:12">
      <c r="A707" s="116"/>
      <c r="B707" s="116"/>
      <c r="C707" s="116"/>
      <c r="D707" s="116"/>
      <c r="E707" s="116"/>
      <c r="F707" s="116"/>
      <c r="G707" s="116"/>
      <c r="H707" s="116"/>
      <c r="I707" s="116"/>
      <c r="J707" s="116"/>
      <c r="K707" s="116"/>
      <c r="L707" s="114"/>
    </row>
    <row r="708" spans="1:12">
      <c r="A708" s="116"/>
      <c r="B708" s="116"/>
      <c r="C708" s="116"/>
      <c r="D708" s="116"/>
      <c r="E708" s="116"/>
      <c r="F708" s="116"/>
      <c r="G708" s="116"/>
      <c r="H708" s="116"/>
      <c r="I708" s="116"/>
      <c r="J708" s="116"/>
      <c r="K708" s="116"/>
      <c r="L708" s="114"/>
    </row>
    <row r="709" spans="1:12">
      <c r="A709" s="116"/>
      <c r="B709" s="116"/>
      <c r="C709" s="116"/>
      <c r="D709" s="116"/>
      <c r="E709" s="116"/>
      <c r="F709" s="116"/>
      <c r="G709" s="116"/>
      <c r="H709" s="116"/>
      <c r="I709" s="116"/>
      <c r="J709" s="116"/>
      <c r="K709" s="116"/>
      <c r="L709" s="114"/>
    </row>
    <row r="710" spans="1:12">
      <c r="A710" s="116"/>
      <c r="B710" s="116"/>
      <c r="C710" s="116"/>
      <c r="D710" s="116"/>
      <c r="E710" s="116"/>
      <c r="F710" s="116"/>
      <c r="G710" s="116"/>
      <c r="H710" s="116"/>
      <c r="I710" s="116"/>
      <c r="J710" s="116"/>
      <c r="K710" s="116"/>
      <c r="L710" s="114"/>
    </row>
    <row r="711" spans="1:12">
      <c r="A711" s="116"/>
      <c r="B711" s="116"/>
      <c r="C711" s="116"/>
      <c r="D711" s="116"/>
      <c r="E711" s="116"/>
      <c r="F711" s="116"/>
      <c r="G711" s="116"/>
      <c r="H711" s="116"/>
      <c r="I711" s="116"/>
      <c r="J711" s="116"/>
      <c r="K711" s="116"/>
      <c r="L711" s="114"/>
    </row>
    <row r="712" spans="1:12">
      <c r="A712" s="116"/>
      <c r="B712" s="116"/>
      <c r="C712" s="116"/>
      <c r="D712" s="116"/>
      <c r="E712" s="116"/>
      <c r="F712" s="116"/>
      <c r="G712" s="116"/>
      <c r="H712" s="116"/>
      <c r="I712" s="116"/>
      <c r="J712" s="116"/>
      <c r="K712" s="116"/>
      <c r="L712" s="114"/>
    </row>
    <row r="713" spans="1:12">
      <c r="A713" s="116"/>
      <c r="B713" s="116"/>
      <c r="C713" s="116"/>
      <c r="D713" s="116"/>
      <c r="E713" s="116"/>
      <c r="F713" s="116"/>
      <c r="G713" s="116"/>
      <c r="H713" s="116"/>
      <c r="I713" s="116"/>
      <c r="J713" s="116"/>
      <c r="K713" s="116"/>
      <c r="L713" s="114"/>
    </row>
    <row r="714" spans="1:12">
      <c r="A714" s="116"/>
      <c r="B714" s="116"/>
      <c r="C714" s="116"/>
      <c r="D714" s="116"/>
      <c r="E714" s="116"/>
      <c r="F714" s="116"/>
      <c r="G714" s="116"/>
      <c r="H714" s="116"/>
      <c r="I714" s="116"/>
      <c r="J714" s="116"/>
      <c r="K714" s="116"/>
      <c r="L714" s="114"/>
    </row>
    <row r="715" spans="1:12">
      <c r="A715" s="116"/>
      <c r="B715" s="116"/>
      <c r="C715" s="116"/>
      <c r="D715" s="116"/>
      <c r="E715" s="116"/>
      <c r="F715" s="116"/>
      <c r="G715" s="116"/>
      <c r="H715" s="116"/>
      <c r="I715" s="116"/>
      <c r="J715" s="116"/>
      <c r="K715" s="116"/>
      <c r="L715" s="114"/>
    </row>
    <row r="716" spans="1:12">
      <c r="A716" s="116"/>
      <c r="B716" s="116"/>
      <c r="C716" s="116"/>
      <c r="D716" s="116"/>
      <c r="E716" s="116"/>
      <c r="F716" s="116"/>
      <c r="G716" s="116"/>
      <c r="H716" s="116"/>
      <c r="I716" s="116"/>
      <c r="J716" s="116"/>
      <c r="K716" s="116"/>
      <c r="L716" s="114"/>
    </row>
    <row r="717" spans="1:12">
      <c r="A717" s="116"/>
      <c r="B717" s="116"/>
      <c r="C717" s="116"/>
      <c r="D717" s="116"/>
      <c r="E717" s="116"/>
      <c r="F717" s="116"/>
      <c r="G717" s="116"/>
      <c r="H717" s="116"/>
      <c r="I717" s="116"/>
      <c r="J717" s="116"/>
      <c r="K717" s="116"/>
      <c r="L717" s="114"/>
    </row>
    <row r="718" spans="1:12">
      <c r="A718" s="116"/>
      <c r="B718" s="116"/>
      <c r="C718" s="116"/>
      <c r="D718" s="116"/>
      <c r="E718" s="116"/>
      <c r="F718" s="116"/>
      <c r="G718" s="116"/>
      <c r="H718" s="116"/>
      <c r="I718" s="116"/>
      <c r="J718" s="116"/>
      <c r="K718" s="116"/>
      <c r="L718" s="114"/>
    </row>
    <row r="719" spans="1:12">
      <c r="A719" s="116"/>
      <c r="B719" s="116"/>
      <c r="C719" s="116"/>
      <c r="D719" s="116"/>
      <c r="E719" s="116"/>
      <c r="F719" s="116"/>
      <c r="G719" s="116"/>
      <c r="H719" s="116"/>
      <c r="I719" s="116"/>
      <c r="J719" s="116"/>
      <c r="K719" s="116"/>
      <c r="L719" s="114"/>
    </row>
    <row r="720" spans="1:12">
      <c r="A720" s="116"/>
      <c r="B720" s="116"/>
      <c r="C720" s="116"/>
      <c r="D720" s="116"/>
      <c r="E720" s="116"/>
      <c r="F720" s="116"/>
      <c r="G720" s="116"/>
      <c r="H720" s="116"/>
      <c r="I720" s="116"/>
      <c r="J720" s="116"/>
      <c r="K720" s="116"/>
      <c r="L720" s="114"/>
    </row>
    <row r="721" spans="1:12">
      <c r="A721" s="116"/>
      <c r="B721" s="116"/>
      <c r="C721" s="116"/>
      <c r="D721" s="116"/>
      <c r="E721" s="116"/>
      <c r="F721" s="116"/>
      <c r="G721" s="116"/>
      <c r="H721" s="116"/>
      <c r="I721" s="116"/>
      <c r="J721" s="116"/>
      <c r="K721" s="116"/>
      <c r="L721" s="114"/>
    </row>
    <row r="722" spans="1:12">
      <c r="A722" s="116"/>
      <c r="B722" s="116"/>
      <c r="C722" s="116"/>
      <c r="D722" s="116"/>
      <c r="E722" s="116"/>
      <c r="F722" s="116"/>
      <c r="G722" s="116"/>
      <c r="H722" s="116"/>
      <c r="I722" s="116"/>
      <c r="J722" s="116"/>
      <c r="K722" s="116"/>
      <c r="L722" s="114"/>
    </row>
    <row r="723" spans="1:12">
      <c r="A723" s="116"/>
      <c r="B723" s="116"/>
      <c r="C723" s="116"/>
      <c r="D723" s="116"/>
      <c r="E723" s="116"/>
      <c r="F723" s="116"/>
      <c r="G723" s="116"/>
      <c r="H723" s="116"/>
      <c r="I723" s="116"/>
      <c r="J723" s="116"/>
      <c r="K723" s="116"/>
      <c r="L723" s="114"/>
    </row>
    <row r="724" spans="1:12">
      <c r="A724" s="116"/>
      <c r="B724" s="116"/>
      <c r="C724" s="116"/>
      <c r="D724" s="116"/>
      <c r="E724" s="116"/>
      <c r="F724" s="116"/>
      <c r="G724" s="116"/>
      <c r="H724" s="116"/>
      <c r="I724" s="116"/>
      <c r="J724" s="116"/>
      <c r="K724" s="116"/>
      <c r="L724" s="114"/>
    </row>
    <row r="725" spans="1:12">
      <c r="A725" s="116"/>
      <c r="B725" s="116"/>
      <c r="C725" s="116"/>
      <c r="D725" s="116"/>
      <c r="E725" s="116"/>
      <c r="F725" s="116"/>
      <c r="G725" s="116"/>
      <c r="H725" s="116"/>
      <c r="I725" s="116"/>
      <c r="J725" s="116"/>
      <c r="K725" s="116"/>
      <c r="L725" s="114"/>
    </row>
    <row r="726" spans="1:12">
      <c r="A726" s="116"/>
      <c r="B726" s="116"/>
      <c r="C726" s="116"/>
      <c r="D726" s="116"/>
      <c r="E726" s="116"/>
      <c r="F726" s="116"/>
      <c r="G726" s="116"/>
      <c r="H726" s="116"/>
      <c r="I726" s="116"/>
      <c r="J726" s="116"/>
      <c r="K726" s="116"/>
      <c r="L726" s="114"/>
    </row>
    <row r="727" spans="1:12">
      <c r="A727" s="116"/>
      <c r="B727" s="116"/>
      <c r="C727" s="116"/>
      <c r="D727" s="116"/>
      <c r="E727" s="116"/>
      <c r="F727" s="116"/>
      <c r="G727" s="116"/>
      <c r="H727" s="116"/>
      <c r="I727" s="116"/>
      <c r="J727" s="116"/>
      <c r="K727" s="116"/>
      <c r="L727" s="114"/>
    </row>
    <row r="728" spans="1:12">
      <c r="A728" s="116"/>
      <c r="B728" s="116"/>
      <c r="C728" s="116"/>
      <c r="D728" s="116"/>
      <c r="E728" s="116"/>
      <c r="F728" s="116"/>
      <c r="G728" s="116"/>
      <c r="H728" s="116"/>
      <c r="I728" s="116"/>
      <c r="J728" s="116"/>
      <c r="K728" s="116"/>
      <c r="L728" s="114"/>
    </row>
    <row r="729" spans="1:12">
      <c r="A729" s="116"/>
      <c r="B729" s="116"/>
      <c r="C729" s="116"/>
      <c r="D729" s="116"/>
      <c r="E729" s="116"/>
      <c r="F729" s="116"/>
      <c r="G729" s="116"/>
      <c r="H729" s="116"/>
      <c r="I729" s="116"/>
      <c r="J729" s="116"/>
      <c r="K729" s="116"/>
      <c r="L729" s="114"/>
    </row>
    <row r="730" spans="1:12">
      <c r="A730" s="116"/>
      <c r="B730" s="116"/>
      <c r="C730" s="116"/>
      <c r="D730" s="116"/>
      <c r="E730" s="116"/>
      <c r="F730" s="116"/>
      <c r="G730" s="116"/>
      <c r="H730" s="116"/>
      <c r="I730" s="116"/>
      <c r="J730" s="116"/>
      <c r="K730" s="116"/>
      <c r="L730" s="114"/>
    </row>
    <row r="731" spans="1:12">
      <c r="A731" s="116"/>
      <c r="B731" s="116"/>
      <c r="C731" s="116"/>
      <c r="D731" s="116"/>
      <c r="E731" s="116"/>
      <c r="F731" s="116"/>
      <c r="G731" s="116"/>
      <c r="H731" s="116"/>
      <c r="I731" s="116"/>
      <c r="J731" s="116"/>
      <c r="K731" s="116"/>
      <c r="L731" s="114"/>
    </row>
    <row r="732" spans="1:12">
      <c r="A732" s="116"/>
      <c r="B732" s="116"/>
      <c r="C732" s="116"/>
      <c r="D732" s="116"/>
      <c r="E732" s="116"/>
      <c r="F732" s="116"/>
      <c r="G732" s="116"/>
      <c r="H732" s="116"/>
      <c r="I732" s="116"/>
      <c r="J732" s="116"/>
      <c r="K732" s="116"/>
      <c r="L732" s="114"/>
    </row>
    <row r="733" spans="1:12">
      <c r="A733" s="116"/>
      <c r="B733" s="116"/>
      <c r="C733" s="116"/>
      <c r="D733" s="116"/>
      <c r="E733" s="116"/>
      <c r="F733" s="116"/>
      <c r="G733" s="116"/>
      <c r="H733" s="116"/>
      <c r="I733" s="116"/>
      <c r="J733" s="116"/>
      <c r="K733" s="116"/>
      <c r="L733" s="114"/>
    </row>
    <row r="734" spans="1:12">
      <c r="A734" s="116"/>
      <c r="B734" s="116"/>
      <c r="C734" s="116"/>
      <c r="D734" s="116"/>
      <c r="E734" s="116"/>
      <c r="F734" s="116"/>
      <c r="G734" s="116"/>
      <c r="H734" s="116"/>
      <c r="I734" s="116"/>
      <c r="J734" s="116"/>
      <c r="K734" s="116"/>
      <c r="L734" s="114"/>
    </row>
    <row r="735" spans="1:12">
      <c r="A735" s="116"/>
      <c r="B735" s="116"/>
      <c r="C735" s="116"/>
      <c r="D735" s="116"/>
      <c r="E735" s="116"/>
      <c r="F735" s="116"/>
      <c r="G735" s="116"/>
      <c r="H735" s="116"/>
      <c r="I735" s="116"/>
      <c r="J735" s="116"/>
      <c r="K735" s="116"/>
      <c r="L735" s="114"/>
    </row>
    <row r="736" spans="1:12">
      <c r="A736" s="116"/>
      <c r="B736" s="116"/>
      <c r="C736" s="116"/>
      <c r="D736" s="116"/>
      <c r="E736" s="116"/>
      <c r="F736" s="116"/>
      <c r="G736" s="116"/>
      <c r="H736" s="116"/>
      <c r="I736" s="116"/>
      <c r="J736" s="116"/>
      <c r="K736" s="116"/>
      <c r="L736" s="114"/>
    </row>
    <row r="737" spans="1:12">
      <c r="A737" s="116"/>
      <c r="B737" s="116"/>
      <c r="C737" s="116"/>
      <c r="D737" s="116"/>
      <c r="E737" s="116"/>
      <c r="F737" s="116"/>
      <c r="G737" s="116"/>
      <c r="H737" s="116"/>
      <c r="I737" s="116"/>
      <c r="J737" s="116"/>
      <c r="K737" s="116"/>
      <c r="L737" s="114"/>
    </row>
    <row r="738" spans="1:12">
      <c r="A738" s="116"/>
      <c r="B738" s="116"/>
      <c r="C738" s="116"/>
      <c r="D738" s="116"/>
      <c r="E738" s="116"/>
      <c r="F738" s="116"/>
      <c r="G738" s="116"/>
      <c r="H738" s="116"/>
      <c r="I738" s="116"/>
      <c r="J738" s="116"/>
      <c r="K738" s="116"/>
      <c r="L738" s="114"/>
    </row>
    <row r="739" spans="1:12">
      <c r="A739" s="116"/>
      <c r="B739" s="116"/>
      <c r="C739" s="116"/>
      <c r="D739" s="116"/>
      <c r="E739" s="116"/>
      <c r="F739" s="116"/>
      <c r="G739" s="116"/>
      <c r="H739" s="116"/>
      <c r="I739" s="116"/>
      <c r="J739" s="116"/>
      <c r="K739" s="116"/>
      <c r="L739" s="114"/>
    </row>
    <row r="740" spans="1:12">
      <c r="A740" s="116"/>
      <c r="B740" s="116"/>
      <c r="C740" s="116"/>
      <c r="D740" s="116"/>
      <c r="E740" s="116"/>
      <c r="F740" s="116"/>
      <c r="G740" s="116"/>
      <c r="H740" s="116"/>
      <c r="I740" s="116"/>
      <c r="J740" s="116"/>
      <c r="K740" s="116"/>
      <c r="L740" s="114"/>
    </row>
    <row r="741" spans="1:12">
      <c r="A741" s="116"/>
      <c r="B741" s="116"/>
      <c r="C741" s="116"/>
      <c r="D741" s="116"/>
      <c r="E741" s="116"/>
      <c r="F741" s="116"/>
      <c r="G741" s="116"/>
      <c r="H741" s="116"/>
      <c r="I741" s="116"/>
      <c r="J741" s="116"/>
      <c r="K741" s="116"/>
      <c r="L741" s="114"/>
    </row>
    <row r="742" spans="1:12">
      <c r="A742" s="116"/>
      <c r="B742" s="116"/>
      <c r="C742" s="116"/>
      <c r="D742" s="116"/>
      <c r="E742" s="116"/>
      <c r="F742" s="116"/>
      <c r="G742" s="116"/>
      <c r="H742" s="116"/>
      <c r="I742" s="116"/>
      <c r="J742" s="116"/>
      <c r="K742" s="116"/>
      <c r="L742" s="114"/>
    </row>
    <row r="743" spans="1:12">
      <c r="A743" s="116"/>
      <c r="B743" s="116"/>
      <c r="C743" s="116"/>
      <c r="D743" s="116"/>
      <c r="E743" s="116"/>
      <c r="F743" s="116"/>
      <c r="G743" s="116"/>
      <c r="H743" s="116"/>
      <c r="I743" s="116"/>
      <c r="J743" s="116"/>
      <c r="K743" s="116"/>
      <c r="L743" s="114"/>
    </row>
    <row r="744" spans="1:12">
      <c r="A744" s="116"/>
      <c r="B744" s="116"/>
      <c r="C744" s="116"/>
      <c r="D744" s="116"/>
      <c r="E744" s="116"/>
      <c r="F744" s="116"/>
      <c r="G744" s="116"/>
      <c r="H744" s="116"/>
      <c r="I744" s="116"/>
      <c r="J744" s="116"/>
      <c r="K744" s="116"/>
      <c r="L744" s="114"/>
    </row>
    <row r="745" spans="1:12">
      <c r="A745" s="116"/>
      <c r="B745" s="116"/>
      <c r="C745" s="116"/>
      <c r="D745" s="116"/>
      <c r="E745" s="116"/>
      <c r="F745" s="116"/>
      <c r="G745" s="116"/>
      <c r="H745" s="116"/>
      <c r="I745" s="116"/>
      <c r="J745" s="116"/>
      <c r="K745" s="116"/>
      <c r="L745" s="114"/>
    </row>
    <row r="746" spans="1:12">
      <c r="A746" s="116"/>
      <c r="B746" s="116"/>
      <c r="C746" s="116"/>
      <c r="D746" s="116"/>
      <c r="E746" s="116"/>
      <c r="F746" s="116"/>
      <c r="G746" s="116"/>
      <c r="H746" s="116"/>
      <c r="I746" s="116"/>
      <c r="J746" s="116"/>
      <c r="K746" s="116"/>
      <c r="L746" s="114"/>
    </row>
    <row r="747" spans="1:12">
      <c r="A747" s="116"/>
      <c r="B747" s="116"/>
      <c r="C747" s="116"/>
      <c r="D747" s="116"/>
      <c r="E747" s="116"/>
      <c r="F747" s="116"/>
      <c r="G747" s="116"/>
      <c r="H747" s="116"/>
      <c r="I747" s="116"/>
      <c r="J747" s="116"/>
      <c r="K747" s="116"/>
      <c r="L747" s="114"/>
    </row>
    <row r="748" spans="1:12">
      <c r="A748" s="116"/>
      <c r="B748" s="116"/>
      <c r="C748" s="116"/>
      <c r="D748" s="116"/>
      <c r="E748" s="116"/>
      <c r="F748" s="116"/>
      <c r="G748" s="116"/>
      <c r="H748" s="116"/>
      <c r="I748" s="116"/>
      <c r="J748" s="116"/>
      <c r="K748" s="116"/>
      <c r="L748" s="114"/>
    </row>
    <row r="749" spans="1:12">
      <c r="A749" s="116"/>
      <c r="B749" s="116"/>
      <c r="C749" s="116"/>
      <c r="D749" s="116"/>
      <c r="E749" s="116"/>
      <c r="F749" s="116"/>
      <c r="G749" s="116"/>
      <c r="H749" s="116"/>
      <c r="I749" s="116"/>
      <c r="J749" s="116"/>
      <c r="K749" s="116"/>
      <c r="L749" s="114"/>
    </row>
    <row r="750" spans="1:12">
      <c r="A750" s="116"/>
      <c r="B750" s="116"/>
      <c r="C750" s="116"/>
      <c r="D750" s="116"/>
      <c r="E750" s="116"/>
      <c r="F750" s="116"/>
      <c r="G750" s="116"/>
      <c r="H750" s="116"/>
      <c r="I750" s="116"/>
      <c r="J750" s="116"/>
      <c r="K750" s="116"/>
      <c r="L750" s="114"/>
    </row>
    <row r="751" spans="1:12">
      <c r="A751" s="116"/>
      <c r="B751" s="116"/>
      <c r="C751" s="116"/>
      <c r="D751" s="116"/>
      <c r="E751" s="116"/>
      <c r="F751" s="116"/>
      <c r="G751" s="116"/>
      <c r="H751" s="116"/>
      <c r="I751" s="116"/>
      <c r="J751" s="116"/>
      <c r="K751" s="116"/>
      <c r="L751" s="114"/>
    </row>
    <row r="752" spans="1:12">
      <c r="A752" s="116"/>
      <c r="B752" s="116"/>
      <c r="C752" s="116"/>
      <c r="D752" s="116"/>
      <c r="E752" s="116"/>
      <c r="F752" s="116"/>
      <c r="G752" s="116"/>
      <c r="H752" s="116"/>
      <c r="I752" s="116"/>
      <c r="J752" s="116"/>
      <c r="K752" s="116"/>
      <c r="L752" s="114"/>
    </row>
    <row r="753" spans="1:12">
      <c r="A753" s="116"/>
      <c r="B753" s="116"/>
      <c r="C753" s="116"/>
      <c r="D753" s="116"/>
      <c r="E753" s="116"/>
      <c r="F753" s="116"/>
      <c r="G753" s="116"/>
      <c r="H753" s="116"/>
      <c r="I753" s="116"/>
      <c r="J753" s="116"/>
      <c r="K753" s="116"/>
      <c r="L753" s="114"/>
    </row>
    <row r="754" spans="1:12">
      <c r="A754" s="116"/>
      <c r="B754" s="116"/>
      <c r="C754" s="116"/>
      <c r="D754" s="116"/>
      <c r="E754" s="116"/>
      <c r="F754" s="116"/>
      <c r="G754" s="116"/>
      <c r="H754" s="116"/>
      <c r="I754" s="116"/>
      <c r="J754" s="116"/>
      <c r="K754" s="116"/>
      <c r="L754" s="114"/>
    </row>
    <row r="755" spans="1:12">
      <c r="A755" s="116"/>
      <c r="B755" s="116"/>
      <c r="C755" s="116"/>
      <c r="D755" s="116"/>
      <c r="E755" s="116"/>
      <c r="F755" s="116"/>
      <c r="G755" s="116"/>
      <c r="H755" s="116"/>
      <c r="I755" s="116"/>
      <c r="J755" s="116"/>
      <c r="K755" s="116"/>
      <c r="L755" s="114"/>
    </row>
    <row r="756" spans="1:12">
      <c r="A756" s="116"/>
      <c r="B756" s="116"/>
      <c r="C756" s="116"/>
      <c r="D756" s="116"/>
      <c r="E756" s="116"/>
      <c r="F756" s="116"/>
      <c r="G756" s="116"/>
      <c r="H756" s="116"/>
      <c r="I756" s="116"/>
      <c r="J756" s="116"/>
      <c r="K756" s="116"/>
      <c r="L756" s="114"/>
    </row>
    <row r="757" spans="1:12">
      <c r="A757" s="116"/>
      <c r="B757" s="116"/>
      <c r="C757" s="116"/>
      <c r="D757" s="116"/>
      <c r="E757" s="116"/>
      <c r="F757" s="116"/>
      <c r="G757" s="116"/>
      <c r="H757" s="116"/>
      <c r="I757" s="116"/>
      <c r="J757" s="116"/>
      <c r="K757" s="116"/>
      <c r="L757" s="114"/>
    </row>
    <row r="758" spans="1:12">
      <c r="A758" s="116"/>
      <c r="B758" s="116"/>
      <c r="C758" s="116"/>
      <c r="D758" s="116"/>
      <c r="E758" s="116"/>
      <c r="F758" s="116"/>
      <c r="G758" s="116"/>
      <c r="H758" s="116"/>
      <c r="I758" s="116"/>
      <c r="J758" s="116"/>
      <c r="K758" s="116"/>
      <c r="L758" s="114"/>
    </row>
    <row r="759" spans="1:12">
      <c r="A759" s="116"/>
      <c r="B759" s="116"/>
      <c r="C759" s="116"/>
      <c r="D759" s="116"/>
      <c r="E759" s="116"/>
      <c r="F759" s="116"/>
      <c r="G759" s="116"/>
      <c r="H759" s="116"/>
      <c r="I759" s="116"/>
      <c r="J759" s="116"/>
      <c r="K759" s="116"/>
      <c r="L759" s="114"/>
    </row>
    <row r="760" spans="1:12">
      <c r="A760" s="116"/>
      <c r="B760" s="116"/>
      <c r="C760" s="116"/>
      <c r="D760" s="116"/>
      <c r="E760" s="116"/>
      <c r="F760" s="116"/>
      <c r="G760" s="116"/>
      <c r="H760" s="116"/>
      <c r="I760" s="116"/>
      <c r="J760" s="116"/>
      <c r="K760" s="116"/>
      <c r="L760" s="114"/>
    </row>
    <row r="761" spans="1:12">
      <c r="A761" s="116"/>
      <c r="B761" s="116"/>
      <c r="C761" s="116"/>
      <c r="D761" s="116"/>
      <c r="E761" s="116"/>
      <c r="F761" s="116"/>
      <c r="G761" s="116"/>
      <c r="H761" s="116"/>
      <c r="I761" s="116"/>
      <c r="J761" s="116"/>
      <c r="K761" s="116"/>
      <c r="L761" s="114"/>
    </row>
    <row r="762" spans="1:12">
      <c r="A762" s="116"/>
      <c r="B762" s="116"/>
      <c r="C762" s="116"/>
      <c r="D762" s="116"/>
      <c r="E762" s="116"/>
      <c r="F762" s="116"/>
      <c r="G762" s="116"/>
      <c r="H762" s="116"/>
      <c r="I762" s="116"/>
      <c r="J762" s="116"/>
      <c r="K762" s="116"/>
      <c r="L762" s="114"/>
    </row>
    <row r="763" spans="1:12">
      <c r="A763" s="116"/>
      <c r="B763" s="116"/>
      <c r="C763" s="116"/>
      <c r="D763" s="116"/>
      <c r="E763" s="116"/>
      <c r="F763" s="116"/>
      <c r="G763" s="116"/>
      <c r="H763" s="116"/>
      <c r="I763" s="116"/>
      <c r="J763" s="116"/>
      <c r="K763" s="116"/>
      <c r="L763" s="114"/>
    </row>
    <row r="764" spans="1:12">
      <c r="A764" s="116"/>
      <c r="B764" s="116"/>
      <c r="C764" s="116"/>
      <c r="D764" s="116"/>
      <c r="E764" s="116"/>
      <c r="F764" s="116"/>
      <c r="G764" s="116"/>
      <c r="H764" s="116"/>
      <c r="I764" s="116"/>
      <c r="J764" s="116"/>
      <c r="K764" s="116"/>
      <c r="L764" s="114"/>
    </row>
    <row r="765" spans="1:12">
      <c r="A765" s="116"/>
      <c r="B765" s="116"/>
      <c r="C765" s="116"/>
      <c r="D765" s="116"/>
      <c r="E765" s="116"/>
      <c r="F765" s="116"/>
      <c r="G765" s="116"/>
      <c r="H765" s="116"/>
      <c r="I765" s="116"/>
      <c r="J765" s="116"/>
      <c r="K765" s="116"/>
      <c r="L765" s="114"/>
    </row>
    <row r="766" spans="1:12">
      <c r="A766" s="116"/>
      <c r="B766" s="116"/>
      <c r="C766" s="116"/>
      <c r="D766" s="116"/>
      <c r="E766" s="116"/>
      <c r="F766" s="116"/>
      <c r="G766" s="116"/>
      <c r="H766" s="116"/>
      <c r="I766" s="116"/>
      <c r="J766" s="116"/>
      <c r="K766" s="116"/>
      <c r="L766" s="114"/>
    </row>
    <row r="767" spans="1:12">
      <c r="A767" s="116"/>
      <c r="B767" s="116"/>
      <c r="C767" s="116"/>
      <c r="D767" s="116"/>
      <c r="E767" s="116"/>
      <c r="F767" s="116"/>
      <c r="G767" s="116"/>
      <c r="H767" s="116"/>
      <c r="I767" s="116"/>
      <c r="J767" s="116"/>
      <c r="K767" s="116"/>
      <c r="L767" s="114"/>
    </row>
    <row r="768" spans="1:12">
      <c r="A768" s="116"/>
      <c r="B768" s="116"/>
      <c r="C768" s="116"/>
      <c r="D768" s="116"/>
      <c r="E768" s="116"/>
      <c r="F768" s="116"/>
      <c r="G768" s="116"/>
      <c r="H768" s="116"/>
      <c r="I768" s="116"/>
      <c r="J768" s="116"/>
      <c r="K768" s="116"/>
      <c r="L768" s="114"/>
    </row>
    <row r="769" spans="1:12">
      <c r="A769" s="116"/>
      <c r="B769" s="116"/>
      <c r="C769" s="116"/>
      <c r="D769" s="116"/>
      <c r="E769" s="116"/>
      <c r="F769" s="116"/>
      <c r="G769" s="116"/>
      <c r="H769" s="116"/>
      <c r="I769" s="116"/>
      <c r="J769" s="116"/>
      <c r="K769" s="116"/>
      <c r="L769" s="114"/>
    </row>
    <row r="770" spans="1:12">
      <c r="A770" s="116"/>
      <c r="B770" s="116"/>
      <c r="C770" s="116"/>
      <c r="D770" s="116"/>
      <c r="E770" s="116"/>
      <c r="F770" s="116"/>
      <c r="G770" s="116"/>
      <c r="H770" s="116"/>
      <c r="I770" s="116"/>
      <c r="J770" s="116"/>
      <c r="K770" s="116"/>
      <c r="L770" s="114"/>
    </row>
    <row r="771" spans="1:12">
      <c r="A771" s="116"/>
      <c r="B771" s="116"/>
      <c r="C771" s="116"/>
      <c r="D771" s="116"/>
      <c r="E771" s="116"/>
      <c r="F771" s="116"/>
      <c r="G771" s="116"/>
      <c r="H771" s="116"/>
      <c r="I771" s="116"/>
      <c r="J771" s="116"/>
      <c r="K771" s="116"/>
      <c r="L771" s="114"/>
    </row>
    <row r="772" spans="1:12">
      <c r="A772" s="116"/>
      <c r="B772" s="116"/>
      <c r="C772" s="116"/>
      <c r="D772" s="116"/>
      <c r="E772" s="116"/>
      <c r="F772" s="116"/>
      <c r="G772" s="116"/>
      <c r="H772" s="116"/>
      <c r="I772" s="116"/>
      <c r="J772" s="116"/>
      <c r="K772" s="116"/>
      <c r="L772" s="114"/>
    </row>
    <row r="773" spans="1:12">
      <c r="A773" s="116"/>
      <c r="B773" s="116"/>
      <c r="C773" s="116"/>
      <c r="D773" s="116"/>
      <c r="E773" s="116"/>
      <c r="F773" s="116"/>
      <c r="G773" s="116"/>
      <c r="H773" s="116"/>
      <c r="I773" s="116"/>
      <c r="J773" s="116"/>
      <c r="K773" s="116"/>
      <c r="L773" s="114"/>
    </row>
    <row r="774" spans="1:12">
      <c r="A774" s="116"/>
      <c r="B774" s="116"/>
      <c r="C774" s="116"/>
      <c r="D774" s="116"/>
      <c r="E774" s="116"/>
      <c r="F774" s="116"/>
      <c r="G774" s="116"/>
      <c r="H774" s="116"/>
      <c r="I774" s="116"/>
      <c r="J774" s="116"/>
      <c r="K774" s="116"/>
      <c r="L774" s="114"/>
    </row>
    <row r="775" spans="1:12">
      <c r="A775" s="116"/>
      <c r="B775" s="116"/>
      <c r="C775" s="116"/>
      <c r="D775" s="116"/>
      <c r="E775" s="116"/>
      <c r="F775" s="116"/>
      <c r="G775" s="116"/>
      <c r="H775" s="116"/>
      <c r="I775" s="116"/>
      <c r="J775" s="116"/>
      <c r="K775" s="116"/>
      <c r="L775" s="114"/>
    </row>
    <row r="776" spans="1:12">
      <c r="A776" s="116"/>
      <c r="B776" s="116"/>
      <c r="C776" s="116"/>
      <c r="D776" s="116"/>
      <c r="E776" s="116"/>
      <c r="F776" s="116"/>
      <c r="G776" s="116"/>
      <c r="H776" s="116"/>
      <c r="I776" s="116"/>
      <c r="J776" s="116"/>
      <c r="K776" s="116"/>
      <c r="L776" s="114"/>
    </row>
    <row r="777" spans="1:12">
      <c r="A777" s="116"/>
      <c r="B777" s="116"/>
      <c r="C777" s="116"/>
      <c r="D777" s="116"/>
      <c r="E777" s="116"/>
      <c r="F777" s="116"/>
      <c r="G777" s="116"/>
      <c r="H777" s="116"/>
      <c r="I777" s="116"/>
      <c r="J777" s="116"/>
      <c r="K777" s="116"/>
      <c r="L777" s="114"/>
    </row>
    <row r="778" spans="1:12">
      <c r="A778" s="116"/>
      <c r="B778" s="116"/>
      <c r="C778" s="116"/>
      <c r="D778" s="116"/>
      <c r="E778" s="116"/>
      <c r="F778" s="116"/>
      <c r="G778" s="116"/>
      <c r="H778" s="116"/>
      <c r="I778" s="116"/>
      <c r="J778" s="116"/>
      <c r="K778" s="116"/>
      <c r="L778" s="114"/>
    </row>
    <row r="779" spans="1:12">
      <c r="A779" s="116"/>
      <c r="B779" s="116"/>
      <c r="C779" s="116"/>
      <c r="D779" s="116"/>
      <c r="E779" s="116"/>
      <c r="F779" s="116"/>
      <c r="G779" s="116"/>
      <c r="H779" s="116"/>
      <c r="I779" s="116"/>
      <c r="J779" s="116"/>
      <c r="K779" s="116"/>
      <c r="L779" s="114"/>
    </row>
    <row r="780" spans="1:12">
      <c r="A780" s="116"/>
      <c r="B780" s="116"/>
      <c r="C780" s="116"/>
      <c r="D780" s="116"/>
      <c r="E780" s="116"/>
      <c r="F780" s="116"/>
      <c r="G780" s="116"/>
      <c r="H780" s="116"/>
      <c r="I780" s="116"/>
      <c r="J780" s="116"/>
      <c r="K780" s="116"/>
      <c r="L780" s="114"/>
    </row>
    <row r="781" spans="1:12">
      <c r="A781" s="116"/>
      <c r="B781" s="116"/>
      <c r="C781" s="116"/>
      <c r="D781" s="116"/>
      <c r="E781" s="116"/>
      <c r="F781" s="116"/>
      <c r="G781" s="116"/>
      <c r="H781" s="116"/>
      <c r="I781" s="116"/>
      <c r="J781" s="116"/>
      <c r="K781" s="116"/>
      <c r="L781" s="114"/>
    </row>
    <row r="782" spans="1:12">
      <c r="A782" s="116"/>
      <c r="B782" s="116"/>
      <c r="C782" s="116"/>
      <c r="D782" s="116"/>
      <c r="E782" s="116"/>
      <c r="F782" s="116"/>
      <c r="G782" s="116"/>
      <c r="H782" s="116"/>
      <c r="I782" s="116"/>
      <c r="J782" s="116"/>
      <c r="K782" s="116"/>
      <c r="L782" s="114"/>
    </row>
    <row r="783" spans="1:12">
      <c r="A783" s="116"/>
      <c r="B783" s="116"/>
      <c r="C783" s="116"/>
      <c r="D783" s="116"/>
      <c r="E783" s="116"/>
      <c r="F783" s="116"/>
      <c r="G783" s="116"/>
      <c r="H783" s="116"/>
      <c r="I783" s="116"/>
      <c r="J783" s="116"/>
      <c r="K783" s="116"/>
      <c r="L783" s="114"/>
    </row>
    <row r="784" spans="1:12">
      <c r="A784" s="116"/>
      <c r="B784" s="116"/>
      <c r="C784" s="116"/>
      <c r="D784" s="116"/>
      <c r="E784" s="116"/>
      <c r="F784" s="116"/>
      <c r="G784" s="116"/>
      <c r="H784" s="116"/>
      <c r="I784" s="116"/>
      <c r="J784" s="116"/>
      <c r="K784" s="116"/>
      <c r="L784" s="114"/>
    </row>
    <row r="785" spans="1:12">
      <c r="A785" s="116"/>
      <c r="B785" s="116"/>
      <c r="C785" s="116"/>
      <c r="D785" s="116"/>
      <c r="E785" s="116"/>
      <c r="F785" s="116"/>
      <c r="G785" s="116"/>
      <c r="H785" s="116"/>
      <c r="I785" s="116"/>
      <c r="J785" s="116"/>
      <c r="K785" s="116"/>
      <c r="L785" s="114"/>
    </row>
    <row r="786" spans="1:12">
      <c r="A786" s="116"/>
      <c r="B786" s="116"/>
      <c r="C786" s="116"/>
      <c r="D786" s="116"/>
      <c r="E786" s="116"/>
      <c r="F786" s="116"/>
      <c r="G786" s="116"/>
      <c r="H786" s="116"/>
      <c r="I786" s="116"/>
      <c r="J786" s="116"/>
      <c r="K786" s="116"/>
      <c r="L786" s="114"/>
    </row>
    <row r="787" spans="1:12">
      <c r="A787" s="116"/>
      <c r="B787" s="116"/>
      <c r="C787" s="116"/>
      <c r="D787" s="116"/>
      <c r="E787" s="116"/>
      <c r="F787" s="116"/>
      <c r="G787" s="116"/>
      <c r="H787" s="116"/>
      <c r="I787" s="116"/>
      <c r="J787" s="116"/>
      <c r="K787" s="116"/>
      <c r="L787" s="114"/>
    </row>
    <row r="788" spans="1:12">
      <c r="A788" s="116"/>
      <c r="B788" s="116"/>
      <c r="C788" s="116"/>
      <c r="D788" s="116"/>
      <c r="E788" s="116"/>
      <c r="F788" s="116"/>
      <c r="G788" s="116"/>
      <c r="H788" s="116"/>
      <c r="I788" s="116"/>
      <c r="J788" s="116"/>
      <c r="K788" s="116"/>
      <c r="L788" s="114"/>
    </row>
    <row r="789" spans="1:12">
      <c r="A789" s="116"/>
      <c r="B789" s="116"/>
      <c r="C789" s="116"/>
      <c r="D789" s="116"/>
      <c r="E789" s="116"/>
      <c r="F789" s="116"/>
      <c r="G789" s="116"/>
      <c r="H789" s="116"/>
      <c r="I789" s="116"/>
      <c r="J789" s="116"/>
      <c r="K789" s="116"/>
      <c r="L789" s="114"/>
    </row>
    <row r="790" spans="1:12">
      <c r="A790" s="116"/>
      <c r="B790" s="116"/>
      <c r="C790" s="116"/>
      <c r="D790" s="116"/>
      <c r="E790" s="116"/>
      <c r="F790" s="116"/>
      <c r="G790" s="116"/>
      <c r="H790" s="116"/>
      <c r="I790" s="116"/>
      <c r="J790" s="116"/>
      <c r="K790" s="116"/>
      <c r="L790" s="114"/>
    </row>
    <row r="791" spans="1:12">
      <c r="A791" s="116"/>
      <c r="B791" s="116"/>
      <c r="C791" s="116"/>
      <c r="D791" s="116"/>
      <c r="E791" s="116"/>
      <c r="F791" s="116"/>
      <c r="G791" s="116"/>
      <c r="H791" s="116"/>
      <c r="I791" s="116"/>
      <c r="J791" s="116"/>
      <c r="K791" s="116"/>
      <c r="L791" s="114"/>
    </row>
    <row r="792" spans="1:12">
      <c r="A792" s="116"/>
      <c r="B792" s="116"/>
      <c r="C792" s="116"/>
      <c r="D792" s="116"/>
      <c r="E792" s="116"/>
      <c r="F792" s="116"/>
      <c r="G792" s="116"/>
      <c r="H792" s="116"/>
      <c r="I792" s="116"/>
      <c r="J792" s="116"/>
      <c r="K792" s="116"/>
      <c r="L792" s="114"/>
    </row>
    <row r="793" spans="1:12">
      <c r="A793" s="116"/>
      <c r="B793" s="116"/>
      <c r="C793" s="116"/>
      <c r="D793" s="116"/>
      <c r="E793" s="116"/>
      <c r="F793" s="116"/>
      <c r="G793" s="116"/>
      <c r="H793" s="116"/>
      <c r="I793" s="116"/>
      <c r="J793" s="116"/>
      <c r="K793" s="116"/>
      <c r="L793" s="114"/>
    </row>
    <row r="794" spans="1:12">
      <c r="A794" s="116"/>
      <c r="B794" s="116"/>
      <c r="C794" s="116"/>
      <c r="D794" s="116"/>
      <c r="E794" s="116"/>
      <c r="F794" s="116"/>
      <c r="G794" s="116"/>
      <c r="H794" s="116"/>
      <c r="I794" s="116"/>
      <c r="J794" s="116"/>
      <c r="K794" s="116"/>
      <c r="L794" s="114"/>
    </row>
    <row r="795" spans="1:12">
      <c r="A795" s="116"/>
      <c r="B795" s="116"/>
      <c r="C795" s="116"/>
      <c r="D795" s="116"/>
      <c r="E795" s="116"/>
      <c r="F795" s="116"/>
      <c r="G795" s="116"/>
      <c r="H795" s="116"/>
      <c r="I795" s="116"/>
      <c r="J795" s="116"/>
      <c r="K795" s="116"/>
      <c r="L795" s="114"/>
    </row>
    <row r="796" spans="1:12">
      <c r="A796" s="116"/>
      <c r="B796" s="116"/>
      <c r="C796" s="116"/>
      <c r="D796" s="116"/>
      <c r="E796" s="116"/>
      <c r="F796" s="116"/>
      <c r="G796" s="116"/>
      <c r="H796" s="116"/>
      <c r="I796" s="116"/>
      <c r="J796" s="116"/>
      <c r="K796" s="116"/>
      <c r="L796" s="114"/>
    </row>
    <row r="797" spans="1:12">
      <c r="A797" s="116"/>
      <c r="B797" s="116"/>
      <c r="C797" s="116"/>
      <c r="D797" s="116"/>
      <c r="E797" s="116"/>
      <c r="F797" s="116"/>
      <c r="G797" s="116"/>
      <c r="H797" s="116"/>
      <c r="I797" s="116"/>
      <c r="J797" s="116"/>
      <c r="K797" s="116"/>
      <c r="L797" s="114"/>
    </row>
    <row r="798" spans="1:12">
      <c r="A798" s="116"/>
      <c r="B798" s="116"/>
      <c r="C798" s="116"/>
      <c r="D798" s="116"/>
      <c r="E798" s="116"/>
      <c r="F798" s="116"/>
      <c r="G798" s="116"/>
      <c r="H798" s="116"/>
      <c r="I798" s="116"/>
      <c r="J798" s="116"/>
      <c r="K798" s="116"/>
      <c r="L798" s="114"/>
    </row>
    <row r="799" spans="1:12">
      <c r="A799" s="116"/>
      <c r="B799" s="116"/>
      <c r="C799" s="116"/>
      <c r="D799" s="116"/>
      <c r="E799" s="116"/>
      <c r="F799" s="116"/>
      <c r="G799" s="116"/>
      <c r="H799" s="116"/>
      <c r="I799" s="116"/>
      <c r="J799" s="116"/>
      <c r="K799" s="116"/>
      <c r="L799" s="114"/>
    </row>
    <row r="800" spans="1:12">
      <c r="A800" s="116"/>
      <c r="B800" s="116"/>
      <c r="C800" s="116"/>
      <c r="D800" s="116"/>
      <c r="E800" s="116"/>
      <c r="F800" s="116"/>
      <c r="G800" s="116"/>
      <c r="H800" s="116"/>
      <c r="I800" s="116"/>
      <c r="J800" s="116"/>
      <c r="K800" s="116"/>
      <c r="L800" s="114"/>
    </row>
    <row r="801" spans="1:12">
      <c r="A801" s="116"/>
      <c r="B801" s="116"/>
      <c r="C801" s="116"/>
      <c r="D801" s="116"/>
      <c r="E801" s="116"/>
      <c r="F801" s="116"/>
      <c r="G801" s="116"/>
      <c r="H801" s="116"/>
      <c r="I801" s="116"/>
      <c r="J801" s="116"/>
      <c r="K801" s="116"/>
      <c r="L801" s="114"/>
    </row>
    <row r="802" spans="1:12">
      <c r="A802" s="116"/>
      <c r="B802" s="116"/>
      <c r="C802" s="116"/>
      <c r="D802" s="116"/>
      <c r="E802" s="116"/>
      <c r="F802" s="116"/>
      <c r="G802" s="116"/>
      <c r="H802" s="116"/>
      <c r="I802" s="116"/>
      <c r="J802" s="116"/>
      <c r="K802" s="116"/>
      <c r="L802" s="114"/>
    </row>
    <row r="803" spans="1:12">
      <c r="A803" s="116"/>
      <c r="B803" s="116"/>
      <c r="C803" s="116"/>
      <c r="D803" s="116"/>
      <c r="E803" s="116"/>
      <c r="F803" s="116"/>
      <c r="G803" s="116"/>
      <c r="H803" s="116"/>
      <c r="I803" s="116"/>
      <c r="J803" s="116"/>
      <c r="K803" s="116"/>
      <c r="L803" s="114"/>
    </row>
    <row r="804" spans="1:12">
      <c r="A804" s="116"/>
      <c r="B804" s="116"/>
      <c r="C804" s="116"/>
      <c r="D804" s="116"/>
      <c r="E804" s="116"/>
      <c r="F804" s="116"/>
      <c r="G804" s="116"/>
      <c r="H804" s="116"/>
      <c r="I804" s="116"/>
      <c r="J804" s="116"/>
      <c r="K804" s="116"/>
      <c r="L804" s="114"/>
    </row>
    <row r="805" spans="1:12">
      <c r="A805" s="116"/>
      <c r="B805" s="116"/>
      <c r="C805" s="116"/>
      <c r="D805" s="116"/>
      <c r="E805" s="116"/>
      <c r="F805" s="116"/>
      <c r="G805" s="116"/>
      <c r="H805" s="116"/>
      <c r="I805" s="116"/>
      <c r="J805" s="116"/>
      <c r="K805" s="116"/>
      <c r="L805" s="114"/>
    </row>
    <row r="806" spans="1:12">
      <c r="A806" s="116"/>
      <c r="B806" s="116"/>
      <c r="C806" s="116"/>
      <c r="D806" s="116"/>
      <c r="E806" s="116"/>
      <c r="F806" s="116"/>
      <c r="G806" s="116"/>
      <c r="H806" s="116"/>
      <c r="I806" s="116"/>
      <c r="J806" s="116"/>
      <c r="K806" s="116"/>
      <c r="L806" s="114"/>
    </row>
    <row r="807" spans="1:12">
      <c r="A807" s="116"/>
      <c r="B807" s="116"/>
      <c r="C807" s="116"/>
      <c r="D807" s="116"/>
      <c r="E807" s="116"/>
      <c r="F807" s="116"/>
      <c r="G807" s="116"/>
      <c r="H807" s="116"/>
      <c r="I807" s="116"/>
      <c r="J807" s="116"/>
      <c r="K807" s="116"/>
      <c r="L807" s="114"/>
    </row>
    <row r="808" spans="1:12">
      <c r="A808" s="116"/>
      <c r="B808" s="116"/>
      <c r="C808" s="116"/>
      <c r="D808" s="116"/>
      <c r="E808" s="116"/>
      <c r="F808" s="116"/>
      <c r="G808" s="116"/>
      <c r="H808" s="116"/>
      <c r="I808" s="116"/>
      <c r="J808" s="116"/>
      <c r="K808" s="116"/>
      <c r="L808" s="114"/>
    </row>
    <row r="809" spans="1:12">
      <c r="A809" s="116"/>
      <c r="B809" s="116"/>
      <c r="C809" s="116"/>
      <c r="D809" s="116"/>
      <c r="E809" s="116"/>
      <c r="F809" s="116"/>
      <c r="G809" s="116"/>
      <c r="H809" s="116"/>
      <c r="I809" s="116"/>
      <c r="J809" s="116"/>
      <c r="K809" s="116"/>
      <c r="L809" s="114"/>
    </row>
    <row r="810" spans="1:12">
      <c r="A810" s="116"/>
      <c r="B810" s="116"/>
      <c r="C810" s="116"/>
      <c r="D810" s="116"/>
      <c r="E810" s="116"/>
      <c r="F810" s="116"/>
      <c r="G810" s="116"/>
      <c r="H810" s="116"/>
      <c r="I810" s="116"/>
      <c r="J810" s="116"/>
      <c r="K810" s="116"/>
      <c r="L810" s="114"/>
    </row>
    <row r="811" spans="1:12">
      <c r="A811" s="116"/>
      <c r="B811" s="116"/>
      <c r="C811" s="116"/>
      <c r="D811" s="116"/>
      <c r="E811" s="116"/>
      <c r="F811" s="116"/>
      <c r="G811" s="116"/>
      <c r="H811" s="116"/>
      <c r="I811" s="116"/>
      <c r="J811" s="116"/>
      <c r="K811" s="116"/>
      <c r="L811" s="114"/>
    </row>
    <row r="812" spans="1:12">
      <c r="A812" s="116"/>
      <c r="B812" s="116"/>
      <c r="C812" s="116"/>
      <c r="D812" s="116"/>
      <c r="E812" s="116"/>
      <c r="F812" s="116"/>
      <c r="G812" s="116"/>
      <c r="H812" s="116"/>
      <c r="I812" s="116"/>
      <c r="J812" s="116"/>
      <c r="K812" s="116"/>
      <c r="L812" s="114"/>
    </row>
    <row r="813" spans="1:12">
      <c r="A813" s="116"/>
      <c r="B813" s="116"/>
      <c r="C813" s="116"/>
      <c r="D813" s="116"/>
      <c r="E813" s="116"/>
      <c r="F813" s="116"/>
      <c r="G813" s="116"/>
      <c r="H813" s="116"/>
      <c r="I813" s="116"/>
      <c r="J813" s="116"/>
      <c r="K813" s="116"/>
      <c r="L813" s="114"/>
    </row>
    <row r="814" spans="1:12">
      <c r="A814" s="116"/>
      <c r="B814" s="116"/>
      <c r="C814" s="116"/>
      <c r="D814" s="116"/>
      <c r="E814" s="116"/>
      <c r="F814" s="116"/>
      <c r="G814" s="116"/>
      <c r="H814" s="116"/>
      <c r="I814" s="116"/>
      <c r="J814" s="116"/>
      <c r="K814" s="116"/>
      <c r="L814" s="114"/>
    </row>
    <row r="815" spans="1:12">
      <c r="A815" s="116"/>
      <c r="B815" s="116"/>
      <c r="C815" s="116"/>
      <c r="D815" s="116"/>
      <c r="E815" s="116"/>
      <c r="F815" s="116"/>
      <c r="G815" s="116"/>
      <c r="H815" s="116"/>
      <c r="I815" s="116"/>
      <c r="J815" s="116"/>
      <c r="K815" s="116"/>
      <c r="L815" s="114"/>
    </row>
    <row r="816" spans="1:12">
      <c r="A816" s="116"/>
      <c r="B816" s="116"/>
      <c r="C816" s="116"/>
      <c r="D816" s="116"/>
      <c r="E816" s="116"/>
      <c r="F816" s="116"/>
      <c r="G816" s="116"/>
      <c r="H816" s="116"/>
      <c r="I816" s="116"/>
      <c r="J816" s="116"/>
      <c r="K816" s="116"/>
      <c r="L816" s="114"/>
    </row>
    <row r="817" spans="1:12">
      <c r="A817" s="116"/>
      <c r="B817" s="116"/>
      <c r="C817" s="116"/>
      <c r="D817" s="116"/>
      <c r="E817" s="116"/>
      <c r="F817" s="116"/>
      <c r="G817" s="116"/>
      <c r="H817" s="116"/>
      <c r="I817" s="116"/>
      <c r="J817" s="116"/>
      <c r="K817" s="116"/>
      <c r="L817" s="114"/>
    </row>
    <row r="818" spans="1:12">
      <c r="A818" s="116"/>
      <c r="B818" s="116"/>
      <c r="C818" s="116"/>
      <c r="D818" s="116"/>
      <c r="E818" s="116"/>
      <c r="F818" s="116"/>
      <c r="G818" s="116"/>
      <c r="H818" s="116"/>
      <c r="I818" s="116"/>
      <c r="J818" s="116"/>
      <c r="K818" s="116"/>
      <c r="L818" s="114"/>
    </row>
    <row r="819" spans="1:12">
      <c r="A819" s="116"/>
      <c r="B819" s="116"/>
      <c r="C819" s="116"/>
      <c r="D819" s="116"/>
      <c r="E819" s="116"/>
      <c r="F819" s="116"/>
      <c r="G819" s="116"/>
      <c r="H819" s="116"/>
      <c r="I819" s="116"/>
      <c r="J819" s="116"/>
      <c r="K819" s="116"/>
      <c r="L819" s="114"/>
    </row>
    <row r="820" spans="1:12">
      <c r="A820" s="116"/>
      <c r="B820" s="116"/>
      <c r="C820" s="116"/>
      <c r="D820" s="116"/>
      <c r="E820" s="116"/>
      <c r="F820" s="116"/>
      <c r="G820" s="116"/>
      <c r="H820" s="116"/>
      <c r="I820" s="116"/>
      <c r="J820" s="116"/>
      <c r="K820" s="116"/>
      <c r="L820" s="114"/>
    </row>
    <row r="821" spans="1:12">
      <c r="A821" s="116"/>
      <c r="B821" s="116"/>
      <c r="C821" s="116"/>
      <c r="D821" s="116"/>
      <c r="E821" s="116"/>
      <c r="F821" s="116"/>
      <c r="G821" s="116"/>
      <c r="H821" s="116"/>
      <c r="I821" s="116"/>
      <c r="J821" s="116"/>
      <c r="K821" s="116"/>
      <c r="L821" s="114"/>
    </row>
    <row r="822" spans="1:12">
      <c r="A822" s="116"/>
      <c r="B822" s="116"/>
      <c r="C822" s="116"/>
      <c r="D822" s="116"/>
      <c r="E822" s="116"/>
      <c r="F822" s="116"/>
      <c r="G822" s="116"/>
      <c r="H822" s="116"/>
      <c r="I822" s="116"/>
      <c r="J822" s="116"/>
      <c r="K822" s="116"/>
      <c r="L822" s="114"/>
    </row>
    <row r="823" spans="1:12">
      <c r="A823" s="116"/>
      <c r="B823" s="116"/>
      <c r="C823" s="116"/>
      <c r="D823" s="116"/>
      <c r="E823" s="116"/>
      <c r="F823" s="116"/>
      <c r="G823" s="116"/>
      <c r="H823" s="116"/>
      <c r="I823" s="116"/>
      <c r="J823" s="116"/>
      <c r="K823" s="116"/>
      <c r="L823" s="114"/>
    </row>
    <row r="824" spans="1:12">
      <c r="A824" s="116"/>
      <c r="B824" s="116"/>
      <c r="C824" s="116"/>
      <c r="D824" s="116"/>
      <c r="E824" s="116"/>
      <c r="F824" s="116"/>
      <c r="G824" s="116"/>
      <c r="H824" s="116"/>
      <c r="I824" s="116"/>
      <c r="J824" s="116"/>
      <c r="K824" s="116"/>
      <c r="L824" s="114"/>
    </row>
    <row r="825" spans="1:12">
      <c r="A825" s="116"/>
      <c r="B825" s="116"/>
      <c r="C825" s="116"/>
      <c r="D825" s="116"/>
      <c r="E825" s="116"/>
      <c r="F825" s="116"/>
      <c r="G825" s="116"/>
      <c r="H825" s="116"/>
      <c r="I825" s="116"/>
      <c r="J825" s="116"/>
      <c r="K825" s="116"/>
      <c r="L825" s="114"/>
    </row>
    <row r="826" spans="1:12">
      <c r="A826" s="116"/>
      <c r="B826" s="116"/>
      <c r="C826" s="116"/>
      <c r="D826" s="116"/>
      <c r="E826" s="116"/>
      <c r="F826" s="116"/>
      <c r="G826" s="116"/>
      <c r="H826" s="116"/>
      <c r="I826" s="116"/>
      <c r="J826" s="116"/>
      <c r="K826" s="116"/>
      <c r="L826" s="114"/>
    </row>
    <row r="827" spans="1:12">
      <c r="A827" s="116"/>
      <c r="B827" s="116"/>
      <c r="C827" s="116"/>
      <c r="D827" s="116"/>
      <c r="E827" s="116"/>
      <c r="F827" s="116"/>
      <c r="G827" s="116"/>
      <c r="H827" s="116"/>
      <c r="I827" s="116"/>
      <c r="J827" s="116"/>
      <c r="K827" s="116"/>
      <c r="L827" s="114"/>
    </row>
    <row r="828" spans="1:12">
      <c r="A828" s="116"/>
      <c r="B828" s="116"/>
      <c r="C828" s="116"/>
      <c r="D828" s="116"/>
      <c r="E828" s="116"/>
      <c r="F828" s="116"/>
      <c r="G828" s="116"/>
      <c r="H828" s="116"/>
      <c r="I828" s="116"/>
      <c r="J828" s="116"/>
      <c r="K828" s="116"/>
      <c r="L828" s="114"/>
    </row>
    <row r="829" spans="1:12">
      <c r="A829" s="116"/>
      <c r="B829" s="116"/>
      <c r="C829" s="116"/>
      <c r="D829" s="116"/>
      <c r="E829" s="116"/>
      <c r="F829" s="116"/>
      <c r="G829" s="116"/>
      <c r="H829" s="116"/>
      <c r="I829" s="116"/>
      <c r="J829" s="116"/>
      <c r="K829" s="116"/>
      <c r="L829" s="114"/>
    </row>
    <row r="830" spans="1:12">
      <c r="A830" s="116"/>
      <c r="B830" s="116"/>
      <c r="C830" s="116"/>
      <c r="D830" s="116"/>
      <c r="E830" s="116"/>
      <c r="F830" s="116"/>
      <c r="G830" s="116"/>
      <c r="H830" s="116"/>
      <c r="I830" s="116"/>
      <c r="J830" s="116"/>
      <c r="K830" s="116"/>
      <c r="L830" s="114"/>
    </row>
    <row r="831" spans="1:12">
      <c r="A831" s="116"/>
      <c r="B831" s="116"/>
      <c r="C831" s="116"/>
      <c r="D831" s="116"/>
      <c r="E831" s="116"/>
      <c r="F831" s="116"/>
      <c r="G831" s="116"/>
      <c r="H831" s="116"/>
      <c r="I831" s="116"/>
      <c r="J831" s="116"/>
      <c r="K831" s="116"/>
      <c r="L831" s="114"/>
    </row>
    <row r="832" spans="1:12">
      <c r="A832" s="116"/>
      <c r="B832" s="116"/>
      <c r="C832" s="116"/>
      <c r="D832" s="116"/>
      <c r="E832" s="116"/>
      <c r="F832" s="116"/>
      <c r="G832" s="116"/>
      <c r="H832" s="116"/>
      <c r="I832" s="116"/>
      <c r="J832" s="116"/>
      <c r="K832" s="116"/>
      <c r="L832" s="114"/>
    </row>
    <row r="833" spans="1:12">
      <c r="A833" s="116"/>
      <c r="B833" s="116"/>
      <c r="C833" s="116"/>
      <c r="D833" s="116"/>
      <c r="E833" s="116"/>
      <c r="F833" s="116"/>
      <c r="G833" s="116"/>
      <c r="H833" s="116"/>
      <c r="I833" s="116"/>
      <c r="J833" s="116"/>
      <c r="K833" s="116"/>
      <c r="L833" s="114"/>
    </row>
    <row r="834" spans="1:12">
      <c r="A834" s="116"/>
      <c r="B834" s="116"/>
      <c r="C834" s="116"/>
      <c r="D834" s="116"/>
      <c r="E834" s="116"/>
      <c r="F834" s="116"/>
      <c r="G834" s="116"/>
      <c r="H834" s="116"/>
      <c r="I834" s="116"/>
      <c r="J834" s="116"/>
      <c r="K834" s="116"/>
      <c r="L834" s="114"/>
    </row>
    <row r="835" spans="1:12">
      <c r="A835" s="116"/>
      <c r="B835" s="116"/>
      <c r="C835" s="116"/>
      <c r="D835" s="116"/>
      <c r="E835" s="116"/>
      <c r="F835" s="116"/>
      <c r="G835" s="116"/>
      <c r="H835" s="116"/>
      <c r="I835" s="116"/>
      <c r="J835" s="116"/>
      <c r="K835" s="116"/>
      <c r="L835" s="114"/>
    </row>
    <row r="836" spans="1:12">
      <c r="A836" s="116"/>
      <c r="B836" s="116"/>
      <c r="C836" s="116"/>
      <c r="D836" s="116"/>
      <c r="E836" s="116"/>
      <c r="F836" s="116"/>
      <c r="G836" s="116"/>
      <c r="H836" s="116"/>
      <c r="I836" s="116"/>
      <c r="J836" s="116"/>
      <c r="K836" s="116"/>
      <c r="L836" s="114"/>
    </row>
    <row r="837" spans="1:12">
      <c r="A837" s="116"/>
      <c r="B837" s="116"/>
      <c r="C837" s="116"/>
      <c r="D837" s="116"/>
      <c r="E837" s="116"/>
      <c r="F837" s="116"/>
      <c r="G837" s="116"/>
      <c r="H837" s="116"/>
      <c r="I837" s="116"/>
      <c r="J837" s="116"/>
      <c r="K837" s="116"/>
      <c r="L837" s="114"/>
    </row>
    <row r="838" spans="1:12">
      <c r="A838" s="116"/>
      <c r="B838" s="116"/>
      <c r="C838" s="116"/>
      <c r="D838" s="116"/>
      <c r="E838" s="116"/>
      <c r="F838" s="116"/>
      <c r="G838" s="116"/>
      <c r="H838" s="116"/>
      <c r="I838" s="116"/>
      <c r="J838" s="116"/>
      <c r="K838" s="116"/>
      <c r="L838" s="114"/>
    </row>
    <row r="839" spans="1:12">
      <c r="A839" s="116"/>
      <c r="B839" s="116"/>
      <c r="C839" s="116"/>
      <c r="D839" s="116"/>
      <c r="E839" s="116"/>
      <c r="F839" s="116"/>
      <c r="G839" s="116"/>
      <c r="H839" s="116"/>
      <c r="I839" s="116"/>
      <c r="J839" s="116"/>
      <c r="K839" s="116"/>
      <c r="L839" s="114"/>
    </row>
    <row r="840" spans="1:12">
      <c r="A840" s="116"/>
      <c r="B840" s="116"/>
      <c r="C840" s="116"/>
      <c r="D840" s="116"/>
      <c r="E840" s="116"/>
      <c r="F840" s="116"/>
      <c r="G840" s="116"/>
      <c r="H840" s="116"/>
      <c r="I840" s="116"/>
      <c r="J840" s="116"/>
      <c r="K840" s="116"/>
      <c r="L840" s="114"/>
    </row>
    <row r="841" spans="1:12">
      <c r="A841" s="116"/>
      <c r="B841" s="116"/>
      <c r="C841" s="116"/>
      <c r="D841" s="116"/>
      <c r="E841" s="116"/>
      <c r="F841" s="116"/>
      <c r="G841" s="116"/>
      <c r="H841" s="116"/>
      <c r="I841" s="116"/>
      <c r="J841" s="116"/>
      <c r="K841" s="116"/>
      <c r="L841" s="114"/>
    </row>
    <row r="842" spans="1:12">
      <c r="A842" s="116"/>
      <c r="B842" s="116"/>
      <c r="C842" s="116"/>
      <c r="D842" s="116"/>
      <c r="E842" s="116"/>
      <c r="F842" s="116"/>
      <c r="G842" s="116"/>
      <c r="H842" s="116"/>
      <c r="I842" s="116"/>
      <c r="J842" s="116"/>
      <c r="K842" s="116"/>
      <c r="L842" s="114"/>
    </row>
    <row r="843" spans="1:12">
      <c r="A843" s="116"/>
      <c r="B843" s="116"/>
      <c r="C843" s="116"/>
      <c r="D843" s="116"/>
      <c r="E843" s="116"/>
      <c r="F843" s="116"/>
      <c r="G843" s="116"/>
      <c r="H843" s="116"/>
      <c r="I843" s="116"/>
      <c r="J843" s="116"/>
      <c r="K843" s="116"/>
      <c r="L843" s="114"/>
    </row>
    <row r="844" spans="1:12">
      <c r="A844" s="116"/>
      <c r="B844" s="116"/>
      <c r="C844" s="116"/>
      <c r="D844" s="116"/>
      <c r="E844" s="116"/>
      <c r="F844" s="116"/>
      <c r="G844" s="116"/>
      <c r="H844" s="116"/>
      <c r="I844" s="116"/>
      <c r="J844" s="116"/>
      <c r="K844" s="116"/>
      <c r="L844" s="114"/>
    </row>
    <row r="845" spans="1:12">
      <c r="A845" s="116"/>
      <c r="B845" s="116"/>
      <c r="C845" s="116"/>
      <c r="D845" s="116"/>
      <c r="E845" s="116"/>
      <c r="F845" s="116"/>
      <c r="G845" s="116"/>
      <c r="H845" s="116"/>
      <c r="I845" s="116"/>
      <c r="J845" s="116"/>
      <c r="K845" s="116"/>
      <c r="L845" s="114"/>
    </row>
    <row r="846" spans="1:12">
      <c r="A846" s="116"/>
      <c r="B846" s="116"/>
      <c r="C846" s="116"/>
      <c r="D846" s="116"/>
      <c r="E846" s="116"/>
      <c r="F846" s="116"/>
      <c r="G846" s="116"/>
      <c r="H846" s="116"/>
      <c r="I846" s="116"/>
      <c r="J846" s="116"/>
      <c r="K846" s="116"/>
      <c r="L846" s="114"/>
    </row>
    <row r="847" spans="1:12">
      <c r="A847" s="116"/>
      <c r="B847" s="116"/>
      <c r="C847" s="116"/>
      <c r="D847" s="116"/>
      <c r="E847" s="116"/>
      <c r="F847" s="116"/>
      <c r="G847" s="116"/>
      <c r="H847" s="116"/>
      <c r="I847" s="116"/>
      <c r="J847" s="116"/>
      <c r="K847" s="116"/>
      <c r="L847" s="114"/>
    </row>
    <row r="848" spans="1:12">
      <c r="A848" s="116"/>
      <c r="B848" s="116"/>
      <c r="C848" s="116"/>
      <c r="D848" s="116"/>
      <c r="E848" s="116"/>
      <c r="F848" s="116"/>
      <c r="G848" s="116"/>
      <c r="H848" s="116"/>
      <c r="I848" s="116"/>
      <c r="J848" s="116"/>
      <c r="K848" s="116"/>
      <c r="L848" s="114"/>
    </row>
    <row r="849" spans="1:12">
      <c r="A849" s="116"/>
      <c r="B849" s="116"/>
      <c r="C849" s="116"/>
      <c r="D849" s="116"/>
      <c r="E849" s="116"/>
      <c r="F849" s="116"/>
      <c r="G849" s="116"/>
      <c r="H849" s="116"/>
      <c r="I849" s="116"/>
      <c r="J849" s="116"/>
      <c r="K849" s="116"/>
      <c r="L849" s="114"/>
    </row>
    <row r="850" spans="1:12">
      <c r="A850" s="116"/>
      <c r="B850" s="116"/>
      <c r="C850" s="116"/>
      <c r="D850" s="116"/>
      <c r="E850" s="116"/>
      <c r="F850" s="116"/>
      <c r="G850" s="116"/>
      <c r="H850" s="116"/>
      <c r="I850" s="116"/>
      <c r="J850" s="116"/>
      <c r="K850" s="116"/>
      <c r="L850" s="114"/>
    </row>
    <row r="851" spans="1:12">
      <c r="A851" s="116"/>
      <c r="B851" s="116"/>
      <c r="C851" s="116"/>
      <c r="D851" s="116"/>
      <c r="E851" s="116"/>
      <c r="F851" s="116"/>
      <c r="G851" s="116"/>
      <c r="H851" s="116"/>
      <c r="I851" s="116"/>
      <c r="J851" s="116"/>
      <c r="K851" s="116"/>
      <c r="L851" s="114"/>
    </row>
    <row r="852" spans="1:12">
      <c r="A852" s="116"/>
      <c r="B852" s="116"/>
      <c r="C852" s="116"/>
      <c r="D852" s="116"/>
      <c r="E852" s="116"/>
      <c r="F852" s="116"/>
      <c r="G852" s="116"/>
      <c r="H852" s="116"/>
      <c r="I852" s="116"/>
      <c r="J852" s="116"/>
      <c r="K852" s="116"/>
      <c r="L852" s="114"/>
    </row>
    <row r="853" spans="1:12">
      <c r="A853" s="116"/>
      <c r="B853" s="116"/>
      <c r="C853" s="116"/>
      <c r="D853" s="116"/>
      <c r="E853" s="116"/>
      <c r="F853" s="116"/>
      <c r="G853" s="116"/>
      <c r="H853" s="116"/>
      <c r="I853" s="116"/>
      <c r="J853" s="116"/>
      <c r="K853" s="116"/>
      <c r="L853" s="114"/>
    </row>
    <row r="854" spans="1:12">
      <c r="A854" s="116"/>
      <c r="B854" s="116"/>
      <c r="C854" s="116"/>
      <c r="D854" s="116"/>
      <c r="E854" s="116"/>
      <c r="F854" s="116"/>
      <c r="G854" s="116"/>
      <c r="H854" s="116"/>
      <c r="I854" s="116"/>
      <c r="J854" s="116"/>
      <c r="K854" s="116"/>
      <c r="L854" s="114"/>
    </row>
    <row r="855" spans="1:12">
      <c r="A855" s="116"/>
      <c r="B855" s="116"/>
      <c r="C855" s="116"/>
      <c r="D855" s="116"/>
      <c r="E855" s="116"/>
      <c r="F855" s="116"/>
      <c r="G855" s="116"/>
      <c r="H855" s="116"/>
      <c r="I855" s="116"/>
      <c r="J855" s="116"/>
      <c r="K855" s="116"/>
      <c r="L855" s="114"/>
    </row>
    <row r="856" spans="1:12">
      <c r="A856" s="116"/>
      <c r="B856" s="116"/>
      <c r="C856" s="116"/>
      <c r="D856" s="116"/>
      <c r="E856" s="116"/>
      <c r="F856" s="116"/>
      <c r="G856" s="116"/>
      <c r="H856" s="116"/>
      <c r="I856" s="116"/>
      <c r="J856" s="116"/>
      <c r="K856" s="116"/>
      <c r="L856" s="114"/>
    </row>
    <row r="857" spans="1:12">
      <c r="A857" s="116"/>
      <c r="B857" s="116"/>
      <c r="C857" s="116"/>
      <c r="D857" s="116"/>
      <c r="E857" s="116"/>
      <c r="F857" s="116"/>
      <c r="G857" s="116"/>
      <c r="H857" s="116"/>
      <c r="I857" s="116"/>
      <c r="J857" s="116"/>
      <c r="K857" s="116"/>
      <c r="L857" s="114"/>
    </row>
    <row r="858" spans="1:12">
      <c r="A858" s="116"/>
      <c r="B858" s="116"/>
      <c r="C858" s="116"/>
      <c r="D858" s="116"/>
      <c r="E858" s="116"/>
      <c r="F858" s="116"/>
      <c r="G858" s="116"/>
      <c r="H858" s="116"/>
      <c r="I858" s="116"/>
      <c r="J858" s="116"/>
      <c r="K858" s="116"/>
      <c r="L858" s="114"/>
    </row>
    <row r="859" spans="1:12">
      <c r="A859" s="116"/>
      <c r="B859" s="116"/>
      <c r="C859" s="116"/>
      <c r="D859" s="116"/>
      <c r="E859" s="116"/>
      <c r="F859" s="116"/>
      <c r="G859" s="116"/>
      <c r="H859" s="116"/>
      <c r="I859" s="116"/>
      <c r="J859" s="116"/>
      <c r="K859" s="116"/>
      <c r="L859" s="114"/>
    </row>
  </sheetData>
  <autoFilter ref="A1:K390" xr:uid="{00000000-0009-0000-0000-00000F000000}"/>
  <phoneticPr fontId="26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 filterMode="1">
    <tabColor indexed="8"/>
  </sheetPr>
  <dimension ref="A1:J87"/>
  <sheetViews>
    <sheetView showGridLines="0" workbookViewId="0">
      <selection activeCell="J69" sqref="J69"/>
    </sheetView>
  </sheetViews>
  <sheetFormatPr defaultRowHeight="12.75"/>
  <cols>
    <col min="1" max="1" width="10.42578125" style="54" bestFit="1" customWidth="1"/>
    <col min="2" max="2" width="11.85546875" style="54" bestFit="1" customWidth="1"/>
    <col min="3" max="3" width="10" style="54" bestFit="1" customWidth="1"/>
    <col min="4" max="4" width="9.28515625" style="54" bestFit="1" customWidth="1"/>
    <col min="5" max="5" width="12.28515625" style="54" bestFit="1" customWidth="1"/>
    <col min="6" max="6" width="9.42578125" style="54" bestFit="1" customWidth="1"/>
    <col min="7" max="7" width="12.28515625" style="54" bestFit="1" customWidth="1"/>
    <col min="8" max="8" width="16.42578125" style="54" bestFit="1" customWidth="1"/>
    <col min="9" max="16384" width="9.140625" style="54"/>
  </cols>
  <sheetData>
    <row r="1" spans="1:10">
      <c r="A1" s="117" t="s">
        <v>999</v>
      </c>
      <c r="B1" s="117" t="s">
        <v>614</v>
      </c>
      <c r="C1" s="117" t="s">
        <v>1000</v>
      </c>
      <c r="D1" s="117" t="s">
        <v>1001</v>
      </c>
      <c r="E1" s="117" t="s">
        <v>1002</v>
      </c>
      <c r="F1" s="117" t="s">
        <v>618</v>
      </c>
      <c r="G1" s="117" t="s">
        <v>1003</v>
      </c>
      <c r="H1" s="117" t="s">
        <v>1004</v>
      </c>
      <c r="I1" s="118"/>
      <c r="J1" s="118"/>
    </row>
    <row r="2" spans="1:10">
      <c r="A2" s="101">
        <v>240</v>
      </c>
      <c r="B2" s="101" t="s">
        <v>1005</v>
      </c>
      <c r="C2" s="101" t="s">
        <v>1006</v>
      </c>
      <c r="D2" s="101"/>
      <c r="E2" s="101" t="s">
        <v>1007</v>
      </c>
      <c r="F2" s="101" t="s">
        <v>658</v>
      </c>
      <c r="G2" s="101" t="s">
        <v>1008</v>
      </c>
      <c r="H2" s="101" t="s">
        <v>1009</v>
      </c>
      <c r="I2" s="118"/>
      <c r="J2" s="118"/>
    </row>
    <row r="3" spans="1:10">
      <c r="A3" s="101">
        <v>241</v>
      </c>
      <c r="B3" s="101" t="s">
        <v>1010</v>
      </c>
      <c r="C3" s="101" t="s">
        <v>1006</v>
      </c>
      <c r="D3" s="101"/>
      <c r="E3" s="101" t="s">
        <v>1007</v>
      </c>
      <c r="F3" s="101" t="s">
        <v>491</v>
      </c>
      <c r="G3" s="101" t="s">
        <v>1008</v>
      </c>
      <c r="H3" s="101" t="s">
        <v>1009</v>
      </c>
      <c r="I3" s="118"/>
      <c r="J3" s="118"/>
    </row>
    <row r="4" spans="1:10">
      <c r="A4" s="101">
        <v>242</v>
      </c>
      <c r="B4" s="101" t="s">
        <v>1011</v>
      </c>
      <c r="C4" s="101" t="s">
        <v>1006</v>
      </c>
      <c r="D4" s="101"/>
      <c r="E4" s="101" t="s">
        <v>1007</v>
      </c>
      <c r="F4" s="101" t="s">
        <v>658</v>
      </c>
      <c r="G4" s="101" t="s">
        <v>1012</v>
      </c>
      <c r="H4" s="101" t="s">
        <v>1009</v>
      </c>
      <c r="I4" s="118"/>
      <c r="J4" s="118"/>
    </row>
    <row r="5" spans="1:10">
      <c r="A5" s="101">
        <v>243</v>
      </c>
      <c r="B5" s="101" t="s">
        <v>1013</v>
      </c>
      <c r="C5" s="101" t="s">
        <v>1006</v>
      </c>
      <c r="D5" s="101"/>
      <c r="E5" s="101" t="s">
        <v>1007</v>
      </c>
      <c r="F5" s="101" t="s">
        <v>491</v>
      </c>
      <c r="G5" s="101" t="s">
        <v>1012</v>
      </c>
      <c r="H5" s="101" t="s">
        <v>1009</v>
      </c>
      <c r="I5" s="118"/>
      <c r="J5" s="118"/>
    </row>
    <row r="6" spans="1:10">
      <c r="A6" s="101">
        <v>244</v>
      </c>
      <c r="B6" s="101" t="s">
        <v>1014</v>
      </c>
      <c r="C6" s="101" t="s">
        <v>1006</v>
      </c>
      <c r="D6" s="101"/>
      <c r="E6" s="101" t="s">
        <v>1015</v>
      </c>
      <c r="F6" s="101" t="s">
        <v>1016</v>
      </c>
      <c r="G6" s="101" t="s">
        <v>1012</v>
      </c>
      <c r="H6" s="101" t="s">
        <v>1009</v>
      </c>
      <c r="I6" s="118"/>
      <c r="J6" s="118"/>
    </row>
    <row r="7" spans="1:10" hidden="1">
      <c r="A7" s="101">
        <v>245</v>
      </c>
      <c r="B7" s="101" t="s">
        <v>1017</v>
      </c>
      <c r="C7" s="101" t="s">
        <v>1006</v>
      </c>
      <c r="D7" s="101"/>
      <c r="E7" s="101" t="s">
        <v>1018</v>
      </c>
      <c r="F7" s="101" t="s">
        <v>1016</v>
      </c>
      <c r="G7" s="101" t="s">
        <v>1012</v>
      </c>
      <c r="H7" s="101" t="s">
        <v>1009</v>
      </c>
      <c r="I7" s="118"/>
      <c r="J7" s="118"/>
    </row>
    <row r="8" spans="1:10">
      <c r="A8" s="119">
        <v>254</v>
      </c>
      <c r="B8" s="119" t="s">
        <v>1019</v>
      </c>
      <c r="C8" s="119" t="s">
        <v>1006</v>
      </c>
      <c r="D8" s="119" t="s">
        <v>1020</v>
      </c>
      <c r="E8" s="119" t="s">
        <v>1015</v>
      </c>
      <c r="F8" s="119" t="s">
        <v>1016</v>
      </c>
      <c r="G8" s="119" t="s">
        <v>1012</v>
      </c>
      <c r="H8" s="119" t="s">
        <v>1021</v>
      </c>
      <c r="I8" s="118"/>
      <c r="J8" s="120" t="s">
        <v>662</v>
      </c>
    </row>
    <row r="9" spans="1:10" hidden="1">
      <c r="A9" s="119">
        <v>255</v>
      </c>
      <c r="B9" s="119" t="s">
        <v>1022</v>
      </c>
      <c r="C9" s="119" t="s">
        <v>1006</v>
      </c>
      <c r="D9" s="119" t="s">
        <v>1020</v>
      </c>
      <c r="E9" s="119" t="s">
        <v>1018</v>
      </c>
      <c r="F9" s="119" t="s">
        <v>1016</v>
      </c>
      <c r="G9" s="119" t="s">
        <v>1012</v>
      </c>
      <c r="H9" s="119" t="s">
        <v>1021</v>
      </c>
      <c r="I9" s="118"/>
      <c r="J9" s="118"/>
    </row>
    <row r="10" spans="1:10" hidden="1">
      <c r="A10" s="119">
        <v>256</v>
      </c>
      <c r="B10" s="119">
        <v>59901088</v>
      </c>
      <c r="C10" s="119" t="s">
        <v>1023</v>
      </c>
      <c r="D10" s="119" t="s">
        <v>366</v>
      </c>
      <c r="E10" s="119" t="s">
        <v>1024</v>
      </c>
      <c r="F10" s="119" t="s">
        <v>1025</v>
      </c>
      <c r="G10" s="119" t="s">
        <v>1026</v>
      </c>
      <c r="H10" s="119" t="s">
        <v>1027</v>
      </c>
      <c r="I10" s="118"/>
      <c r="J10" s="120" t="s">
        <v>668</v>
      </c>
    </row>
    <row r="11" spans="1:10" hidden="1">
      <c r="A11" s="119">
        <v>257</v>
      </c>
      <c r="B11" s="119">
        <v>59901088</v>
      </c>
      <c r="C11" s="119" t="s">
        <v>1023</v>
      </c>
      <c r="D11" s="119" t="s">
        <v>366</v>
      </c>
      <c r="E11" s="119" t="s">
        <v>1028</v>
      </c>
      <c r="F11" s="119" t="s">
        <v>1025</v>
      </c>
      <c r="G11" s="119" t="s">
        <v>1026</v>
      </c>
      <c r="H11" s="119" t="s">
        <v>1027</v>
      </c>
      <c r="I11" s="118"/>
      <c r="J11" s="120" t="s">
        <v>1029</v>
      </c>
    </row>
    <row r="12" spans="1:10" hidden="1">
      <c r="A12" s="119">
        <v>258</v>
      </c>
      <c r="B12" s="119">
        <v>59901088</v>
      </c>
      <c r="C12" s="119" t="s">
        <v>1023</v>
      </c>
      <c r="D12" s="119" t="s">
        <v>366</v>
      </c>
      <c r="E12" s="119" t="s">
        <v>1030</v>
      </c>
      <c r="F12" s="119" t="s">
        <v>1025</v>
      </c>
      <c r="G12" s="119" t="s">
        <v>1026</v>
      </c>
      <c r="H12" s="119" t="s">
        <v>1027</v>
      </c>
      <c r="I12" s="118"/>
      <c r="J12" s="120" t="s">
        <v>672</v>
      </c>
    </row>
    <row r="13" spans="1:10">
      <c r="A13" s="119">
        <v>259</v>
      </c>
      <c r="B13" s="119" t="s">
        <v>294</v>
      </c>
      <c r="C13" s="119" t="s">
        <v>1006</v>
      </c>
      <c r="D13" s="119" t="s">
        <v>1020</v>
      </c>
      <c r="E13" s="119" t="s">
        <v>1015</v>
      </c>
      <c r="F13" s="119" t="s">
        <v>1016</v>
      </c>
      <c r="G13" s="119" t="s">
        <v>1012</v>
      </c>
      <c r="H13" s="119" t="s">
        <v>1027</v>
      </c>
      <c r="I13" s="118"/>
      <c r="J13" s="120" t="s">
        <v>674</v>
      </c>
    </row>
    <row r="14" spans="1:10">
      <c r="A14" s="119">
        <v>260</v>
      </c>
      <c r="B14" s="119" t="s">
        <v>1031</v>
      </c>
      <c r="C14" s="119" t="s">
        <v>1006</v>
      </c>
      <c r="D14" s="119" t="s">
        <v>1020</v>
      </c>
      <c r="E14" s="119" t="s">
        <v>1015</v>
      </c>
      <c r="F14" s="119" t="s">
        <v>1025</v>
      </c>
      <c r="G14" s="119" t="s">
        <v>1012</v>
      </c>
      <c r="H14" s="119" t="s">
        <v>1027</v>
      </c>
      <c r="I14" s="118"/>
      <c r="J14" s="120" t="s">
        <v>677</v>
      </c>
    </row>
    <row r="15" spans="1:10" hidden="1">
      <c r="A15" s="119">
        <v>261</v>
      </c>
      <c r="B15" s="119" t="s">
        <v>1032</v>
      </c>
      <c r="C15" s="119" t="s">
        <v>1006</v>
      </c>
      <c r="D15" s="119" t="s">
        <v>1020</v>
      </c>
      <c r="E15" s="119" t="s">
        <v>1018</v>
      </c>
      <c r="F15" s="119" t="s">
        <v>1016</v>
      </c>
      <c r="G15" s="119" t="s">
        <v>1012</v>
      </c>
      <c r="H15" s="119" t="s">
        <v>1027</v>
      </c>
      <c r="I15" s="118"/>
      <c r="J15" s="120" t="s">
        <v>679</v>
      </c>
    </row>
    <row r="16" spans="1:10" hidden="1">
      <c r="A16" s="119">
        <v>262</v>
      </c>
      <c r="B16" s="119" t="s">
        <v>1033</v>
      </c>
      <c r="C16" s="119" t="s">
        <v>1006</v>
      </c>
      <c r="D16" s="119" t="s">
        <v>1020</v>
      </c>
      <c r="E16" s="119" t="s">
        <v>1018</v>
      </c>
      <c r="F16" s="119" t="s">
        <v>1025</v>
      </c>
      <c r="G16" s="119" t="s">
        <v>1012</v>
      </c>
      <c r="H16" s="119" t="s">
        <v>1027</v>
      </c>
      <c r="I16" s="118"/>
      <c r="J16" s="121"/>
    </row>
    <row r="17" spans="1:10" hidden="1">
      <c r="A17" s="119">
        <v>264</v>
      </c>
      <c r="B17" s="119" t="s">
        <v>1034</v>
      </c>
      <c r="C17" s="119" t="s">
        <v>1006</v>
      </c>
      <c r="D17" s="119" t="s">
        <v>1020</v>
      </c>
      <c r="E17" s="119" t="s">
        <v>1018</v>
      </c>
      <c r="F17" s="119" t="s">
        <v>1016</v>
      </c>
      <c r="G17" s="119" t="s">
        <v>1012</v>
      </c>
      <c r="H17" s="119" t="s">
        <v>1027</v>
      </c>
      <c r="I17" s="118"/>
      <c r="J17" s="120" t="s">
        <v>682</v>
      </c>
    </row>
    <row r="18" spans="1:10" hidden="1">
      <c r="A18" s="119">
        <v>265</v>
      </c>
      <c r="B18" s="119" t="s">
        <v>1035</v>
      </c>
      <c r="C18" s="119" t="s">
        <v>1006</v>
      </c>
      <c r="D18" s="119" t="s">
        <v>1020</v>
      </c>
      <c r="E18" s="119" t="s">
        <v>1018</v>
      </c>
      <c r="F18" s="119" t="s">
        <v>1025</v>
      </c>
      <c r="G18" s="119" t="s">
        <v>1012</v>
      </c>
      <c r="H18" s="119" t="s">
        <v>1027</v>
      </c>
      <c r="I18" s="118"/>
      <c r="J18" s="120" t="s">
        <v>684</v>
      </c>
    </row>
    <row r="19" spans="1:10">
      <c r="A19" s="119">
        <v>266</v>
      </c>
      <c r="B19" s="119" t="s">
        <v>1036</v>
      </c>
      <c r="C19" s="119" t="s">
        <v>1006</v>
      </c>
      <c r="D19" s="119" t="s">
        <v>1020</v>
      </c>
      <c r="E19" s="119" t="s">
        <v>1015</v>
      </c>
      <c r="F19" s="119" t="s">
        <v>1025</v>
      </c>
      <c r="G19" s="119" t="s">
        <v>1012</v>
      </c>
      <c r="H19" s="119" t="s">
        <v>1027</v>
      </c>
      <c r="I19" s="118"/>
      <c r="J19" s="121"/>
    </row>
    <row r="20" spans="1:10" hidden="1">
      <c r="A20" s="119">
        <v>268</v>
      </c>
      <c r="B20" s="119">
        <v>59901081</v>
      </c>
      <c r="C20" s="119" t="s">
        <v>1023</v>
      </c>
      <c r="D20" s="119" t="s">
        <v>366</v>
      </c>
      <c r="E20" s="119" t="s">
        <v>1028</v>
      </c>
      <c r="F20" s="119" t="s">
        <v>1025</v>
      </c>
      <c r="G20" s="119" t="s">
        <v>1026</v>
      </c>
      <c r="H20" s="119" t="s">
        <v>1037</v>
      </c>
      <c r="I20" s="118"/>
      <c r="J20" s="120"/>
    </row>
    <row r="21" spans="1:10" hidden="1">
      <c r="A21" s="119">
        <v>269</v>
      </c>
      <c r="B21" s="119">
        <v>59901082</v>
      </c>
      <c r="C21" s="119" t="s">
        <v>1023</v>
      </c>
      <c r="D21" s="119" t="s">
        <v>366</v>
      </c>
      <c r="E21" s="119" t="s">
        <v>1038</v>
      </c>
      <c r="F21" s="119" t="s">
        <v>1025</v>
      </c>
      <c r="G21" s="119" t="s">
        <v>1026</v>
      </c>
      <c r="H21" s="119" t="s">
        <v>1037</v>
      </c>
      <c r="I21" s="118"/>
      <c r="J21" s="120"/>
    </row>
    <row r="22" spans="1:10" hidden="1">
      <c r="A22" s="119">
        <v>270</v>
      </c>
      <c r="B22" s="119">
        <v>59901083</v>
      </c>
      <c r="C22" s="119" t="s">
        <v>1023</v>
      </c>
      <c r="D22" s="119" t="s">
        <v>366</v>
      </c>
      <c r="E22" s="119" t="s">
        <v>1024</v>
      </c>
      <c r="F22" s="119" t="s">
        <v>1025</v>
      </c>
      <c r="G22" s="119" t="s">
        <v>1026</v>
      </c>
      <c r="H22" s="119" t="s">
        <v>1037</v>
      </c>
      <c r="I22" s="118"/>
      <c r="J22" s="118"/>
    </row>
    <row r="23" spans="1:10" hidden="1">
      <c r="A23" s="119">
        <v>271</v>
      </c>
      <c r="B23" s="119" t="s">
        <v>1039</v>
      </c>
      <c r="C23" s="119" t="s">
        <v>1006</v>
      </c>
      <c r="D23" s="119" t="s">
        <v>1020</v>
      </c>
      <c r="E23" s="119" t="s">
        <v>1040</v>
      </c>
      <c r="F23" s="119" t="s">
        <v>1016</v>
      </c>
      <c r="G23" s="119" t="s">
        <v>1012</v>
      </c>
      <c r="H23" s="119" t="s">
        <v>1041</v>
      </c>
      <c r="I23" s="122"/>
      <c r="J23" s="122"/>
    </row>
    <row r="24" spans="1:10">
      <c r="A24" s="119">
        <v>272</v>
      </c>
      <c r="B24" s="119" t="s">
        <v>1042</v>
      </c>
      <c r="C24" s="119" t="s">
        <v>1006</v>
      </c>
      <c r="D24" s="119" t="s">
        <v>1020</v>
      </c>
      <c r="E24" s="119" t="s">
        <v>1015</v>
      </c>
      <c r="F24" s="119" t="s">
        <v>1016</v>
      </c>
      <c r="G24" s="119" t="s">
        <v>1012</v>
      </c>
      <c r="H24" s="119" t="s">
        <v>1043</v>
      </c>
      <c r="I24" s="122"/>
      <c r="J24" s="122"/>
    </row>
    <row r="25" spans="1:10">
      <c r="A25" s="119">
        <v>273</v>
      </c>
      <c r="B25" s="119" t="s">
        <v>1044</v>
      </c>
      <c r="C25" s="119" t="s">
        <v>1006</v>
      </c>
      <c r="D25" s="119" t="s">
        <v>1020</v>
      </c>
      <c r="E25" s="119" t="s">
        <v>1015</v>
      </c>
      <c r="F25" s="119" t="s">
        <v>1016</v>
      </c>
      <c r="G25" s="119" t="s">
        <v>1012</v>
      </c>
      <c r="H25" s="119" t="s">
        <v>1045</v>
      </c>
      <c r="I25" s="122"/>
      <c r="J25" s="122"/>
    </row>
    <row r="26" spans="1:10" hidden="1">
      <c r="A26" s="119">
        <v>274</v>
      </c>
      <c r="B26" s="119" t="s">
        <v>1046</v>
      </c>
      <c r="C26" s="119" t="s">
        <v>1006</v>
      </c>
      <c r="D26" s="119" t="s">
        <v>1020</v>
      </c>
      <c r="E26" s="119" t="s">
        <v>1040</v>
      </c>
      <c r="F26" s="119" t="s">
        <v>1025</v>
      </c>
      <c r="G26" s="119" t="s">
        <v>1012</v>
      </c>
      <c r="H26" s="119" t="s">
        <v>1047</v>
      </c>
      <c r="I26" s="122"/>
      <c r="J26" s="122"/>
    </row>
    <row r="27" spans="1:10">
      <c r="A27" s="119">
        <v>275</v>
      </c>
      <c r="B27" s="119" t="s">
        <v>1048</v>
      </c>
      <c r="C27" s="119" t="s">
        <v>1006</v>
      </c>
      <c r="D27" s="119" t="s">
        <v>1020</v>
      </c>
      <c r="E27" s="119" t="s">
        <v>1015</v>
      </c>
      <c r="F27" s="119" t="s">
        <v>1016</v>
      </c>
      <c r="G27" s="119" t="s">
        <v>1012</v>
      </c>
      <c r="H27" s="119" t="s">
        <v>1047</v>
      </c>
      <c r="I27" s="122"/>
      <c r="J27" s="122"/>
    </row>
    <row r="28" spans="1:10">
      <c r="A28" s="119">
        <v>276</v>
      </c>
      <c r="B28" s="119" t="s">
        <v>1049</v>
      </c>
      <c r="C28" s="119" t="s">
        <v>1006</v>
      </c>
      <c r="D28" s="119" t="s">
        <v>1020</v>
      </c>
      <c r="E28" s="119" t="s">
        <v>1015</v>
      </c>
      <c r="F28" s="119" t="s">
        <v>1025</v>
      </c>
      <c r="G28" s="119" t="s">
        <v>1012</v>
      </c>
      <c r="H28" s="119" t="s">
        <v>1047</v>
      </c>
      <c r="I28" s="122"/>
      <c r="J28" s="122"/>
    </row>
    <row r="29" spans="1:10" hidden="1">
      <c r="A29" s="119">
        <v>277</v>
      </c>
      <c r="B29" s="119">
        <v>59901051</v>
      </c>
      <c r="C29" s="119" t="s">
        <v>1023</v>
      </c>
      <c r="D29" s="119" t="s">
        <v>366</v>
      </c>
      <c r="E29" s="119" t="s">
        <v>1050</v>
      </c>
      <c r="F29" s="119" t="s">
        <v>1025</v>
      </c>
      <c r="G29" s="119" t="s">
        <v>1026</v>
      </c>
      <c r="H29" s="119" t="s">
        <v>1051</v>
      </c>
      <c r="I29" s="122"/>
      <c r="J29" s="122"/>
    </row>
    <row r="30" spans="1:10" hidden="1">
      <c r="A30" s="119">
        <v>278</v>
      </c>
      <c r="B30" s="119">
        <v>59901052</v>
      </c>
      <c r="C30" s="119" t="s">
        <v>1023</v>
      </c>
      <c r="D30" s="119" t="s">
        <v>366</v>
      </c>
      <c r="E30" s="119" t="s">
        <v>1050</v>
      </c>
      <c r="F30" s="119" t="s">
        <v>1025</v>
      </c>
      <c r="G30" s="119" t="s">
        <v>1026</v>
      </c>
      <c r="H30" s="119" t="s">
        <v>1052</v>
      </c>
      <c r="I30" s="122"/>
      <c r="J30" s="122"/>
    </row>
    <row r="31" spans="1:10" hidden="1">
      <c r="A31" s="119">
        <v>279</v>
      </c>
      <c r="B31" s="119">
        <v>59901010</v>
      </c>
      <c r="C31" s="119" t="s">
        <v>1023</v>
      </c>
      <c r="D31" s="119" t="s">
        <v>366</v>
      </c>
      <c r="E31" s="119" t="s">
        <v>1050</v>
      </c>
      <c r="F31" s="119" t="s">
        <v>1025</v>
      </c>
      <c r="G31" s="119" t="s">
        <v>1026</v>
      </c>
      <c r="H31" s="119" t="s">
        <v>1053</v>
      </c>
      <c r="I31" s="122"/>
      <c r="J31" s="122"/>
    </row>
    <row r="32" spans="1:10" hidden="1">
      <c r="A32" s="119">
        <v>281</v>
      </c>
      <c r="B32" s="119">
        <v>59901000</v>
      </c>
      <c r="C32" s="119" t="s">
        <v>1023</v>
      </c>
      <c r="D32" s="119" t="s">
        <v>366</v>
      </c>
      <c r="E32" s="119" t="s">
        <v>1050</v>
      </c>
      <c r="F32" s="119" t="s">
        <v>1025</v>
      </c>
      <c r="G32" s="119" t="s">
        <v>1026</v>
      </c>
      <c r="H32" s="119" t="s">
        <v>1054</v>
      </c>
      <c r="I32" s="122"/>
      <c r="J32" s="122"/>
    </row>
    <row r="33" spans="1:10" hidden="1">
      <c r="A33" s="119">
        <v>283</v>
      </c>
      <c r="B33" s="119">
        <v>59901051</v>
      </c>
      <c r="C33" s="119" t="s">
        <v>1023</v>
      </c>
      <c r="D33" s="119" t="s">
        <v>365</v>
      </c>
      <c r="E33" s="119" t="s">
        <v>1055</v>
      </c>
      <c r="F33" s="119" t="s">
        <v>1025</v>
      </c>
      <c r="G33" s="119" t="s">
        <v>1026</v>
      </c>
      <c r="H33" s="119" t="s">
        <v>1051</v>
      </c>
      <c r="I33" s="122"/>
      <c r="J33" s="122"/>
    </row>
    <row r="34" spans="1:10" hidden="1">
      <c r="A34" s="119">
        <v>284</v>
      </c>
      <c r="B34" s="119">
        <v>59901052</v>
      </c>
      <c r="C34" s="119" t="s">
        <v>1023</v>
      </c>
      <c r="D34" s="119" t="s">
        <v>365</v>
      </c>
      <c r="E34" s="119" t="s">
        <v>1055</v>
      </c>
      <c r="F34" s="119" t="s">
        <v>1025</v>
      </c>
      <c r="G34" s="119" t="s">
        <v>1026</v>
      </c>
      <c r="H34" s="119" t="s">
        <v>1052</v>
      </c>
      <c r="I34" s="122"/>
      <c r="J34" s="122"/>
    </row>
    <row r="35" spans="1:10" hidden="1">
      <c r="A35" s="119">
        <v>285</v>
      </c>
      <c r="B35" s="119">
        <v>59901010</v>
      </c>
      <c r="C35" s="119" t="s">
        <v>1023</v>
      </c>
      <c r="D35" s="119" t="s">
        <v>365</v>
      </c>
      <c r="E35" s="119" t="s">
        <v>1055</v>
      </c>
      <c r="F35" s="119" t="s">
        <v>1025</v>
      </c>
      <c r="G35" s="119" t="s">
        <v>1026</v>
      </c>
      <c r="H35" s="119" t="s">
        <v>1053</v>
      </c>
      <c r="I35" s="122"/>
      <c r="J35" s="122"/>
    </row>
    <row r="36" spans="1:10" hidden="1">
      <c r="A36" s="119">
        <v>287</v>
      </c>
      <c r="B36" s="119">
        <v>59901000</v>
      </c>
      <c r="C36" s="119" t="s">
        <v>1023</v>
      </c>
      <c r="D36" s="119" t="s">
        <v>365</v>
      </c>
      <c r="E36" s="119" t="s">
        <v>1055</v>
      </c>
      <c r="F36" s="119" t="s">
        <v>1025</v>
      </c>
      <c r="G36" s="119" t="s">
        <v>1026</v>
      </c>
      <c r="H36" s="119" t="s">
        <v>1054</v>
      </c>
      <c r="I36" s="122"/>
      <c r="J36" s="122"/>
    </row>
    <row r="37" spans="1:10">
      <c r="A37" s="119">
        <v>289</v>
      </c>
      <c r="B37" s="119" t="s">
        <v>1056</v>
      </c>
      <c r="C37" s="119" t="s">
        <v>1006</v>
      </c>
      <c r="D37" s="119" t="s">
        <v>1020</v>
      </c>
      <c r="E37" s="119" t="s">
        <v>1015</v>
      </c>
      <c r="F37" s="119" t="s">
        <v>1025</v>
      </c>
      <c r="G37" s="119" t="s">
        <v>1012</v>
      </c>
      <c r="H37" s="119" t="s">
        <v>1047</v>
      </c>
      <c r="I37" s="122"/>
      <c r="J37" s="122"/>
    </row>
    <row r="38" spans="1:10">
      <c r="A38" s="119">
        <v>290</v>
      </c>
      <c r="B38" s="119" t="s">
        <v>1057</v>
      </c>
      <c r="C38" s="119" t="s">
        <v>1006</v>
      </c>
      <c r="D38" s="119" t="s">
        <v>1020</v>
      </c>
      <c r="E38" s="119" t="s">
        <v>1015</v>
      </c>
      <c r="F38" s="119" t="s">
        <v>1016</v>
      </c>
      <c r="G38" s="119" t="s">
        <v>1012</v>
      </c>
      <c r="H38" s="119" t="s">
        <v>1047</v>
      </c>
      <c r="I38" s="122"/>
      <c r="J38" s="122"/>
    </row>
    <row r="39" spans="1:10" hidden="1">
      <c r="A39" s="119">
        <v>291</v>
      </c>
      <c r="B39" s="119" t="s">
        <v>1058</v>
      </c>
      <c r="C39" s="119" t="s">
        <v>1006</v>
      </c>
      <c r="D39" s="119" t="s">
        <v>1020</v>
      </c>
      <c r="E39" s="119" t="s">
        <v>1040</v>
      </c>
      <c r="F39" s="119" t="s">
        <v>1025</v>
      </c>
      <c r="G39" s="119" t="s">
        <v>1012</v>
      </c>
      <c r="H39" s="119" t="s">
        <v>1047</v>
      </c>
      <c r="I39" s="122"/>
      <c r="J39" s="122"/>
    </row>
    <row r="40" spans="1:10">
      <c r="A40" s="119">
        <v>292</v>
      </c>
      <c r="B40" s="119" t="s">
        <v>1059</v>
      </c>
      <c r="C40" s="119" t="s">
        <v>1006</v>
      </c>
      <c r="D40" s="119" t="s">
        <v>1020</v>
      </c>
      <c r="E40" s="119" t="s">
        <v>1015</v>
      </c>
      <c r="F40" s="119" t="s">
        <v>1025</v>
      </c>
      <c r="G40" s="119" t="s">
        <v>1012</v>
      </c>
      <c r="H40" s="119" t="s">
        <v>1047</v>
      </c>
      <c r="I40" s="122"/>
      <c r="J40" s="122"/>
    </row>
    <row r="41" spans="1:10">
      <c r="A41" s="119">
        <v>293</v>
      </c>
      <c r="B41" s="119" t="s">
        <v>1060</v>
      </c>
      <c r="C41" s="119" t="s">
        <v>1006</v>
      </c>
      <c r="D41" s="119" t="s">
        <v>1020</v>
      </c>
      <c r="E41" s="119" t="s">
        <v>1015</v>
      </c>
      <c r="F41" s="119" t="s">
        <v>1016</v>
      </c>
      <c r="G41" s="119" t="s">
        <v>1012</v>
      </c>
      <c r="H41" s="119" t="s">
        <v>1047</v>
      </c>
      <c r="I41" s="122"/>
      <c r="J41" s="122"/>
    </row>
    <row r="42" spans="1:10" hidden="1">
      <c r="A42" s="119">
        <v>294</v>
      </c>
      <c r="B42" s="119" t="s">
        <v>1061</v>
      </c>
      <c r="C42" s="119" t="s">
        <v>1006</v>
      </c>
      <c r="D42" s="119" t="s">
        <v>1020</v>
      </c>
      <c r="E42" s="119" t="s">
        <v>1040</v>
      </c>
      <c r="F42" s="119" t="s">
        <v>1025</v>
      </c>
      <c r="G42" s="119" t="s">
        <v>1012</v>
      </c>
      <c r="H42" s="119" t="s">
        <v>1047</v>
      </c>
      <c r="I42" s="122"/>
      <c r="J42" s="122"/>
    </row>
    <row r="43" spans="1:10" hidden="1">
      <c r="A43" s="119">
        <v>295</v>
      </c>
      <c r="B43" s="119">
        <v>59910021</v>
      </c>
      <c r="C43" s="119" t="s">
        <v>1006</v>
      </c>
      <c r="D43" s="119" t="s">
        <v>1020</v>
      </c>
      <c r="E43" s="119" t="s">
        <v>1018</v>
      </c>
      <c r="F43" s="119" t="s">
        <v>1016</v>
      </c>
      <c r="G43" s="119" t="s">
        <v>1012</v>
      </c>
      <c r="H43" s="119" t="s">
        <v>1062</v>
      </c>
      <c r="I43" s="122"/>
      <c r="J43" s="122"/>
    </row>
    <row r="44" spans="1:10" hidden="1">
      <c r="A44" s="119">
        <v>296</v>
      </c>
      <c r="B44" s="119">
        <v>59910022</v>
      </c>
      <c r="C44" s="119" t="s">
        <v>1006</v>
      </c>
      <c r="D44" s="119" t="s">
        <v>1020</v>
      </c>
      <c r="E44" s="119" t="s">
        <v>1018</v>
      </c>
      <c r="F44" s="119" t="s">
        <v>1025</v>
      </c>
      <c r="G44" s="119" t="s">
        <v>1012</v>
      </c>
      <c r="H44" s="119" t="s">
        <v>1062</v>
      </c>
      <c r="I44" s="122"/>
      <c r="J44" s="122"/>
    </row>
    <row r="45" spans="1:10" hidden="1">
      <c r="A45" s="119">
        <v>297</v>
      </c>
      <c r="B45" s="119">
        <v>59910023</v>
      </c>
      <c r="C45" s="119" t="s">
        <v>1006</v>
      </c>
      <c r="D45" s="119" t="s">
        <v>1020</v>
      </c>
      <c r="E45" s="119" t="s">
        <v>1018</v>
      </c>
      <c r="F45" s="119" t="s">
        <v>1016</v>
      </c>
      <c r="G45" s="119" t="s">
        <v>1012</v>
      </c>
      <c r="H45" s="119" t="s">
        <v>1063</v>
      </c>
      <c r="I45" s="122"/>
      <c r="J45" s="122"/>
    </row>
    <row r="46" spans="1:10" hidden="1">
      <c r="A46" s="119">
        <v>298</v>
      </c>
      <c r="B46" s="119">
        <v>59903609</v>
      </c>
      <c r="C46" s="119" t="s">
        <v>1006</v>
      </c>
      <c r="D46" s="119" t="s">
        <v>1020</v>
      </c>
      <c r="E46" s="119" t="s">
        <v>1018</v>
      </c>
      <c r="F46" s="119" t="s">
        <v>1025</v>
      </c>
      <c r="G46" s="119" t="s">
        <v>1012</v>
      </c>
      <c r="H46" s="119" t="s">
        <v>1064</v>
      </c>
      <c r="I46" s="122"/>
      <c r="J46" s="122"/>
    </row>
    <row r="47" spans="1:10">
      <c r="A47" s="119">
        <v>299</v>
      </c>
      <c r="B47" s="119">
        <v>59903611</v>
      </c>
      <c r="C47" s="119" t="s">
        <v>1006</v>
      </c>
      <c r="D47" s="119" t="s">
        <v>1020</v>
      </c>
      <c r="E47" s="119" t="s">
        <v>1007</v>
      </c>
      <c r="F47" s="119" t="s">
        <v>1025</v>
      </c>
      <c r="G47" s="119" t="s">
        <v>1012</v>
      </c>
      <c r="H47" s="119" t="s">
        <v>1064</v>
      </c>
      <c r="I47" s="122"/>
      <c r="J47" s="122"/>
    </row>
    <row r="48" spans="1:10">
      <c r="A48" s="119" t="s">
        <v>1065</v>
      </c>
      <c r="B48" s="119" t="s">
        <v>1066</v>
      </c>
      <c r="C48" s="119" t="s">
        <v>1006</v>
      </c>
      <c r="D48" s="119" t="s">
        <v>1020</v>
      </c>
      <c r="E48" s="119" t="s">
        <v>1015</v>
      </c>
      <c r="F48" s="119" t="s">
        <v>1016</v>
      </c>
      <c r="G48" s="119" t="s">
        <v>1012</v>
      </c>
      <c r="H48" s="119" t="s">
        <v>1067</v>
      </c>
      <c r="I48" s="122"/>
      <c r="J48" s="122"/>
    </row>
    <row r="49" spans="1:10">
      <c r="A49" s="119" t="s">
        <v>1068</v>
      </c>
      <c r="B49" s="119" t="s">
        <v>1069</v>
      </c>
      <c r="C49" s="119" t="s">
        <v>1006</v>
      </c>
      <c r="D49" s="119" t="s">
        <v>1020</v>
      </c>
      <c r="E49" s="119" t="s">
        <v>1015</v>
      </c>
      <c r="F49" s="119" t="s">
        <v>1016</v>
      </c>
      <c r="G49" s="119" t="s">
        <v>1012</v>
      </c>
      <c r="H49" s="119" t="s">
        <v>1070</v>
      </c>
      <c r="I49" s="122"/>
      <c r="J49" s="122"/>
    </row>
    <row r="50" spans="1:10" hidden="1">
      <c r="A50" s="119" t="s">
        <v>1071</v>
      </c>
      <c r="B50" s="119" t="s">
        <v>1072</v>
      </c>
      <c r="C50" s="119" t="s">
        <v>1006</v>
      </c>
      <c r="D50" s="119" t="s">
        <v>1020</v>
      </c>
      <c r="E50" s="119" t="s">
        <v>1018</v>
      </c>
      <c r="F50" s="119" t="s">
        <v>1016</v>
      </c>
      <c r="G50" s="119" t="s">
        <v>1012</v>
      </c>
      <c r="H50" s="119" t="s">
        <v>1067</v>
      </c>
      <c r="I50" s="122"/>
      <c r="J50" s="122"/>
    </row>
    <row r="51" spans="1:10" hidden="1">
      <c r="A51" s="119" t="s">
        <v>1073</v>
      </c>
      <c r="B51" s="119" t="s">
        <v>1074</v>
      </c>
      <c r="C51" s="119" t="s">
        <v>1006</v>
      </c>
      <c r="D51" s="119" t="s">
        <v>1020</v>
      </c>
      <c r="E51" s="119" t="s">
        <v>1018</v>
      </c>
      <c r="F51" s="119" t="s">
        <v>1016</v>
      </c>
      <c r="G51" s="119" t="s">
        <v>1012</v>
      </c>
      <c r="H51" s="119" t="s">
        <v>1070</v>
      </c>
      <c r="I51" s="122"/>
      <c r="J51" s="122"/>
    </row>
    <row r="52" spans="1:10">
      <c r="A52" s="119" t="s">
        <v>1075</v>
      </c>
      <c r="B52" s="119" t="s">
        <v>1076</v>
      </c>
      <c r="C52" s="119" t="s">
        <v>1006</v>
      </c>
      <c r="D52" s="119" t="s">
        <v>1020</v>
      </c>
      <c r="E52" s="119" t="s">
        <v>1007</v>
      </c>
      <c r="F52" s="119" t="s">
        <v>1025</v>
      </c>
      <c r="G52" s="119" t="s">
        <v>1012</v>
      </c>
      <c r="H52" s="119" t="s">
        <v>1077</v>
      </c>
      <c r="I52" s="122"/>
      <c r="J52" s="122"/>
    </row>
    <row r="53" spans="1:10">
      <c r="A53" s="119" t="s">
        <v>1078</v>
      </c>
      <c r="B53" s="119" t="s">
        <v>1079</v>
      </c>
      <c r="C53" s="119" t="s">
        <v>1006</v>
      </c>
      <c r="D53" s="119" t="s">
        <v>1020</v>
      </c>
      <c r="E53" s="119" t="s">
        <v>1015</v>
      </c>
      <c r="F53" s="119" t="s">
        <v>1025</v>
      </c>
      <c r="G53" s="119" t="s">
        <v>1012</v>
      </c>
      <c r="H53" s="119" t="s">
        <v>1077</v>
      </c>
      <c r="I53" s="122"/>
      <c r="J53" s="122"/>
    </row>
    <row r="54" spans="1:10" hidden="1">
      <c r="A54" s="119" t="s">
        <v>1080</v>
      </c>
      <c r="B54" s="119" t="s">
        <v>1081</v>
      </c>
      <c r="C54" s="119" t="s">
        <v>1006</v>
      </c>
      <c r="D54" s="119" t="s">
        <v>1020</v>
      </c>
      <c r="E54" s="119" t="s">
        <v>1018</v>
      </c>
      <c r="F54" s="119" t="s">
        <v>1025</v>
      </c>
      <c r="G54" s="119" t="s">
        <v>1012</v>
      </c>
      <c r="H54" s="119" t="s">
        <v>1077</v>
      </c>
      <c r="I54" s="122"/>
      <c r="J54" s="122"/>
    </row>
    <row r="55" spans="1:10">
      <c r="A55" s="119"/>
      <c r="B55" s="119"/>
      <c r="C55" s="119"/>
      <c r="D55" s="119"/>
      <c r="E55" s="119"/>
      <c r="F55" s="119"/>
      <c r="G55" s="119"/>
      <c r="H55" s="119"/>
      <c r="I55" s="122"/>
      <c r="J55" s="122"/>
    </row>
    <row r="56" spans="1:10">
      <c r="A56" s="119"/>
      <c r="B56" s="119" t="s">
        <v>265</v>
      </c>
      <c r="C56" s="119" t="s">
        <v>1006</v>
      </c>
      <c r="D56" s="119" t="s">
        <v>1020</v>
      </c>
      <c r="E56" s="119" t="s">
        <v>1007</v>
      </c>
      <c r="F56" s="119" t="s">
        <v>1025</v>
      </c>
      <c r="G56" s="119" t="s">
        <v>1012</v>
      </c>
      <c r="H56" s="119">
        <v>160</v>
      </c>
      <c r="I56" s="122"/>
      <c r="J56" s="122"/>
    </row>
    <row r="57" spans="1:10">
      <c r="A57" s="119"/>
      <c r="B57" s="119" t="s">
        <v>266</v>
      </c>
      <c r="C57" s="119" t="s">
        <v>1006</v>
      </c>
      <c r="D57" s="119" t="s">
        <v>1020</v>
      </c>
      <c r="E57" s="119" t="s">
        <v>1007</v>
      </c>
      <c r="F57" s="119" t="s">
        <v>1025</v>
      </c>
      <c r="G57" s="119" t="s">
        <v>1012</v>
      </c>
      <c r="H57" s="119">
        <v>160</v>
      </c>
      <c r="I57" s="122"/>
      <c r="J57" s="122"/>
    </row>
    <row r="58" spans="1:10">
      <c r="A58" s="119"/>
      <c r="B58" s="119" t="s">
        <v>267</v>
      </c>
      <c r="C58" s="119" t="s">
        <v>1006</v>
      </c>
      <c r="D58" s="119" t="s">
        <v>1020</v>
      </c>
      <c r="E58" s="119" t="s">
        <v>1007</v>
      </c>
      <c r="F58" s="119" t="s">
        <v>1025</v>
      </c>
      <c r="G58" s="119" t="s">
        <v>1012</v>
      </c>
      <c r="H58" s="119">
        <v>160</v>
      </c>
      <c r="I58" s="122"/>
      <c r="J58" s="122"/>
    </row>
    <row r="59" spans="1:10">
      <c r="A59" s="119"/>
      <c r="B59" s="119" t="s">
        <v>263</v>
      </c>
      <c r="C59" s="119" t="s">
        <v>1006</v>
      </c>
      <c r="D59" s="119" t="s">
        <v>1020</v>
      </c>
      <c r="E59" s="119" t="s">
        <v>1007</v>
      </c>
      <c r="F59" s="119" t="s">
        <v>1025</v>
      </c>
      <c r="G59" s="119" t="s">
        <v>1012</v>
      </c>
      <c r="H59" s="119">
        <v>160</v>
      </c>
      <c r="I59" s="122"/>
      <c r="J59" s="122"/>
    </row>
    <row r="60" spans="1:10">
      <c r="A60" s="119"/>
      <c r="B60" s="119" t="s">
        <v>271</v>
      </c>
      <c r="C60" s="119" t="s">
        <v>1006</v>
      </c>
      <c r="D60" s="119" t="s">
        <v>1020</v>
      </c>
      <c r="E60" s="119" t="s">
        <v>1015</v>
      </c>
      <c r="F60" s="119" t="s">
        <v>1025</v>
      </c>
      <c r="G60" s="119" t="s">
        <v>1012</v>
      </c>
      <c r="H60" s="119">
        <v>160</v>
      </c>
      <c r="I60" s="122"/>
      <c r="J60" s="122"/>
    </row>
    <row r="61" spans="1:10">
      <c r="A61" s="119"/>
      <c r="B61" s="119" t="s">
        <v>270</v>
      </c>
      <c r="C61" s="119" t="s">
        <v>1006</v>
      </c>
      <c r="D61" s="119" t="s">
        <v>1020</v>
      </c>
      <c r="E61" s="119" t="s">
        <v>1015</v>
      </c>
      <c r="F61" s="119" t="s">
        <v>1025</v>
      </c>
      <c r="G61" s="119" t="s">
        <v>1012</v>
      </c>
      <c r="H61" s="119">
        <v>160</v>
      </c>
      <c r="I61" s="122"/>
      <c r="J61" s="122"/>
    </row>
    <row r="62" spans="1:10">
      <c r="A62" s="119"/>
      <c r="B62" s="119" t="s">
        <v>272</v>
      </c>
      <c r="C62" s="119" t="s">
        <v>1006</v>
      </c>
      <c r="D62" s="119" t="s">
        <v>1020</v>
      </c>
      <c r="E62" s="119" t="s">
        <v>1015</v>
      </c>
      <c r="F62" s="119" t="s">
        <v>1025</v>
      </c>
      <c r="G62" s="119" t="s">
        <v>1012</v>
      </c>
      <c r="H62" s="119">
        <v>160</v>
      </c>
      <c r="I62" s="122"/>
      <c r="J62" s="122"/>
    </row>
    <row r="63" spans="1:10">
      <c r="A63" s="119"/>
      <c r="B63" s="119" t="s">
        <v>273</v>
      </c>
      <c r="C63" s="119" t="s">
        <v>1006</v>
      </c>
      <c r="D63" s="119" t="s">
        <v>1020</v>
      </c>
      <c r="E63" s="119" t="s">
        <v>1015</v>
      </c>
      <c r="F63" s="119" t="s">
        <v>1025</v>
      </c>
      <c r="G63" s="119" t="s">
        <v>1012</v>
      </c>
      <c r="H63" s="119">
        <v>160</v>
      </c>
      <c r="I63" s="122"/>
      <c r="J63" s="122"/>
    </row>
    <row r="64" spans="1:10">
      <c r="A64" s="236"/>
      <c r="B64" s="237" t="s">
        <v>253</v>
      </c>
      <c r="C64" s="237" t="s">
        <v>1006</v>
      </c>
      <c r="D64" s="237" t="s">
        <v>1020</v>
      </c>
      <c r="E64" s="237" t="s">
        <v>1018</v>
      </c>
      <c r="F64" s="237" t="s">
        <v>1025</v>
      </c>
      <c r="G64" s="237" t="s">
        <v>1012</v>
      </c>
      <c r="H64" s="119">
        <v>160</v>
      </c>
      <c r="I64" s="122"/>
      <c r="J64" s="122"/>
    </row>
    <row r="65" spans="1:10">
      <c r="A65" s="236"/>
      <c r="B65" s="238" t="s">
        <v>274</v>
      </c>
      <c r="C65" s="238" t="s">
        <v>1006</v>
      </c>
      <c r="D65" s="238" t="s">
        <v>1020</v>
      </c>
      <c r="E65" s="238" t="s">
        <v>1018</v>
      </c>
      <c r="F65" s="238" t="s">
        <v>1025</v>
      </c>
      <c r="G65" s="238" t="s">
        <v>1012</v>
      </c>
      <c r="H65" s="119">
        <v>160</v>
      </c>
      <c r="I65" s="122"/>
      <c r="J65" s="122"/>
    </row>
    <row r="66" spans="1:10">
      <c r="A66" s="236"/>
      <c r="B66" s="238" t="s">
        <v>276</v>
      </c>
      <c r="C66" s="238" t="s">
        <v>1006</v>
      </c>
      <c r="D66" s="238" t="s">
        <v>1020</v>
      </c>
      <c r="E66" s="238" t="s">
        <v>1018</v>
      </c>
      <c r="F66" s="238" t="s">
        <v>1025</v>
      </c>
      <c r="G66" s="238" t="s">
        <v>1012</v>
      </c>
      <c r="H66" s="119">
        <v>160</v>
      </c>
      <c r="I66" s="122"/>
      <c r="J66" s="122"/>
    </row>
    <row r="67" spans="1:10">
      <c r="A67" s="236"/>
      <c r="B67" s="238" t="s">
        <v>275</v>
      </c>
      <c r="C67" s="238" t="s">
        <v>1006</v>
      </c>
      <c r="D67" s="238" t="s">
        <v>1020</v>
      </c>
      <c r="E67" s="238" t="s">
        <v>1018</v>
      </c>
      <c r="F67" s="238" t="s">
        <v>1025</v>
      </c>
      <c r="G67" s="238" t="s">
        <v>1012</v>
      </c>
      <c r="H67" s="119">
        <v>160</v>
      </c>
      <c r="I67" s="122"/>
      <c r="J67" s="122"/>
    </row>
    <row r="68" spans="1:10">
      <c r="A68" s="119"/>
      <c r="B68" s="119" t="s">
        <v>268</v>
      </c>
      <c r="C68" s="119" t="s">
        <v>1006</v>
      </c>
      <c r="D68" s="119" t="s">
        <v>1020</v>
      </c>
      <c r="E68" s="119" t="s">
        <v>1007</v>
      </c>
      <c r="F68" s="119" t="s">
        <v>1025</v>
      </c>
      <c r="G68" s="119" t="s">
        <v>285</v>
      </c>
      <c r="H68" s="119">
        <v>160</v>
      </c>
      <c r="I68" s="122"/>
      <c r="J68" s="122"/>
    </row>
    <row r="69" spans="1:10">
      <c r="A69" s="119"/>
      <c r="B69" s="119" t="s">
        <v>269</v>
      </c>
      <c r="C69" s="119" t="s">
        <v>1006</v>
      </c>
      <c r="D69" s="119" t="s">
        <v>1020</v>
      </c>
      <c r="E69" s="119" t="s">
        <v>1007</v>
      </c>
      <c r="F69" s="119" t="s">
        <v>1025</v>
      </c>
      <c r="G69" s="119" t="s">
        <v>285</v>
      </c>
      <c r="H69" s="119">
        <v>160</v>
      </c>
      <c r="I69" s="122"/>
      <c r="J69" s="122"/>
    </row>
    <row r="70" spans="1:10">
      <c r="A70" s="236"/>
      <c r="B70" s="238" t="s">
        <v>1076</v>
      </c>
      <c r="C70" s="238" t="s">
        <v>1006</v>
      </c>
      <c r="D70" s="238" t="s">
        <v>1020</v>
      </c>
      <c r="E70" s="238" t="s">
        <v>1007</v>
      </c>
      <c r="F70" s="238" t="s">
        <v>1025</v>
      </c>
      <c r="G70" s="238" t="s">
        <v>1012</v>
      </c>
      <c r="H70" s="238" t="s">
        <v>257</v>
      </c>
      <c r="I70" s="122"/>
      <c r="J70" s="122"/>
    </row>
    <row r="71" spans="1:10">
      <c r="A71" s="239"/>
      <c r="B71" s="238" t="s">
        <v>277</v>
      </c>
      <c r="C71" s="238" t="s">
        <v>1006</v>
      </c>
      <c r="D71" s="238" t="s">
        <v>1020</v>
      </c>
      <c r="E71" s="238" t="s">
        <v>1007</v>
      </c>
      <c r="F71" s="238" t="s">
        <v>1025</v>
      </c>
      <c r="G71" s="238" t="s">
        <v>1012</v>
      </c>
      <c r="H71" s="238" t="s">
        <v>257</v>
      </c>
      <c r="I71" s="122"/>
      <c r="J71" s="122"/>
    </row>
    <row r="72" spans="1:10" s="234" customFormat="1">
      <c r="A72" s="239"/>
      <c r="B72" s="238" t="s">
        <v>278</v>
      </c>
      <c r="C72" s="238" t="s">
        <v>1006</v>
      </c>
      <c r="D72" s="238" t="s">
        <v>1020</v>
      </c>
      <c r="E72" s="238" t="s">
        <v>1007</v>
      </c>
      <c r="F72" s="238" t="s">
        <v>1025</v>
      </c>
      <c r="G72" s="238" t="s">
        <v>1012</v>
      </c>
      <c r="H72" s="238" t="s">
        <v>257</v>
      </c>
      <c r="I72" s="122"/>
      <c r="J72" s="233"/>
    </row>
    <row r="73" spans="1:10">
      <c r="A73" s="239"/>
      <c r="B73" s="238" t="s">
        <v>279</v>
      </c>
      <c r="C73" s="238" t="s">
        <v>1006</v>
      </c>
      <c r="D73" s="238" t="s">
        <v>1020</v>
      </c>
      <c r="E73" s="238" t="s">
        <v>1015</v>
      </c>
      <c r="F73" s="238" t="s">
        <v>1025</v>
      </c>
      <c r="G73" s="238" t="s">
        <v>1012</v>
      </c>
      <c r="H73" s="238" t="s">
        <v>257</v>
      </c>
      <c r="I73" s="122"/>
      <c r="J73" s="122"/>
    </row>
    <row r="74" spans="1:10">
      <c r="A74" s="239"/>
      <c r="B74" s="238" t="s">
        <v>1079</v>
      </c>
      <c r="C74" s="238" t="s">
        <v>1006</v>
      </c>
      <c r="D74" s="238" t="s">
        <v>1020</v>
      </c>
      <c r="E74" s="238" t="s">
        <v>1015</v>
      </c>
      <c r="F74" s="238" t="s">
        <v>1025</v>
      </c>
      <c r="G74" s="238" t="s">
        <v>1012</v>
      </c>
      <c r="H74" s="238" t="s">
        <v>257</v>
      </c>
      <c r="I74" s="122"/>
      <c r="J74" s="122"/>
    </row>
    <row r="75" spans="1:10">
      <c r="A75" s="239"/>
      <c r="B75" s="238" t="s">
        <v>280</v>
      </c>
      <c r="C75" s="238" t="s">
        <v>1006</v>
      </c>
      <c r="D75" s="238" t="s">
        <v>1020</v>
      </c>
      <c r="E75" s="238" t="s">
        <v>1015</v>
      </c>
      <c r="F75" s="238" t="s">
        <v>1025</v>
      </c>
      <c r="G75" s="238" t="s">
        <v>1012</v>
      </c>
      <c r="H75" s="238" t="s">
        <v>257</v>
      </c>
      <c r="I75" s="122"/>
      <c r="J75" s="122"/>
    </row>
    <row r="76" spans="1:10">
      <c r="A76" s="239"/>
      <c r="B76" s="238" t="s">
        <v>1081</v>
      </c>
      <c r="C76" s="238" t="s">
        <v>1006</v>
      </c>
      <c r="D76" s="238" t="s">
        <v>1020</v>
      </c>
      <c r="E76" s="238" t="s">
        <v>1018</v>
      </c>
      <c r="F76" s="238" t="s">
        <v>1025</v>
      </c>
      <c r="G76" s="238" t="s">
        <v>1012</v>
      </c>
      <c r="H76" s="238" t="s">
        <v>257</v>
      </c>
      <c r="I76" s="122"/>
      <c r="J76" s="122"/>
    </row>
    <row r="77" spans="1:10">
      <c r="A77" s="239"/>
      <c r="B77" s="238" t="s">
        <v>281</v>
      </c>
      <c r="C77" s="238" t="s">
        <v>1006</v>
      </c>
      <c r="D77" s="238" t="s">
        <v>1020</v>
      </c>
      <c r="E77" s="238" t="s">
        <v>1018</v>
      </c>
      <c r="F77" s="238" t="s">
        <v>1025</v>
      </c>
      <c r="G77" s="238" t="s">
        <v>1012</v>
      </c>
      <c r="H77" s="238" t="s">
        <v>257</v>
      </c>
      <c r="I77" s="122"/>
      <c r="J77" s="122"/>
    </row>
    <row r="78" spans="1:10">
      <c r="A78" s="239"/>
      <c r="B78" s="238" t="s">
        <v>282</v>
      </c>
      <c r="C78" s="238" t="s">
        <v>1006</v>
      </c>
      <c r="D78" s="238" t="s">
        <v>1020</v>
      </c>
      <c r="E78" s="238" t="s">
        <v>1018</v>
      </c>
      <c r="F78" s="238" t="s">
        <v>1025</v>
      </c>
      <c r="G78" s="238" t="s">
        <v>1012</v>
      </c>
      <c r="H78" s="238" t="s">
        <v>257</v>
      </c>
      <c r="I78" s="122"/>
      <c r="J78" s="122"/>
    </row>
    <row r="79" spans="1:10">
      <c r="A79" s="239"/>
      <c r="B79" s="238" t="s">
        <v>283</v>
      </c>
      <c r="C79" s="238" t="s">
        <v>1006</v>
      </c>
      <c r="D79" s="238" t="s">
        <v>1020</v>
      </c>
      <c r="E79" s="238" t="s">
        <v>1018</v>
      </c>
      <c r="F79" s="238" t="s">
        <v>1025</v>
      </c>
      <c r="G79" s="238" t="s">
        <v>1012</v>
      </c>
      <c r="H79" s="238" t="s">
        <v>257</v>
      </c>
      <c r="I79" s="122"/>
      <c r="J79" s="122"/>
    </row>
    <row r="80" spans="1:10">
      <c r="A80" s="239"/>
      <c r="B80" s="238" t="s">
        <v>284</v>
      </c>
      <c r="C80" s="238" t="s">
        <v>1006</v>
      </c>
      <c r="D80" s="238" t="s">
        <v>1020</v>
      </c>
      <c r="E80" s="238" t="s">
        <v>1007</v>
      </c>
      <c r="F80" s="238" t="s">
        <v>1025</v>
      </c>
      <c r="G80" s="238" t="s">
        <v>285</v>
      </c>
      <c r="H80" s="238" t="s">
        <v>257</v>
      </c>
      <c r="I80" s="122"/>
      <c r="J80" s="122"/>
    </row>
    <row r="81" spans="1:10">
      <c r="A81" s="239"/>
      <c r="B81" s="238" t="s">
        <v>286</v>
      </c>
      <c r="C81" s="238" t="s">
        <v>1006</v>
      </c>
      <c r="D81" s="238" t="s">
        <v>1020</v>
      </c>
      <c r="E81" s="238" t="s">
        <v>1007</v>
      </c>
      <c r="F81" s="238" t="s">
        <v>1025</v>
      </c>
      <c r="G81" s="238" t="s">
        <v>285</v>
      </c>
      <c r="H81" s="238" t="s">
        <v>257</v>
      </c>
      <c r="I81" s="122"/>
      <c r="J81" s="122"/>
    </row>
    <row r="82" spans="1:10">
      <c r="A82" s="236"/>
      <c r="B82" s="238"/>
      <c r="C82" s="238"/>
      <c r="D82" s="238"/>
      <c r="E82" s="238"/>
      <c r="F82" s="238"/>
      <c r="G82" s="238"/>
      <c r="H82" s="238"/>
      <c r="I82" s="122"/>
      <c r="J82" s="122"/>
    </row>
    <row r="83" spans="1:10">
      <c r="A83" s="238"/>
      <c r="B83" s="238" t="s">
        <v>1066</v>
      </c>
      <c r="C83" s="238" t="s">
        <v>1006</v>
      </c>
      <c r="D83" s="238" t="s">
        <v>1020</v>
      </c>
      <c r="E83" s="238" t="s">
        <v>1015</v>
      </c>
      <c r="F83" s="238" t="s">
        <v>1016</v>
      </c>
      <c r="G83" s="238" t="s">
        <v>1012</v>
      </c>
      <c r="H83" s="238" t="s">
        <v>93</v>
      </c>
      <c r="I83" s="233"/>
      <c r="J83" s="122"/>
    </row>
    <row r="84" spans="1:10">
      <c r="A84" s="239"/>
      <c r="B84" s="238" t="s">
        <v>1069</v>
      </c>
      <c r="C84" s="238" t="s">
        <v>1006</v>
      </c>
      <c r="D84" s="238" t="s">
        <v>1020</v>
      </c>
      <c r="E84" s="238" t="s">
        <v>1015</v>
      </c>
      <c r="F84" s="238" t="s">
        <v>1016</v>
      </c>
      <c r="G84" s="238" t="s">
        <v>1012</v>
      </c>
      <c r="H84" s="239"/>
      <c r="I84" s="122"/>
      <c r="J84" s="122"/>
    </row>
    <row r="85" spans="1:10">
      <c r="A85" s="239"/>
      <c r="B85" s="238" t="s">
        <v>1072</v>
      </c>
      <c r="C85" s="238" t="s">
        <v>1006</v>
      </c>
      <c r="D85" s="238" t="s">
        <v>1020</v>
      </c>
      <c r="E85" s="238" t="s">
        <v>1018</v>
      </c>
      <c r="F85" s="238" t="s">
        <v>1016</v>
      </c>
      <c r="G85" s="238" t="s">
        <v>1012</v>
      </c>
      <c r="H85" s="239" t="s">
        <v>93</v>
      </c>
      <c r="I85" s="122"/>
      <c r="J85" s="122"/>
    </row>
    <row r="86" spans="1:10">
      <c r="A86" s="239"/>
      <c r="B86" s="238" t="s">
        <v>1074</v>
      </c>
      <c r="C86" s="238" t="s">
        <v>1006</v>
      </c>
      <c r="D86" s="238" t="s">
        <v>1020</v>
      </c>
      <c r="E86" s="238" t="s">
        <v>1018</v>
      </c>
      <c r="F86" s="238" t="s">
        <v>1016</v>
      </c>
      <c r="G86" s="238" t="s">
        <v>1012</v>
      </c>
      <c r="H86" s="239"/>
      <c r="I86" s="122"/>
      <c r="J86" s="122"/>
    </row>
    <row r="87" spans="1:10">
      <c r="A87" s="236"/>
      <c r="B87" s="237"/>
      <c r="C87" s="237"/>
      <c r="D87" s="237"/>
      <c r="E87" s="237"/>
      <c r="F87" s="237"/>
      <c r="G87" s="237"/>
      <c r="H87" s="236"/>
      <c r="I87" s="235"/>
    </row>
  </sheetData>
  <autoFilter ref="A1:H54" xr:uid="{00000000-0009-0000-0000-000010000000}">
    <filterColumn colId="4">
      <filters>
        <filter val="2-Pos"/>
        <filter val="Float"/>
      </filters>
    </filterColumn>
  </autoFilter>
  <phoneticPr fontId="26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>
    <tabColor indexed="8"/>
  </sheetPr>
  <dimension ref="A2:N44"/>
  <sheetViews>
    <sheetView topLeftCell="A16" workbookViewId="0">
      <selection activeCell="C40" sqref="C40"/>
    </sheetView>
  </sheetViews>
  <sheetFormatPr defaultRowHeight="12.75"/>
  <cols>
    <col min="2" max="2" width="11.42578125" customWidth="1"/>
    <col min="3" max="3" width="19.85546875" customWidth="1"/>
  </cols>
  <sheetData>
    <row r="2" spans="1:8">
      <c r="A2" s="11" t="s">
        <v>183</v>
      </c>
    </row>
    <row r="4" spans="1:8">
      <c r="B4" t="s">
        <v>31</v>
      </c>
      <c r="C4" t="s">
        <v>32</v>
      </c>
    </row>
    <row r="5" spans="1:8">
      <c r="B5">
        <v>4</v>
      </c>
      <c r="C5">
        <f t="shared" ref="C5:C21" si="0">3.14*B5^2/576</f>
        <v>8.7222222222222229E-2</v>
      </c>
    </row>
    <row r="6" spans="1:8">
      <c r="B6">
        <v>5</v>
      </c>
      <c r="C6">
        <f t="shared" si="0"/>
        <v>0.13628472222222221</v>
      </c>
    </row>
    <row r="7" spans="1:8">
      <c r="B7">
        <v>6</v>
      </c>
      <c r="C7">
        <f t="shared" si="0"/>
        <v>0.19625000000000001</v>
      </c>
    </row>
    <row r="8" spans="1:8">
      <c r="B8">
        <v>7</v>
      </c>
      <c r="C8">
        <f t="shared" si="0"/>
        <v>0.26711805555555557</v>
      </c>
      <c r="F8" t="s">
        <v>192</v>
      </c>
    </row>
    <row r="9" spans="1:8">
      <c r="B9">
        <v>8</v>
      </c>
      <c r="C9">
        <f t="shared" si="0"/>
        <v>0.34888888888888892</v>
      </c>
      <c r="F9" t="s">
        <v>193</v>
      </c>
    </row>
    <row r="10" spans="1:8">
      <c r="B10">
        <v>9</v>
      </c>
      <c r="C10">
        <f t="shared" si="0"/>
        <v>0.44156250000000002</v>
      </c>
      <c r="F10" t="s">
        <v>194</v>
      </c>
      <c r="H10" t="s">
        <v>202</v>
      </c>
    </row>
    <row r="11" spans="1:8">
      <c r="B11">
        <v>10</v>
      </c>
      <c r="C11">
        <f t="shared" si="0"/>
        <v>0.54513888888888884</v>
      </c>
      <c r="F11" t="s">
        <v>195</v>
      </c>
      <c r="H11" t="s">
        <v>196</v>
      </c>
    </row>
    <row r="12" spans="1:8">
      <c r="B12">
        <v>11</v>
      </c>
      <c r="C12">
        <f t="shared" si="0"/>
        <v>0.65961805555555553</v>
      </c>
      <c r="F12" t="s">
        <v>197</v>
      </c>
    </row>
    <row r="13" spans="1:8">
      <c r="B13">
        <v>12</v>
      </c>
      <c r="C13">
        <f t="shared" si="0"/>
        <v>0.78500000000000003</v>
      </c>
      <c r="F13" t="s">
        <v>198</v>
      </c>
      <c r="H13" t="s">
        <v>200</v>
      </c>
    </row>
    <row r="14" spans="1:8">
      <c r="B14">
        <v>13</v>
      </c>
      <c r="C14">
        <f t="shared" si="0"/>
        <v>0.92128472222222213</v>
      </c>
      <c r="F14" t="s">
        <v>199</v>
      </c>
      <c r="H14" t="s">
        <v>201</v>
      </c>
    </row>
    <row r="15" spans="1:8">
      <c r="B15">
        <v>14</v>
      </c>
      <c r="C15">
        <f t="shared" si="0"/>
        <v>1.0684722222222223</v>
      </c>
    </row>
    <row r="16" spans="1:8">
      <c r="B16">
        <v>15</v>
      </c>
      <c r="C16">
        <f t="shared" si="0"/>
        <v>1.2265625</v>
      </c>
    </row>
    <row r="17" spans="2:14">
      <c r="B17">
        <v>16</v>
      </c>
      <c r="C17">
        <f t="shared" si="0"/>
        <v>1.3955555555555557</v>
      </c>
      <c r="F17" t="s">
        <v>203</v>
      </c>
    </row>
    <row r="18" spans="2:14">
      <c r="B18">
        <v>17</v>
      </c>
      <c r="C18">
        <f t="shared" si="0"/>
        <v>1.575451388888889</v>
      </c>
      <c r="F18" t="s">
        <v>204</v>
      </c>
    </row>
    <row r="19" spans="2:14">
      <c r="B19">
        <v>18</v>
      </c>
      <c r="C19">
        <f t="shared" si="0"/>
        <v>1.7662500000000001</v>
      </c>
    </row>
    <row r="20" spans="2:14">
      <c r="B20">
        <v>19</v>
      </c>
      <c r="C20">
        <f t="shared" si="0"/>
        <v>1.9679513888888889</v>
      </c>
    </row>
    <row r="21" spans="2:14">
      <c r="B21">
        <v>20</v>
      </c>
      <c r="C21">
        <f t="shared" si="0"/>
        <v>2.1805555555555554</v>
      </c>
    </row>
    <row r="22" spans="2:14" ht="13.5" thickBot="1"/>
    <row r="23" spans="2:14">
      <c r="H23" s="143" t="s">
        <v>190</v>
      </c>
      <c r="I23" s="144"/>
      <c r="J23" s="144"/>
      <c r="K23" s="144"/>
      <c r="L23" s="145"/>
    </row>
    <row r="24" spans="2:14" ht="13.5" thickBot="1">
      <c r="H24" s="146" t="s">
        <v>189</v>
      </c>
      <c r="I24" s="147"/>
      <c r="J24" s="147"/>
      <c r="K24" s="147"/>
      <c r="L24" s="148"/>
    </row>
    <row r="25" spans="2:14">
      <c r="E25" s="143" t="s">
        <v>232</v>
      </c>
      <c r="F25" s="145"/>
      <c r="H25" s="146"/>
      <c r="I25" s="147"/>
      <c r="J25" s="147"/>
      <c r="K25" s="147"/>
      <c r="L25" s="148"/>
    </row>
    <row r="26" spans="2:14">
      <c r="E26" s="146" t="s">
        <v>327</v>
      </c>
      <c r="F26" s="148"/>
      <c r="H26" s="146" t="s">
        <v>328</v>
      </c>
      <c r="I26" s="147" t="s">
        <v>329</v>
      </c>
      <c r="J26" s="147"/>
      <c r="K26" s="147"/>
      <c r="L26" s="148"/>
    </row>
    <row r="27" spans="2:14" ht="15">
      <c r="E27" s="146">
        <v>4</v>
      </c>
      <c r="F27" s="148">
        <f>3.14*$E$27*$E$27/576</f>
        <v>8.7222222222222229E-2</v>
      </c>
      <c r="H27" s="159" t="s">
        <v>500</v>
      </c>
      <c r="I27" s="161" t="s">
        <v>318</v>
      </c>
      <c r="J27" s="147">
        <f>H27*I27/144</f>
        <v>8.7222222222222229E-2</v>
      </c>
      <c r="K27" s="147"/>
      <c r="L27" s="148"/>
      <c r="N27" s="205"/>
    </row>
    <row r="28" spans="2:14" ht="15">
      <c r="E28" s="146">
        <v>5</v>
      </c>
      <c r="F28" s="148">
        <f>3.14*$E$28*$E$28/576</f>
        <v>0.13628472222222221</v>
      </c>
      <c r="H28" s="159" t="s">
        <v>502</v>
      </c>
      <c r="I28" s="161" t="s">
        <v>209</v>
      </c>
      <c r="J28" s="147">
        <f t="shared" ref="J28:J43" si="1">H28*I28/144</f>
        <v>0.13628472222222221</v>
      </c>
      <c r="K28" s="147"/>
      <c r="L28" s="148"/>
      <c r="N28" s="205"/>
    </row>
    <row r="29" spans="2:14" ht="15">
      <c r="E29" s="146">
        <v>6</v>
      </c>
      <c r="F29" s="148">
        <f>3.14*$E$29*$E$29/576</f>
        <v>0.19624999999999998</v>
      </c>
      <c r="H29" s="159" t="s">
        <v>888</v>
      </c>
      <c r="I29" s="161" t="s">
        <v>208</v>
      </c>
      <c r="J29" s="147">
        <f t="shared" si="1"/>
        <v>0.19624999999999998</v>
      </c>
      <c r="K29" s="147"/>
      <c r="L29" s="148"/>
      <c r="N29" s="205"/>
    </row>
    <row r="30" spans="2:14" ht="15">
      <c r="E30" s="146">
        <v>7</v>
      </c>
      <c r="F30" s="148">
        <f>3.14*$E$30*$E$30/576</f>
        <v>0.26711805555555557</v>
      </c>
      <c r="H30" s="159" t="s">
        <v>650</v>
      </c>
      <c r="I30" s="161" t="s">
        <v>319</v>
      </c>
      <c r="J30" s="147">
        <f t="shared" si="1"/>
        <v>0.26711805555555557</v>
      </c>
      <c r="K30" s="147"/>
      <c r="L30" s="148"/>
      <c r="N30" s="205"/>
    </row>
    <row r="31" spans="2:14" ht="15">
      <c r="E31" s="146">
        <v>8</v>
      </c>
      <c r="F31" s="148">
        <f>3.14*$E$31*$E$31/576</f>
        <v>0.34888888888888892</v>
      </c>
      <c r="H31" s="159" t="s">
        <v>1095</v>
      </c>
      <c r="I31" s="161" t="s">
        <v>207</v>
      </c>
      <c r="J31" s="147">
        <f t="shared" si="1"/>
        <v>0.34888888888888892</v>
      </c>
      <c r="K31" s="147"/>
      <c r="L31" s="148"/>
      <c r="N31" s="205"/>
    </row>
    <row r="32" spans="2:14" ht="15">
      <c r="E32" s="146">
        <v>9</v>
      </c>
      <c r="F32" s="148">
        <f>3.14*$E$32*$E$32/576</f>
        <v>0.44156250000000002</v>
      </c>
      <c r="H32" s="159" t="s">
        <v>293</v>
      </c>
      <c r="I32" s="161" t="s">
        <v>326</v>
      </c>
      <c r="J32" s="147">
        <f t="shared" si="1"/>
        <v>0.44156250000000002</v>
      </c>
      <c r="K32" s="147"/>
      <c r="L32" s="148"/>
      <c r="N32" s="205"/>
    </row>
    <row r="33" spans="2:14" ht="15">
      <c r="E33" s="146">
        <v>10</v>
      </c>
      <c r="F33" s="148">
        <f>3.14*$E$33*$E$33/576</f>
        <v>0.54513888888888884</v>
      </c>
      <c r="H33" s="159" t="s">
        <v>690</v>
      </c>
      <c r="I33" s="161" t="s">
        <v>205</v>
      </c>
      <c r="J33" s="147">
        <f t="shared" si="1"/>
        <v>0.54513888888888884</v>
      </c>
      <c r="K33" s="147"/>
      <c r="L33" s="148"/>
      <c r="N33" s="205"/>
    </row>
    <row r="34" spans="2:14" ht="15">
      <c r="E34" s="146">
        <v>11</v>
      </c>
      <c r="F34" s="148">
        <f>3.14*$E$34*$E$34/576</f>
        <v>0.65961805555555553</v>
      </c>
      <c r="H34" s="159" t="s">
        <v>1106</v>
      </c>
      <c r="I34" s="161" t="s">
        <v>320</v>
      </c>
      <c r="J34" s="147">
        <f t="shared" si="1"/>
        <v>0.65961805555555553</v>
      </c>
      <c r="K34" s="147"/>
      <c r="L34" s="148"/>
      <c r="N34" s="205"/>
    </row>
    <row r="35" spans="2:14" ht="15">
      <c r="E35" s="146">
        <v>12</v>
      </c>
      <c r="F35" s="148">
        <f>3.14*$E$35*$E$35/576</f>
        <v>0.78499999999999992</v>
      </c>
      <c r="H35" s="159" t="s">
        <v>501</v>
      </c>
      <c r="I35" s="161" t="s">
        <v>206</v>
      </c>
      <c r="J35" s="147">
        <f t="shared" si="1"/>
        <v>0.78499999999999992</v>
      </c>
      <c r="K35" s="147"/>
      <c r="L35" s="148"/>
      <c r="N35" s="205"/>
    </row>
    <row r="36" spans="2:14" ht="15">
      <c r="E36" s="146">
        <v>13</v>
      </c>
      <c r="F36" s="148">
        <f>3.14*$E$36*$E$36/576</f>
        <v>0.92128472222222213</v>
      </c>
      <c r="H36" s="159" t="s">
        <v>1107</v>
      </c>
      <c r="I36" s="161" t="s">
        <v>321</v>
      </c>
      <c r="J36" s="147">
        <f t="shared" si="1"/>
        <v>0.92128472222222213</v>
      </c>
      <c r="K36" s="147"/>
      <c r="L36" s="148"/>
      <c r="N36" s="205"/>
    </row>
    <row r="37" spans="2:14" ht="15">
      <c r="E37" s="146">
        <v>14</v>
      </c>
      <c r="F37" s="148">
        <f>3.14*$E$37*$E$37/576</f>
        <v>1.0684722222222223</v>
      </c>
      <c r="H37" s="159" t="s">
        <v>1108</v>
      </c>
      <c r="I37" s="161" t="s">
        <v>210</v>
      </c>
      <c r="J37" s="147">
        <f t="shared" si="1"/>
        <v>1.0684722222222223</v>
      </c>
      <c r="K37" s="147"/>
      <c r="L37" s="148"/>
      <c r="N37" s="205"/>
    </row>
    <row r="38" spans="2:14" ht="15">
      <c r="E38" s="146">
        <v>15</v>
      </c>
      <c r="F38" s="148">
        <f>3.14*$E$38*$E$38/576</f>
        <v>1.2265625</v>
      </c>
      <c r="H38" s="159" t="s">
        <v>1096</v>
      </c>
      <c r="I38" s="161" t="s">
        <v>322</v>
      </c>
      <c r="J38" s="147">
        <f t="shared" si="1"/>
        <v>1.2265625</v>
      </c>
      <c r="K38" s="147"/>
      <c r="L38" s="148"/>
      <c r="N38" s="205"/>
    </row>
    <row r="39" spans="2:14" ht="15">
      <c r="E39" s="146">
        <v>16</v>
      </c>
      <c r="F39" s="148">
        <f>3.14*$E$39*$E$39/576</f>
        <v>1.3955555555555557</v>
      </c>
      <c r="H39" s="159" t="s">
        <v>781</v>
      </c>
      <c r="I39" s="161" t="s">
        <v>211</v>
      </c>
      <c r="J39" s="147">
        <f t="shared" si="1"/>
        <v>1.3955555555555557</v>
      </c>
      <c r="K39" s="147"/>
      <c r="L39" s="148"/>
      <c r="N39" s="205"/>
    </row>
    <row r="40" spans="2:14" ht="15">
      <c r="E40" s="146">
        <v>17</v>
      </c>
      <c r="F40" s="148">
        <f>3.14*$E$40*$E$40/576</f>
        <v>1.575451388888889</v>
      </c>
      <c r="H40" s="159" t="s">
        <v>1109</v>
      </c>
      <c r="I40" s="161" t="s">
        <v>323</v>
      </c>
      <c r="J40" s="147">
        <f t="shared" si="1"/>
        <v>1.575451388888889</v>
      </c>
      <c r="K40" s="147"/>
      <c r="L40" s="148"/>
      <c r="N40" s="205"/>
    </row>
    <row r="41" spans="2:14" ht="15">
      <c r="E41" s="146">
        <v>18</v>
      </c>
      <c r="F41" s="148">
        <f>3.14*$E$41*$E$41/576</f>
        <v>1.7662500000000001</v>
      </c>
      <c r="H41" s="159" t="s">
        <v>1110</v>
      </c>
      <c r="I41" s="161" t="s">
        <v>212</v>
      </c>
      <c r="J41" s="147">
        <f t="shared" si="1"/>
        <v>1.7662500000000001</v>
      </c>
      <c r="K41" s="147"/>
      <c r="L41" s="148"/>
      <c r="N41" s="205"/>
    </row>
    <row r="42" spans="2:14" ht="15">
      <c r="B42" s="343"/>
      <c r="E42" s="146">
        <v>19</v>
      </c>
      <c r="F42" s="148">
        <f>3.14*$E$42*$E$42/576</f>
        <v>1.9679513888888889</v>
      </c>
      <c r="H42" s="159" t="s">
        <v>1111</v>
      </c>
      <c r="I42" s="161" t="s">
        <v>324</v>
      </c>
      <c r="J42" s="147">
        <f t="shared" si="1"/>
        <v>1.9679513888888889</v>
      </c>
      <c r="K42" s="147"/>
      <c r="L42" s="148"/>
      <c r="N42" s="205"/>
    </row>
    <row r="43" spans="2:14" ht="15.75" thickBot="1">
      <c r="E43" s="149">
        <v>20</v>
      </c>
      <c r="F43" s="152">
        <f>3.14*$E$43*$E$43/576</f>
        <v>2.1805555555555554</v>
      </c>
      <c r="H43" s="287" t="s">
        <v>505</v>
      </c>
      <c r="I43" s="288" t="s">
        <v>325</v>
      </c>
      <c r="J43" s="151">
        <f t="shared" si="1"/>
        <v>2.1805555555555554</v>
      </c>
      <c r="K43" s="151"/>
      <c r="L43" s="152"/>
      <c r="N43" s="205"/>
    </row>
    <row r="44" spans="2:14" ht="15">
      <c r="N44" s="205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AI282"/>
  <sheetViews>
    <sheetView workbookViewId="0">
      <selection activeCell="D4" sqref="D4"/>
    </sheetView>
  </sheetViews>
  <sheetFormatPr defaultRowHeight="12.75"/>
  <cols>
    <col min="1" max="1" width="13.42578125" bestFit="1" customWidth="1"/>
    <col min="2" max="2" width="6" bestFit="1" customWidth="1"/>
    <col min="3" max="3" width="5.5703125" bestFit="1" customWidth="1"/>
    <col min="4" max="4" width="7.7109375" bestFit="1" customWidth="1"/>
    <col min="5" max="5" width="8.5703125" bestFit="1" customWidth="1"/>
    <col min="6" max="6" width="8.28515625" bestFit="1" customWidth="1"/>
    <col min="7" max="7" width="10.5703125" bestFit="1" customWidth="1"/>
    <col min="8" max="8" width="4" bestFit="1" customWidth="1"/>
    <col min="9" max="9" width="5" bestFit="1" customWidth="1"/>
    <col min="10" max="10" width="6.42578125" bestFit="1" customWidth="1"/>
    <col min="11" max="11" width="9.42578125" bestFit="1" customWidth="1"/>
    <col min="12" max="12" width="5.5703125" bestFit="1" customWidth="1"/>
    <col min="14" max="14" width="6.42578125" bestFit="1" customWidth="1"/>
    <col min="15" max="15" width="17.42578125" bestFit="1" customWidth="1"/>
    <col min="17" max="17" width="7.28515625" bestFit="1" customWidth="1"/>
    <col min="18" max="18" width="7.7109375" bestFit="1" customWidth="1"/>
    <col min="19" max="19" width="7.42578125" bestFit="1" customWidth="1"/>
    <col min="20" max="20" width="10.5703125" bestFit="1" customWidth="1"/>
  </cols>
  <sheetData>
    <row r="1" spans="1:35" ht="15.75" thickBot="1">
      <c r="A1" s="744" t="s">
        <v>2</v>
      </c>
      <c r="B1" s="745"/>
      <c r="C1" s="745"/>
      <c r="D1" s="745"/>
      <c r="E1" s="745"/>
      <c r="F1" s="745"/>
      <c r="G1" s="745"/>
      <c r="H1" s="745"/>
      <c r="I1" s="745"/>
      <c r="J1" s="746"/>
      <c r="K1" s="33"/>
      <c r="L1" s="33"/>
      <c r="M1" s="33"/>
      <c r="N1" s="33"/>
      <c r="O1" s="33"/>
      <c r="P1" s="33"/>
      <c r="Q1" s="33"/>
      <c r="R1" s="34"/>
      <c r="S1" s="34"/>
      <c r="T1" s="33"/>
    </row>
    <row r="2" spans="1:35" ht="15.75" thickTop="1">
      <c r="A2" s="747" t="s">
        <v>554</v>
      </c>
      <c r="B2" s="749" t="s">
        <v>555</v>
      </c>
      <c r="C2" s="750"/>
      <c r="D2" s="750"/>
      <c r="E2" s="750"/>
      <c r="F2" s="750"/>
      <c r="G2" s="750"/>
      <c r="H2" s="751"/>
      <c r="I2" s="752" t="s">
        <v>556</v>
      </c>
      <c r="J2" s="753"/>
      <c r="K2" s="754" t="s">
        <v>557</v>
      </c>
      <c r="L2" s="754"/>
      <c r="M2" s="754"/>
      <c r="N2" s="754"/>
      <c r="O2" s="755"/>
      <c r="P2" s="741" t="s">
        <v>558</v>
      </c>
      <c r="Q2" s="742"/>
      <c r="R2" s="742"/>
      <c r="S2" s="742"/>
      <c r="T2" s="743"/>
    </row>
    <row r="3" spans="1:35" ht="15.75" thickBot="1">
      <c r="A3" s="748"/>
      <c r="B3" s="42" t="s">
        <v>559</v>
      </c>
      <c r="C3" s="43" t="s">
        <v>560</v>
      </c>
      <c r="D3" s="43" t="s">
        <v>561</v>
      </c>
      <c r="E3" s="43" t="s">
        <v>562</v>
      </c>
      <c r="F3" s="43" t="s">
        <v>563</v>
      </c>
      <c r="G3" s="44" t="s">
        <v>564</v>
      </c>
      <c r="H3" s="45" t="s">
        <v>565</v>
      </c>
      <c r="I3" s="46" t="s">
        <v>566</v>
      </c>
      <c r="J3" s="45" t="s">
        <v>567</v>
      </c>
      <c r="K3" s="47" t="s">
        <v>568</v>
      </c>
      <c r="L3" s="47" t="s">
        <v>569</v>
      </c>
      <c r="M3" s="47" t="s">
        <v>570</v>
      </c>
      <c r="N3" s="47" t="s">
        <v>571</v>
      </c>
      <c r="O3" s="187" t="s">
        <v>567</v>
      </c>
      <c r="P3" s="280" t="s">
        <v>572</v>
      </c>
      <c r="Q3" s="280" t="s">
        <v>573</v>
      </c>
      <c r="R3" s="48" t="s">
        <v>574</v>
      </c>
      <c r="S3" s="48" t="s">
        <v>575</v>
      </c>
      <c r="T3" s="281" t="s">
        <v>576</v>
      </c>
      <c r="AD3" s="38"/>
      <c r="AE3" s="38"/>
      <c r="AF3" s="35" t="s">
        <v>1100</v>
      </c>
      <c r="AG3" s="35" t="s">
        <v>1099</v>
      </c>
      <c r="AH3" s="38" t="s">
        <v>1098</v>
      </c>
      <c r="AI3" s="38" t="s">
        <v>231</v>
      </c>
    </row>
    <row r="4" spans="1:35" ht="15" thickTop="1">
      <c r="A4" s="275" t="str">
        <f>'Box Schedule'!$A9</f>
        <v>VAV-T-2-014</v>
      </c>
      <c r="B4" s="263">
        <v>1</v>
      </c>
      <c r="C4" s="266" t="str">
        <f>IF((B4&gt;0),(VLOOKUP(J4,'Valve Reference'!$A$2:$K$389,3)),"-")</f>
        <v>0.5</v>
      </c>
      <c r="D4" s="49" t="s">
        <v>579</v>
      </c>
      <c r="E4" s="267">
        <f>IF((B4&gt;0),('Vlookup Tables'!$B$37),"-")</f>
        <v>5</v>
      </c>
      <c r="F4" s="268">
        <f>IF((B4&gt;0),(B4/SQRT(E4)),"-")</f>
        <v>0.44721359549995793</v>
      </c>
      <c r="G4" s="228">
        <f>IF((B4&gt;0),(VLOOKUP($B4,'Vlookup Tables'!$B$23:$F$33,2,TRUE)),"-")</f>
        <v>0.63</v>
      </c>
      <c r="H4" s="269">
        <f>IF((B4&gt;0),(1/((G4/B4)^2)),"-")</f>
        <v>2.5195263290501382</v>
      </c>
      <c r="I4" s="50">
        <f>IF((B4&gt;0),('Vlookup Tables'!$B$35),"-")</f>
        <v>259</v>
      </c>
      <c r="J4" s="265" t="str">
        <f>IF(B4&gt;0,(IF(D4="2-Way",VLOOKUP($G4,'Vlookup Tables'!$C$23:$F$33,2,FALSE),VLOOKUP($G4,'Vlookup Tables'!$C$23:$F$33,3,FALSE))),"-")</f>
        <v>10351S</v>
      </c>
      <c r="K4" s="276" t="str">
        <f>IF(B4&gt;0,(VLOOKUP(J4,'Valve Reference'!$A$2:$K$389,4)),"-")</f>
        <v>Standard</v>
      </c>
      <c r="L4" s="276" t="str">
        <f>IF(B4&gt;0,(VLOOKUP(J4,'Valve Reference'!$A$2:$K$389,5)),"-")</f>
        <v>EDPM</v>
      </c>
      <c r="M4" s="276" t="str">
        <f>IF(B4&gt;0,(VLOOKUP(J4,'Valve Reference'!$A$2:$K$389,8)),"-")</f>
        <v>M.Eq%</v>
      </c>
      <c r="N4" s="276" t="str">
        <f>IF(B4&gt;0,(VLOOKUP(J4,'Valve Reference'!$A$2:$K$389,10)),"-")</f>
        <v>FxF</v>
      </c>
      <c r="O4" s="277" t="str">
        <f>IF(B4&gt;0,(VLOOKUP(J4,'Valve Reference'!$A$2:$K$389,11)),"-")</f>
        <v>Ball-Powermite</v>
      </c>
      <c r="P4" s="278" t="str">
        <f>IF(B4&gt;0,(VLOOKUP(I4,'Actuator Reference'!$A$2:$H$54,2)),"-")</f>
        <v>SSC81U</v>
      </c>
      <c r="Q4" s="278" t="str">
        <f>IF(B4&gt;0,(VLOOKUP(I4,'Actuator Reference'!$A$2:$H$54,5)),"-")</f>
        <v>Float</v>
      </c>
      <c r="R4" s="278" t="str">
        <f>IF(B4&gt;0,(VLOOKUP(I4,'Actuator Reference'!$A$2:$H$54,6)),"-")</f>
        <v>NSR</v>
      </c>
      <c r="S4" s="278" t="str">
        <f>IF(B4&gt;0,(VLOOKUP(I4,'Actuator Reference'!$A$2:$H$54,7)),"-")</f>
        <v>24V</v>
      </c>
      <c r="T4" s="279" t="str">
        <f>IF(B4&gt;0,(VLOOKUP(I4,'Actuator Reference'!$A$2:$H$54,8)),"-")</f>
        <v>MT-Series</v>
      </c>
      <c r="AD4" s="38"/>
      <c r="AE4" s="38"/>
      <c r="AF4" s="35">
        <v>1</v>
      </c>
      <c r="AG4" s="35" t="s">
        <v>1097</v>
      </c>
      <c r="AH4" s="38" t="str">
        <f>CONCATENATE(I4,"-",J4)</f>
        <v>259-10351S</v>
      </c>
      <c r="AI4" s="264" t="str">
        <f>A4</f>
        <v>VAV-T-2-014</v>
      </c>
    </row>
    <row r="5" spans="1:35" ht="14.25">
      <c r="A5" s="275">
        <f>'Box Schedule'!$A10</f>
        <v>0</v>
      </c>
      <c r="B5" s="262">
        <v>0.7</v>
      </c>
      <c r="C5" s="229" t="str">
        <f>IF((B5&gt;0),(VLOOKUP(J5,'Valve Reference'!$A$2:$K$389,3)),"-")</f>
        <v>0.5</v>
      </c>
      <c r="D5" s="230" t="s">
        <v>577</v>
      </c>
      <c r="E5" s="231">
        <f>IF((B5&gt;0),('Vlookup Tables'!$B$37),"-")</f>
        <v>5</v>
      </c>
      <c r="F5" s="51">
        <f t="shared" ref="F5:F68" si="0">IF((B5&gt;0),(B5/SQRT(E5)),"-")</f>
        <v>0.31304951684997051</v>
      </c>
      <c r="G5" s="228">
        <f>IF((B5&gt;0),(VLOOKUP($B5,'Vlookup Tables'!$B$23:$F$33,2,TRUE)),"-")</f>
        <v>0.4</v>
      </c>
      <c r="H5" s="52">
        <f t="shared" ref="H5:H68" si="1">IF((B5&gt;0),(1/((G5/B5)^2)),"-")</f>
        <v>3.0624999999999991</v>
      </c>
      <c r="I5" s="50">
        <f>IF((B5&gt;0),('Vlookup Tables'!$B$35),"-")</f>
        <v>259</v>
      </c>
      <c r="J5" s="265" t="str">
        <f>IF(B5&gt;0,(IF(D5="2-Way",VLOOKUP($G5,'Vlookup Tables'!$C$23:$F$33,2,FALSE),VLOOKUP($G5,'Vlookup Tables'!$C$23:$F$33,3,FALSE))),"-")</f>
        <v>02030</v>
      </c>
      <c r="K5" s="276" t="str">
        <f>IF(B5&gt;0,(VLOOKUP(J5,'Valve Reference'!$A$2:$K$389,4)),"-")</f>
        <v>Standard</v>
      </c>
      <c r="L5" s="276" t="str">
        <f>IF(B5&gt;0,(VLOOKUP(J5,'Valve Reference'!$A$2:$K$389,5)),"-")</f>
        <v>BR</v>
      </c>
      <c r="M5" s="276" t="str">
        <f>IF(B5&gt;0,(VLOOKUP(J5,'Valve Reference'!$A$2:$K$389,8)),"-")</f>
        <v>Linear</v>
      </c>
      <c r="N5" s="276" t="str">
        <f>IF(B5&gt;0,(VLOOKUP(J5,'Valve Reference'!$A$2:$K$389,10)),"-")</f>
        <v>FxF</v>
      </c>
      <c r="O5" s="277" t="str">
        <f>IF(B5&gt;0,(VLOOKUP(J5,'Valve Reference'!$A$2:$K$389,11)),"-")</f>
        <v>Globe-Powermite</v>
      </c>
      <c r="P5" s="278" t="str">
        <f>IF(B5&gt;0,(VLOOKUP(I5,'Actuator Reference'!$A$2:$H$54,2)),"-")</f>
        <v>SSC81U</v>
      </c>
      <c r="Q5" s="278" t="str">
        <f>IF(B5&gt;0,(VLOOKUP(I5,'Actuator Reference'!$A$2:$H$54,5)),"-")</f>
        <v>Float</v>
      </c>
      <c r="R5" s="278" t="str">
        <f>IF(B5&gt;0,(VLOOKUP(I5,'Actuator Reference'!$A$2:$H$54,6)),"-")</f>
        <v>NSR</v>
      </c>
      <c r="S5" s="278" t="str">
        <f>IF(B5&gt;0,(VLOOKUP(I5,'Actuator Reference'!$A$2:$H$54,7)),"-")</f>
        <v>24V</v>
      </c>
      <c r="T5" s="279" t="str">
        <f>IF(B5&gt;0,(VLOOKUP(I5,'Actuator Reference'!$A$2:$H$54,8)),"-")</f>
        <v>MT-Series</v>
      </c>
      <c r="AD5" s="53" t="s">
        <v>578</v>
      </c>
      <c r="AE5" s="38"/>
      <c r="AF5" s="35">
        <v>1</v>
      </c>
      <c r="AG5" s="35" t="s">
        <v>1097</v>
      </c>
      <c r="AH5" s="38" t="str">
        <f t="shared" ref="AH5:AH68" si="2">CONCATENATE(I5,"-",J5)</f>
        <v>259-02030</v>
      </c>
      <c r="AI5" s="264">
        <f t="shared" ref="AI5:AI68" si="3">A5</f>
        <v>0</v>
      </c>
    </row>
    <row r="6" spans="1:35" ht="14.25">
      <c r="A6" s="275">
        <f>'Box Schedule'!$A11</f>
        <v>0</v>
      </c>
      <c r="B6" s="262">
        <v>1</v>
      </c>
      <c r="C6" s="229" t="str">
        <f>IF((B6&gt;0),(VLOOKUP(J6,'Valve Reference'!$A$2:$K$389,3)),"-")</f>
        <v>0.5</v>
      </c>
      <c r="D6" s="230" t="s">
        <v>577</v>
      </c>
      <c r="E6" s="231">
        <f>IF((B6&gt;0),('Vlookup Tables'!$B$37),"-")</f>
        <v>5</v>
      </c>
      <c r="F6" s="51">
        <f t="shared" si="0"/>
        <v>0.44721359549995793</v>
      </c>
      <c r="G6" s="228">
        <f>IF((B6&gt;0),(VLOOKUP($B6,'Vlookup Tables'!$B$23:$F$33,2,TRUE)),"-")</f>
        <v>0.63</v>
      </c>
      <c r="H6" s="52">
        <f t="shared" si="1"/>
        <v>2.5195263290501382</v>
      </c>
      <c r="I6" s="50">
        <f>IF((B6&gt;0),('Vlookup Tables'!$B$35),"-")</f>
        <v>259</v>
      </c>
      <c r="J6" s="265" t="str">
        <f>IF(B6&gt;0,(IF(D6="2-Way",VLOOKUP($G6,'Vlookup Tables'!$C$23:$F$33,2,FALSE),VLOOKUP($G6,'Vlookup Tables'!$C$23:$F$33,3,FALSE))),"-")</f>
        <v>02032</v>
      </c>
      <c r="K6" s="276" t="str">
        <f>IF(B6&gt;0,(VLOOKUP(J6,'Valve Reference'!$A$2:$K$389,4)),"-")</f>
        <v>Standard</v>
      </c>
      <c r="L6" s="276" t="str">
        <f>IF(B6&gt;0,(VLOOKUP(J6,'Valve Reference'!$A$2:$K$389,5)),"-")</f>
        <v>BR</v>
      </c>
      <c r="M6" s="276" t="str">
        <f>IF(B6&gt;0,(VLOOKUP(J6,'Valve Reference'!$A$2:$K$389,8)),"-")</f>
        <v>Linear</v>
      </c>
      <c r="N6" s="276" t="str">
        <f>IF(B6&gt;0,(VLOOKUP(J6,'Valve Reference'!$A$2:$K$389,10)),"-")</f>
        <v>FxF</v>
      </c>
      <c r="O6" s="277" t="str">
        <f>IF(B6&gt;0,(VLOOKUP(J6,'Valve Reference'!$A$2:$K$389,11)),"-")</f>
        <v>Globe-Powermite</v>
      </c>
      <c r="P6" s="278" t="str">
        <f>IF(B6&gt;0,(VLOOKUP(I6,'Actuator Reference'!$A$2:$H$54,2)),"-")</f>
        <v>SSC81U</v>
      </c>
      <c r="Q6" s="278" t="str">
        <f>IF(B6&gt;0,(VLOOKUP(I6,'Actuator Reference'!$A$2:$H$54,5)),"-")</f>
        <v>Float</v>
      </c>
      <c r="R6" s="278" t="str">
        <f>IF(B6&gt;0,(VLOOKUP(I6,'Actuator Reference'!$A$2:$H$54,6)),"-")</f>
        <v>NSR</v>
      </c>
      <c r="S6" s="278" t="str">
        <f>IF(B6&gt;0,(VLOOKUP(I6,'Actuator Reference'!$A$2:$H$54,7)),"-")</f>
        <v>24V</v>
      </c>
      <c r="T6" s="279" t="str">
        <f>IF(B6&gt;0,(VLOOKUP(I6,'Actuator Reference'!$A$2:$H$54,8)),"-")</f>
        <v>MT-Series</v>
      </c>
      <c r="AD6" s="38" t="s">
        <v>577</v>
      </c>
      <c r="AE6" s="38"/>
      <c r="AF6" s="35">
        <v>1</v>
      </c>
      <c r="AG6" s="35" t="s">
        <v>1097</v>
      </c>
      <c r="AH6" s="38" t="str">
        <f t="shared" si="2"/>
        <v>259-02032</v>
      </c>
      <c r="AI6" s="264">
        <f t="shared" si="3"/>
        <v>0</v>
      </c>
    </row>
    <row r="7" spans="1:35" ht="14.25">
      <c r="A7" s="275">
        <f>'Box Schedule'!$A12</f>
        <v>0</v>
      </c>
      <c r="B7" s="262">
        <v>0.7</v>
      </c>
      <c r="C7" s="229" t="str">
        <f>IF((B7&gt;0),(VLOOKUP(J7,'Valve Reference'!$A$2:$K$389,3)),"-")</f>
        <v>0.5</v>
      </c>
      <c r="D7" s="230" t="s">
        <v>577</v>
      </c>
      <c r="E7" s="231">
        <f>IF((B7&gt;0),('Vlookup Tables'!$B$37),"-")</f>
        <v>5</v>
      </c>
      <c r="F7" s="51">
        <f t="shared" si="0"/>
        <v>0.31304951684997051</v>
      </c>
      <c r="G7" s="228">
        <f>IF((B7&gt;0),(VLOOKUP($B7,'Vlookup Tables'!$B$23:$F$33,2,TRUE)),"-")</f>
        <v>0.4</v>
      </c>
      <c r="H7" s="52">
        <f t="shared" si="1"/>
        <v>3.0624999999999991</v>
      </c>
      <c r="I7" s="50">
        <f>IF((B7&gt;0),('Vlookup Tables'!$B$35),"-")</f>
        <v>259</v>
      </c>
      <c r="J7" s="265" t="str">
        <f>IF(B7&gt;0,(IF(D7="2-Way",VLOOKUP($G7,'Vlookup Tables'!$C$23:$F$33,2,FALSE),VLOOKUP($G7,'Vlookup Tables'!$C$23:$F$33,3,FALSE))),"-")</f>
        <v>02030</v>
      </c>
      <c r="K7" s="276" t="str">
        <f>IF(B7&gt;0,(VLOOKUP(J7,'Valve Reference'!$A$2:$K$389,4)),"-")</f>
        <v>Standard</v>
      </c>
      <c r="L7" s="276" t="str">
        <f>IF(B7&gt;0,(VLOOKUP(J7,'Valve Reference'!$A$2:$K$389,5)),"-")</f>
        <v>BR</v>
      </c>
      <c r="M7" s="276" t="str">
        <f>IF(B7&gt;0,(VLOOKUP(J7,'Valve Reference'!$A$2:$K$389,8)),"-")</f>
        <v>Linear</v>
      </c>
      <c r="N7" s="276" t="str">
        <f>IF(B7&gt;0,(VLOOKUP(J7,'Valve Reference'!$A$2:$K$389,10)),"-")</f>
        <v>FxF</v>
      </c>
      <c r="O7" s="277" t="str">
        <f>IF(B7&gt;0,(VLOOKUP(J7,'Valve Reference'!$A$2:$K$389,11)),"-")</f>
        <v>Globe-Powermite</v>
      </c>
      <c r="P7" s="278" t="str">
        <f>IF(B7&gt;0,(VLOOKUP(I7,'Actuator Reference'!$A$2:$H$54,2)),"-")</f>
        <v>SSC81U</v>
      </c>
      <c r="Q7" s="278" t="str">
        <f>IF(B7&gt;0,(VLOOKUP(I7,'Actuator Reference'!$A$2:$H$54,5)),"-")</f>
        <v>Float</v>
      </c>
      <c r="R7" s="278" t="str">
        <f>IF(B7&gt;0,(VLOOKUP(I7,'Actuator Reference'!$A$2:$H$54,6)),"-")</f>
        <v>NSR</v>
      </c>
      <c r="S7" s="278" t="str">
        <f>IF(B7&gt;0,(VLOOKUP(I7,'Actuator Reference'!$A$2:$H$54,7)),"-")</f>
        <v>24V</v>
      </c>
      <c r="T7" s="279" t="str">
        <f>IF(B7&gt;0,(VLOOKUP(I7,'Actuator Reference'!$A$2:$H$54,8)),"-")</f>
        <v>MT-Series</v>
      </c>
      <c r="AD7" s="38" t="s">
        <v>579</v>
      </c>
      <c r="AE7" s="38"/>
      <c r="AF7" s="35">
        <v>1</v>
      </c>
      <c r="AG7" s="35" t="s">
        <v>1097</v>
      </c>
      <c r="AH7" s="38" t="str">
        <f t="shared" si="2"/>
        <v>259-02030</v>
      </c>
      <c r="AI7" s="264">
        <f t="shared" si="3"/>
        <v>0</v>
      </c>
    </row>
    <row r="8" spans="1:35" ht="14.25">
      <c r="A8" s="275">
        <f>'Box Schedule'!$A13</f>
        <v>0</v>
      </c>
      <c r="B8" s="262">
        <v>0.6</v>
      </c>
      <c r="C8" s="229" t="str">
        <f>IF((B8&gt;0),(VLOOKUP(J8,'Valve Reference'!$A$2:$K$389,3)),"-")</f>
        <v>0.5</v>
      </c>
      <c r="D8" s="230" t="s">
        <v>577</v>
      </c>
      <c r="E8" s="231">
        <f>IF((B8&gt;0),('Vlookup Tables'!$B$37),"-")</f>
        <v>5</v>
      </c>
      <c r="F8" s="51">
        <f t="shared" si="0"/>
        <v>0.26832815729997472</v>
      </c>
      <c r="G8" s="228">
        <f>IF((B8&gt;0),(VLOOKUP($B8,'Vlookup Tables'!$B$23:$F$33,2,TRUE)),"-")</f>
        <v>0.4</v>
      </c>
      <c r="H8" s="52">
        <f t="shared" si="1"/>
        <v>2.2499999999999996</v>
      </c>
      <c r="I8" s="50">
        <f>IF((B8&gt;0),('Vlookup Tables'!$B$35),"-")</f>
        <v>259</v>
      </c>
      <c r="J8" s="265" t="str">
        <f>IF(B8&gt;0,(IF(D8="2-Way",VLOOKUP($G8,'Vlookup Tables'!$C$23:$F$33,2,FALSE),VLOOKUP($G8,'Vlookup Tables'!$C$23:$F$33,3,FALSE))),"-")</f>
        <v>02030</v>
      </c>
      <c r="K8" s="276" t="str">
        <f>IF(B8&gt;0,(VLOOKUP(J8,'Valve Reference'!$A$2:$K$389,4)),"-")</f>
        <v>Standard</v>
      </c>
      <c r="L8" s="276" t="str">
        <f>IF(B8&gt;0,(VLOOKUP(J8,'Valve Reference'!$A$2:$K$389,5)),"-")</f>
        <v>BR</v>
      </c>
      <c r="M8" s="276" t="str">
        <f>IF(B8&gt;0,(VLOOKUP(J8,'Valve Reference'!$A$2:$K$389,8)),"-")</f>
        <v>Linear</v>
      </c>
      <c r="N8" s="276" t="str">
        <f>IF(B8&gt;0,(VLOOKUP(J8,'Valve Reference'!$A$2:$K$389,10)),"-")</f>
        <v>FxF</v>
      </c>
      <c r="O8" s="277" t="str">
        <f>IF(B8&gt;0,(VLOOKUP(J8,'Valve Reference'!$A$2:$K$389,11)),"-")</f>
        <v>Globe-Powermite</v>
      </c>
      <c r="P8" s="278" t="str">
        <f>IF(B8&gt;0,(VLOOKUP(I8,'Actuator Reference'!$A$2:$H$54,2)),"-")</f>
        <v>SSC81U</v>
      </c>
      <c r="Q8" s="278" t="str">
        <f>IF(B8&gt;0,(VLOOKUP(I8,'Actuator Reference'!$A$2:$H$54,5)),"-")</f>
        <v>Float</v>
      </c>
      <c r="R8" s="278" t="str">
        <f>IF(B8&gt;0,(VLOOKUP(I8,'Actuator Reference'!$A$2:$H$54,6)),"-")</f>
        <v>NSR</v>
      </c>
      <c r="S8" s="278" t="str">
        <f>IF(B8&gt;0,(VLOOKUP(I8,'Actuator Reference'!$A$2:$H$54,7)),"-")</f>
        <v>24V</v>
      </c>
      <c r="T8" s="279" t="str">
        <f>IF(B8&gt;0,(VLOOKUP(I8,'Actuator Reference'!$A$2:$H$54,8)),"-")</f>
        <v>MT-Series</v>
      </c>
      <c r="AD8" s="35" t="s">
        <v>580</v>
      </c>
      <c r="AE8" s="38"/>
      <c r="AF8" s="35">
        <v>1</v>
      </c>
      <c r="AG8" s="35" t="s">
        <v>1097</v>
      </c>
      <c r="AH8" s="38" t="str">
        <f t="shared" si="2"/>
        <v>259-02030</v>
      </c>
      <c r="AI8" s="264">
        <f t="shared" si="3"/>
        <v>0</v>
      </c>
    </row>
    <row r="9" spans="1:35" ht="14.25">
      <c r="A9" s="275">
        <f>'Box Schedule'!$A14</f>
        <v>0</v>
      </c>
      <c r="B9" s="262">
        <v>0.4</v>
      </c>
      <c r="C9" s="229" t="str">
        <f>IF((B9&gt;0),(VLOOKUP(J9,'Valve Reference'!$A$2:$K$389,3)),"-")</f>
        <v>0.5</v>
      </c>
      <c r="D9" s="230" t="s">
        <v>577</v>
      </c>
      <c r="E9" s="231">
        <f>IF((B9&gt;0),('Vlookup Tables'!$B$37),"-")</f>
        <v>5</v>
      </c>
      <c r="F9" s="51">
        <f t="shared" si="0"/>
        <v>0.17888543819998318</v>
      </c>
      <c r="G9" s="228">
        <f>IF((B9&gt;0),(VLOOKUP($B9,'Vlookup Tables'!$B$23:$F$33,2,TRUE)),"-")</f>
        <v>0.4</v>
      </c>
      <c r="H9" s="52">
        <f t="shared" si="1"/>
        <v>1</v>
      </c>
      <c r="I9" s="50">
        <f>IF((B9&gt;0),('Vlookup Tables'!$B$35),"-")</f>
        <v>259</v>
      </c>
      <c r="J9" s="265" t="str">
        <f>IF(B9&gt;0,(IF(D9="2-Way",VLOOKUP($G9,'Vlookup Tables'!$C$23:$F$33,2,FALSE),VLOOKUP($G9,'Vlookup Tables'!$C$23:$F$33,3,FALSE))),"-")</f>
        <v>02030</v>
      </c>
      <c r="K9" s="276" t="str">
        <f>IF(B9&gt;0,(VLOOKUP(J9,'Valve Reference'!$A$2:$K$389,4)),"-")</f>
        <v>Standard</v>
      </c>
      <c r="L9" s="276" t="str">
        <f>IF(B9&gt;0,(VLOOKUP(J9,'Valve Reference'!$A$2:$K$389,5)),"-")</f>
        <v>BR</v>
      </c>
      <c r="M9" s="276" t="str">
        <f>IF(B9&gt;0,(VLOOKUP(J9,'Valve Reference'!$A$2:$K$389,8)),"-")</f>
        <v>Linear</v>
      </c>
      <c r="N9" s="276" t="str">
        <f>IF(B9&gt;0,(VLOOKUP(J9,'Valve Reference'!$A$2:$K$389,10)),"-")</f>
        <v>FxF</v>
      </c>
      <c r="O9" s="277" t="str">
        <f>IF(B9&gt;0,(VLOOKUP(J9,'Valve Reference'!$A$2:$K$389,11)),"-")</f>
        <v>Globe-Powermite</v>
      </c>
      <c r="P9" s="278" t="str">
        <f>IF(B9&gt;0,(VLOOKUP(I9,'Actuator Reference'!$A$2:$H$54,2)),"-")</f>
        <v>SSC81U</v>
      </c>
      <c r="Q9" s="278" t="str">
        <f>IF(B9&gt;0,(VLOOKUP(I9,'Actuator Reference'!$A$2:$H$54,5)),"-")</f>
        <v>Float</v>
      </c>
      <c r="R9" s="278" t="str">
        <f>IF(B9&gt;0,(VLOOKUP(I9,'Actuator Reference'!$A$2:$H$54,6)),"-")</f>
        <v>NSR</v>
      </c>
      <c r="S9" s="278" t="str">
        <f>IF(B9&gt;0,(VLOOKUP(I9,'Actuator Reference'!$A$2:$H$54,7)),"-")</f>
        <v>24V</v>
      </c>
      <c r="T9" s="279" t="str">
        <f>IF(B9&gt;0,(VLOOKUP(I9,'Actuator Reference'!$A$2:$H$54,8)),"-")</f>
        <v>MT-Series</v>
      </c>
      <c r="AD9" s="54"/>
      <c r="AE9" s="38"/>
      <c r="AF9" s="35">
        <v>1</v>
      </c>
      <c r="AG9" s="35" t="s">
        <v>1097</v>
      </c>
      <c r="AH9" s="38" t="str">
        <f t="shared" si="2"/>
        <v>259-02030</v>
      </c>
      <c r="AI9" s="264">
        <f t="shared" si="3"/>
        <v>0</v>
      </c>
    </row>
    <row r="10" spans="1:35" ht="14.25">
      <c r="A10" s="275">
        <f>'Box Schedule'!$A15</f>
        <v>0</v>
      </c>
      <c r="B10" s="262">
        <v>7</v>
      </c>
      <c r="C10" s="229" t="str">
        <f>IF((B10&gt;0),(VLOOKUP(J10,'Valve Reference'!$A$2:$K$389,3)),"-")</f>
        <v>0.5</v>
      </c>
      <c r="D10" s="230" t="s">
        <v>577</v>
      </c>
      <c r="E10" s="231">
        <f>IF((B10&gt;0),('Vlookup Tables'!$B$37),"-")</f>
        <v>5</v>
      </c>
      <c r="F10" s="51">
        <f t="shared" si="0"/>
        <v>3.1304951684997055</v>
      </c>
      <c r="G10" s="228">
        <f>IF((B10&gt;0),(VLOOKUP($B10,'Vlookup Tables'!$B$23:$F$33,2,TRUE)),"-")</f>
        <v>4</v>
      </c>
      <c r="H10" s="52">
        <f t="shared" si="1"/>
        <v>3.0625000000000004</v>
      </c>
      <c r="I10" s="50">
        <f>IF((B10&gt;0),('Vlookup Tables'!$B$35),"-")</f>
        <v>259</v>
      </c>
      <c r="J10" s="265" t="str">
        <f>IF(B10&gt;0,(IF(D10="2-Way",VLOOKUP($G10,'Vlookup Tables'!$C$23:$F$33,2,FALSE),VLOOKUP($G10,'Vlookup Tables'!$C$23:$F$33,3,FALSE))),"-")</f>
        <v>02041</v>
      </c>
      <c r="K10" s="276" t="str">
        <f>IF(B10&gt;0,(VLOOKUP(J10,'Valve Reference'!$A$2:$K$389,4)),"-")</f>
        <v>Standard</v>
      </c>
      <c r="L10" s="276" t="str">
        <f>IF(B10&gt;0,(VLOOKUP(J10,'Valve Reference'!$A$2:$K$389,5)),"-")</f>
        <v>BR</v>
      </c>
      <c r="M10" s="276" t="str">
        <f>IF(B10&gt;0,(VLOOKUP(J10,'Valve Reference'!$A$2:$K$389,8)),"-")</f>
        <v>Linear</v>
      </c>
      <c r="N10" s="276" t="str">
        <f>IF(B10&gt;0,(VLOOKUP(J10,'Valve Reference'!$A$2:$K$389,10)),"-")</f>
        <v>FxF</v>
      </c>
      <c r="O10" s="277" t="str">
        <f>IF(B10&gt;0,(VLOOKUP(J10,'Valve Reference'!$A$2:$K$389,11)),"-")</f>
        <v>Globe-Powermite</v>
      </c>
      <c r="P10" s="278" t="str">
        <f>IF(B10&gt;0,(VLOOKUP(I10,'Actuator Reference'!$A$2:$H$54,2)),"-")</f>
        <v>SSC81U</v>
      </c>
      <c r="Q10" s="278" t="str">
        <f>IF(B10&gt;0,(VLOOKUP(I10,'Actuator Reference'!$A$2:$H$54,5)),"-")</f>
        <v>Float</v>
      </c>
      <c r="R10" s="278" t="str">
        <f>IF(B10&gt;0,(VLOOKUP(I10,'Actuator Reference'!$A$2:$H$54,6)),"-")</f>
        <v>NSR</v>
      </c>
      <c r="S10" s="278" t="str">
        <f>IF(B10&gt;0,(VLOOKUP(I10,'Actuator Reference'!$A$2:$H$54,7)),"-")</f>
        <v>24V</v>
      </c>
      <c r="T10" s="279" t="str">
        <f>IF(B10&gt;0,(VLOOKUP(I10,'Actuator Reference'!$A$2:$H$54,8)),"-")</f>
        <v>MT-Series</v>
      </c>
      <c r="AD10" s="38"/>
      <c r="AE10" s="38"/>
      <c r="AF10" s="35">
        <v>1</v>
      </c>
      <c r="AG10" s="35" t="s">
        <v>1097</v>
      </c>
      <c r="AH10" s="38" t="str">
        <f t="shared" si="2"/>
        <v>259-02041</v>
      </c>
      <c r="AI10" s="264">
        <f t="shared" si="3"/>
        <v>0</v>
      </c>
    </row>
    <row r="11" spans="1:35" ht="14.25">
      <c r="A11" s="275">
        <f>'Box Schedule'!$A16</f>
        <v>0</v>
      </c>
      <c r="B11" s="262">
        <v>8</v>
      </c>
      <c r="C11" s="229" t="str">
        <f>IF((B11&gt;0),(VLOOKUP(J11,'Valve Reference'!$A$2:$K$389,3)),"-")</f>
        <v>0.5</v>
      </c>
      <c r="D11" s="230" t="s">
        <v>577</v>
      </c>
      <c r="E11" s="231">
        <f>IF((B11&gt;0),('Vlookup Tables'!$B$37),"-")</f>
        <v>5</v>
      </c>
      <c r="F11" s="51">
        <f t="shared" si="0"/>
        <v>3.5777087639996634</v>
      </c>
      <c r="G11" s="228">
        <f>IF((B11&gt;0),(VLOOKUP($B11,'Vlookup Tables'!$B$23:$F$33,2,TRUE)),"-")</f>
        <v>4</v>
      </c>
      <c r="H11" s="52">
        <f t="shared" si="1"/>
        <v>4</v>
      </c>
      <c r="I11" s="50">
        <f>IF((B11&gt;0),('Vlookup Tables'!$B$35),"-")</f>
        <v>259</v>
      </c>
      <c r="J11" s="265" t="str">
        <f>IF(B11&gt;0,(IF(D11="2-Way",VLOOKUP($G11,'Vlookup Tables'!$C$23:$F$33,2,FALSE),VLOOKUP($G11,'Vlookup Tables'!$C$23:$F$33,3,FALSE))),"-")</f>
        <v>02041</v>
      </c>
      <c r="K11" s="276" t="str">
        <f>IF(B11&gt;0,(VLOOKUP(J11,'Valve Reference'!$A$2:$K$389,4)),"-")</f>
        <v>Standard</v>
      </c>
      <c r="L11" s="276" t="str">
        <f>IF(B11&gt;0,(VLOOKUP(J11,'Valve Reference'!$A$2:$K$389,5)),"-")</f>
        <v>BR</v>
      </c>
      <c r="M11" s="276" t="str">
        <f>IF(B11&gt;0,(VLOOKUP(J11,'Valve Reference'!$A$2:$K$389,8)),"-")</f>
        <v>Linear</v>
      </c>
      <c r="N11" s="276" t="str">
        <f>IF(B11&gt;0,(VLOOKUP(J11,'Valve Reference'!$A$2:$K$389,10)),"-")</f>
        <v>FxF</v>
      </c>
      <c r="O11" s="277" t="str">
        <f>IF(B11&gt;0,(VLOOKUP(J11,'Valve Reference'!$A$2:$K$389,11)),"-")</f>
        <v>Globe-Powermite</v>
      </c>
      <c r="P11" s="278" t="str">
        <f>IF(B11&gt;0,(VLOOKUP(I11,'Actuator Reference'!$A$2:$H$54,2)),"-")</f>
        <v>SSC81U</v>
      </c>
      <c r="Q11" s="278" t="str">
        <f>IF(B11&gt;0,(VLOOKUP(I11,'Actuator Reference'!$A$2:$H$54,5)),"-")</f>
        <v>Float</v>
      </c>
      <c r="R11" s="278" t="str">
        <f>IF(B11&gt;0,(VLOOKUP(I11,'Actuator Reference'!$A$2:$H$54,6)),"-")</f>
        <v>NSR</v>
      </c>
      <c r="S11" s="278" t="str">
        <f>IF(B11&gt;0,(VLOOKUP(I11,'Actuator Reference'!$A$2:$H$54,7)),"-")</f>
        <v>24V</v>
      </c>
      <c r="T11" s="279" t="str">
        <f>IF(B11&gt;0,(VLOOKUP(I11,'Actuator Reference'!$A$2:$H$54,8)),"-")</f>
        <v>MT-Series</v>
      </c>
      <c r="AD11" s="38"/>
      <c r="AE11" s="38"/>
      <c r="AF11" s="35">
        <v>1</v>
      </c>
      <c r="AG11" s="35" t="s">
        <v>1097</v>
      </c>
      <c r="AH11" s="38" t="str">
        <f t="shared" si="2"/>
        <v>259-02041</v>
      </c>
      <c r="AI11" s="264">
        <f t="shared" si="3"/>
        <v>0</v>
      </c>
    </row>
    <row r="12" spans="1:35" ht="14.25">
      <c r="A12" s="275">
        <f>'Box Schedule'!$A17</f>
        <v>0</v>
      </c>
      <c r="B12" s="262">
        <v>9</v>
      </c>
      <c r="C12" s="229" t="str">
        <f>IF((B12&gt;0),(VLOOKUP(J12,'Valve Reference'!$A$2:$K$389,3)),"-")</f>
        <v>0.75</v>
      </c>
      <c r="D12" s="230" t="s">
        <v>577</v>
      </c>
      <c r="E12" s="231">
        <f>IF((B12&gt;0),('Vlookup Tables'!$B$37),"-")</f>
        <v>5</v>
      </c>
      <c r="F12" s="51">
        <f t="shared" si="0"/>
        <v>4.0249223594996213</v>
      </c>
      <c r="G12" s="228">
        <f>IF((B12&gt;0),(VLOOKUP($B12,'Vlookup Tables'!$B$23:$F$33,2,TRUE)),"-")</f>
        <v>6.3</v>
      </c>
      <c r="H12" s="52">
        <f t="shared" si="1"/>
        <v>2.0408163265306127</v>
      </c>
      <c r="I12" s="50">
        <f>IF((B12&gt;0),('Vlookup Tables'!$B$35),"-")</f>
        <v>259</v>
      </c>
      <c r="J12" s="265" t="str">
        <f>IF(B12&gt;0,(IF(D12="2-Way",VLOOKUP($G12,'Vlookup Tables'!$C$23:$F$33,2,FALSE),VLOOKUP($G12,'Vlookup Tables'!$C$23:$F$33,3,FALSE))),"-")</f>
        <v>02044</v>
      </c>
      <c r="K12" s="276" t="str">
        <f>IF(B12&gt;0,(VLOOKUP(J12,'Valve Reference'!$A$2:$K$389,4)),"-")</f>
        <v>Standard</v>
      </c>
      <c r="L12" s="276" t="str">
        <f>IF(B12&gt;0,(VLOOKUP(J12,'Valve Reference'!$A$2:$K$389,5)),"-")</f>
        <v>BR</v>
      </c>
      <c r="M12" s="276" t="str">
        <f>IF(B12&gt;0,(VLOOKUP(J12,'Valve Reference'!$A$2:$K$389,8)),"-")</f>
        <v>Linear</v>
      </c>
      <c r="N12" s="276" t="str">
        <f>IF(B12&gt;0,(VLOOKUP(J12,'Valve Reference'!$A$2:$K$389,10)),"-")</f>
        <v>FxF</v>
      </c>
      <c r="O12" s="277" t="str">
        <f>IF(B12&gt;0,(VLOOKUP(J12,'Valve Reference'!$A$2:$K$389,11)),"-")</f>
        <v>Globe-Powermite</v>
      </c>
      <c r="P12" s="278" t="str">
        <f>IF(B12&gt;0,(VLOOKUP(I12,'Actuator Reference'!$A$2:$H$54,2)),"-")</f>
        <v>SSC81U</v>
      </c>
      <c r="Q12" s="278" t="str">
        <f>IF(B12&gt;0,(VLOOKUP(I12,'Actuator Reference'!$A$2:$H$54,5)),"-")</f>
        <v>Float</v>
      </c>
      <c r="R12" s="278" t="str">
        <f>IF(B12&gt;0,(VLOOKUP(I12,'Actuator Reference'!$A$2:$H$54,6)),"-")</f>
        <v>NSR</v>
      </c>
      <c r="S12" s="278" t="str">
        <f>IF(B12&gt;0,(VLOOKUP(I12,'Actuator Reference'!$A$2:$H$54,7)),"-")</f>
        <v>24V</v>
      </c>
      <c r="T12" s="279" t="str">
        <f>IF(B12&gt;0,(VLOOKUP(I12,'Actuator Reference'!$A$2:$H$54,8)),"-")</f>
        <v>MT-Series</v>
      </c>
      <c r="AD12" s="38"/>
      <c r="AE12" s="38"/>
      <c r="AF12" s="35">
        <v>1</v>
      </c>
      <c r="AG12" s="35" t="s">
        <v>1097</v>
      </c>
      <c r="AH12" s="38" t="str">
        <f t="shared" si="2"/>
        <v>259-02044</v>
      </c>
      <c r="AI12" s="264">
        <f t="shared" si="3"/>
        <v>0</v>
      </c>
    </row>
    <row r="13" spans="1:35" ht="14.25">
      <c r="A13" s="275" t="e">
        <f>'Box Schedule'!#REF!</f>
        <v>#REF!</v>
      </c>
      <c r="B13" s="262">
        <v>1</v>
      </c>
      <c r="C13" s="229" t="str">
        <f>IF((B13&gt;0),(VLOOKUP(J13,'Valve Reference'!$A$2:$K$389,3)),"-")</f>
        <v>0.5</v>
      </c>
      <c r="D13" s="230" t="s">
        <v>577</v>
      </c>
      <c r="E13" s="231">
        <f>IF((B13&gt;0),('Vlookup Tables'!$B$37),"-")</f>
        <v>5</v>
      </c>
      <c r="F13" s="51">
        <f t="shared" si="0"/>
        <v>0.44721359549995793</v>
      </c>
      <c r="G13" s="228">
        <f>IF((B13&gt;0),(VLOOKUP($B13,'Vlookup Tables'!$B$23:$F$33,2,TRUE)),"-")</f>
        <v>0.63</v>
      </c>
      <c r="H13" s="52">
        <f t="shared" si="1"/>
        <v>2.5195263290501382</v>
      </c>
      <c r="I13" s="50">
        <f>IF((B13&gt;0),('Vlookup Tables'!$B$35),"-")</f>
        <v>259</v>
      </c>
      <c r="J13" s="265" t="str">
        <f>IF(B13&gt;0,(IF(D13="2-Way",VLOOKUP($G13,'Vlookup Tables'!$C$23:$F$33,2,FALSE),VLOOKUP($G13,'Vlookup Tables'!$C$23:$F$33,3,FALSE))),"-")</f>
        <v>02032</v>
      </c>
      <c r="K13" s="276" t="str">
        <f>IF(B13&gt;0,(VLOOKUP(J13,'Valve Reference'!$A$2:$K$389,4)),"-")</f>
        <v>Standard</v>
      </c>
      <c r="L13" s="276" t="str">
        <f>IF(B13&gt;0,(VLOOKUP(J13,'Valve Reference'!$A$2:$K$389,5)),"-")</f>
        <v>BR</v>
      </c>
      <c r="M13" s="276" t="str">
        <f>IF(B13&gt;0,(VLOOKUP(J13,'Valve Reference'!$A$2:$K$389,8)),"-")</f>
        <v>Linear</v>
      </c>
      <c r="N13" s="276" t="str">
        <f>IF(B13&gt;0,(VLOOKUP(J13,'Valve Reference'!$A$2:$K$389,10)),"-")</f>
        <v>FxF</v>
      </c>
      <c r="O13" s="277" t="str">
        <f>IF(B13&gt;0,(VLOOKUP(J13,'Valve Reference'!$A$2:$K$389,11)),"-")</f>
        <v>Globe-Powermite</v>
      </c>
      <c r="P13" s="278" t="str">
        <f>IF(B13&gt;0,(VLOOKUP(I13,'Actuator Reference'!$A$2:$H$54,2)),"-")</f>
        <v>SSC81U</v>
      </c>
      <c r="Q13" s="278" t="str">
        <f>IF(B13&gt;0,(VLOOKUP(I13,'Actuator Reference'!$A$2:$H$54,5)),"-")</f>
        <v>Float</v>
      </c>
      <c r="R13" s="278" t="str">
        <f>IF(B13&gt;0,(VLOOKUP(I13,'Actuator Reference'!$A$2:$H$54,6)),"-")</f>
        <v>NSR</v>
      </c>
      <c r="S13" s="278" t="str">
        <f>IF(B13&gt;0,(VLOOKUP(I13,'Actuator Reference'!$A$2:$H$54,7)),"-")</f>
        <v>24V</v>
      </c>
      <c r="T13" s="279" t="str">
        <f>IF(B13&gt;0,(VLOOKUP(I13,'Actuator Reference'!$A$2:$H$54,8)),"-")</f>
        <v>MT-Series</v>
      </c>
      <c r="AD13" s="38"/>
      <c r="AE13" s="38"/>
      <c r="AF13" s="35">
        <v>1</v>
      </c>
      <c r="AG13" s="35" t="s">
        <v>1097</v>
      </c>
      <c r="AH13" s="38" t="str">
        <f t="shared" si="2"/>
        <v>259-02032</v>
      </c>
      <c r="AI13" s="264" t="e">
        <f t="shared" si="3"/>
        <v>#REF!</v>
      </c>
    </row>
    <row r="14" spans="1:35" ht="14.25">
      <c r="A14" s="275">
        <f>'Box Schedule'!$A18</f>
        <v>0</v>
      </c>
      <c r="B14" s="262">
        <v>2</v>
      </c>
      <c r="C14" s="229" t="str">
        <f>IF((B14&gt;0),(VLOOKUP(J14,'Valve Reference'!$A$2:$K$389,3)),"-")</f>
        <v>0.5</v>
      </c>
      <c r="D14" s="230" t="s">
        <v>577</v>
      </c>
      <c r="E14" s="231">
        <f>IF((B14&gt;0),('Vlookup Tables'!$B$37),"-")</f>
        <v>5</v>
      </c>
      <c r="F14" s="51">
        <f t="shared" si="0"/>
        <v>0.89442719099991586</v>
      </c>
      <c r="G14" s="228">
        <f>IF((B14&gt;0),(VLOOKUP($B14,'Vlookup Tables'!$B$23:$F$33,2,TRUE)),"-")</f>
        <v>1</v>
      </c>
      <c r="H14" s="52">
        <f t="shared" si="1"/>
        <v>4</v>
      </c>
      <c r="I14" s="50">
        <f>IF((B14&gt;0),('Vlookup Tables'!$B$35),"-")</f>
        <v>259</v>
      </c>
      <c r="J14" s="265" t="str">
        <f>IF(B14&gt;0,(IF(D14="2-Way",VLOOKUP($G14,'Vlookup Tables'!$C$23:$F$33,2,FALSE),VLOOKUP($G14,'Vlookup Tables'!$C$23:$F$33,3,FALSE))),"-")</f>
        <v>02034</v>
      </c>
      <c r="K14" s="276" t="str">
        <f>IF(B14&gt;0,(VLOOKUP(J14,'Valve Reference'!$A$2:$K$389,4)),"-")</f>
        <v>Standard</v>
      </c>
      <c r="L14" s="276" t="str">
        <f>IF(B14&gt;0,(VLOOKUP(J14,'Valve Reference'!$A$2:$K$389,5)),"-")</f>
        <v>BR</v>
      </c>
      <c r="M14" s="276" t="str">
        <f>IF(B14&gt;0,(VLOOKUP(J14,'Valve Reference'!$A$2:$K$389,8)),"-")</f>
        <v>Linear</v>
      </c>
      <c r="N14" s="276" t="str">
        <f>IF(B14&gt;0,(VLOOKUP(J14,'Valve Reference'!$A$2:$K$389,10)),"-")</f>
        <v>FxF</v>
      </c>
      <c r="O14" s="277" t="str">
        <f>IF(B14&gt;0,(VLOOKUP(J14,'Valve Reference'!$A$2:$K$389,11)),"-")</f>
        <v>Globe-Powermite</v>
      </c>
      <c r="P14" s="278" t="str">
        <f>IF(B14&gt;0,(VLOOKUP(I14,'Actuator Reference'!$A$2:$H$54,2)),"-")</f>
        <v>SSC81U</v>
      </c>
      <c r="Q14" s="278" t="str">
        <f>IF(B14&gt;0,(VLOOKUP(I14,'Actuator Reference'!$A$2:$H$54,5)),"-")</f>
        <v>Float</v>
      </c>
      <c r="R14" s="278" t="str">
        <f>IF(B14&gt;0,(VLOOKUP(I14,'Actuator Reference'!$A$2:$H$54,6)),"-")</f>
        <v>NSR</v>
      </c>
      <c r="S14" s="278" t="str">
        <f>IF(B14&gt;0,(VLOOKUP(I14,'Actuator Reference'!$A$2:$H$54,7)),"-")</f>
        <v>24V</v>
      </c>
      <c r="T14" s="279" t="str">
        <f>IF(B14&gt;0,(VLOOKUP(I14,'Actuator Reference'!$A$2:$H$54,8)),"-")</f>
        <v>MT-Series</v>
      </c>
      <c r="AD14" s="38"/>
      <c r="AE14" s="38"/>
      <c r="AF14" s="35">
        <v>1</v>
      </c>
      <c r="AG14" s="35" t="s">
        <v>1097</v>
      </c>
      <c r="AH14" s="38" t="str">
        <f t="shared" si="2"/>
        <v>259-02034</v>
      </c>
      <c r="AI14" s="264">
        <f t="shared" si="3"/>
        <v>0</v>
      </c>
    </row>
    <row r="15" spans="1:35" ht="14.25">
      <c r="A15" s="275">
        <f>'Box Schedule'!$A19</f>
        <v>0</v>
      </c>
      <c r="B15" s="262">
        <v>3</v>
      </c>
      <c r="C15" s="229" t="str">
        <f>IF((B15&gt;0),(VLOOKUP(J15,'Valve Reference'!$A$2:$K$389,3)),"-")</f>
        <v>0.5</v>
      </c>
      <c r="D15" s="230" t="s">
        <v>577</v>
      </c>
      <c r="E15" s="231">
        <f>IF((B15&gt;0),('Vlookup Tables'!$B$37),"-")</f>
        <v>5</v>
      </c>
      <c r="F15" s="51">
        <f t="shared" si="0"/>
        <v>1.3416407864998738</v>
      </c>
      <c r="G15" s="228">
        <f>IF((B15&gt;0),(VLOOKUP($B15,'Vlookup Tables'!$B$23:$F$33,2,TRUE)),"-")</f>
        <v>1.6</v>
      </c>
      <c r="H15" s="52">
        <f t="shared" si="1"/>
        <v>3.515625</v>
      </c>
      <c r="I15" s="50">
        <f>IF((B15&gt;0),('Vlookup Tables'!$B$35),"-")</f>
        <v>259</v>
      </c>
      <c r="J15" s="265" t="str">
        <f>IF(B15&gt;0,(IF(D15="2-Way",VLOOKUP($G15,'Vlookup Tables'!$C$23:$F$33,2,FALSE),VLOOKUP($G15,'Vlookup Tables'!$C$23:$F$33,3,FALSE))),"-")</f>
        <v>02036</v>
      </c>
      <c r="K15" s="276" t="str">
        <f>IF(B15&gt;0,(VLOOKUP(J15,'Valve Reference'!$A$2:$K$389,4)),"-")</f>
        <v>Standard</v>
      </c>
      <c r="L15" s="276" t="str">
        <f>IF(B15&gt;0,(VLOOKUP(J15,'Valve Reference'!$A$2:$K$389,5)),"-")</f>
        <v>BR</v>
      </c>
      <c r="M15" s="276" t="str">
        <f>IF(B15&gt;0,(VLOOKUP(J15,'Valve Reference'!$A$2:$K$389,8)),"-")</f>
        <v>Linear</v>
      </c>
      <c r="N15" s="276" t="str">
        <f>IF(B15&gt;0,(VLOOKUP(J15,'Valve Reference'!$A$2:$K$389,10)),"-")</f>
        <v>FxF</v>
      </c>
      <c r="O15" s="277" t="str">
        <f>IF(B15&gt;0,(VLOOKUP(J15,'Valve Reference'!$A$2:$K$389,11)),"-")</f>
        <v>Globe-Powermite</v>
      </c>
      <c r="P15" s="278" t="str">
        <f>IF(B15&gt;0,(VLOOKUP(I15,'Actuator Reference'!$A$2:$H$54,2)),"-")</f>
        <v>SSC81U</v>
      </c>
      <c r="Q15" s="278" t="str">
        <f>IF(B15&gt;0,(VLOOKUP(I15,'Actuator Reference'!$A$2:$H$54,5)),"-")</f>
        <v>Float</v>
      </c>
      <c r="R15" s="278" t="str">
        <f>IF(B15&gt;0,(VLOOKUP(I15,'Actuator Reference'!$A$2:$H$54,6)),"-")</f>
        <v>NSR</v>
      </c>
      <c r="S15" s="278" t="str">
        <f>IF(B15&gt;0,(VLOOKUP(I15,'Actuator Reference'!$A$2:$H$54,7)),"-")</f>
        <v>24V</v>
      </c>
      <c r="T15" s="279" t="str">
        <f>IF(B15&gt;0,(VLOOKUP(I15,'Actuator Reference'!$A$2:$H$54,8)),"-")</f>
        <v>MT-Series</v>
      </c>
      <c r="AD15" s="38"/>
      <c r="AE15" s="38"/>
      <c r="AF15" s="35">
        <v>1</v>
      </c>
      <c r="AG15" s="35" t="s">
        <v>1097</v>
      </c>
      <c r="AH15" s="38" t="str">
        <f t="shared" si="2"/>
        <v>259-02036</v>
      </c>
      <c r="AI15" s="264">
        <f t="shared" si="3"/>
        <v>0</v>
      </c>
    </row>
    <row r="16" spans="1:35" ht="14.25">
      <c r="A16" s="275">
        <f>'Box Schedule'!$A20</f>
        <v>0</v>
      </c>
      <c r="B16" s="262">
        <v>4</v>
      </c>
      <c r="C16" s="229" t="str">
        <f>IF((B16&gt;0),(VLOOKUP(J16,'Valve Reference'!$A$2:$K$389,3)),"-")</f>
        <v>0.5</v>
      </c>
      <c r="D16" s="230" t="s">
        <v>577</v>
      </c>
      <c r="E16" s="231">
        <f>IF((B16&gt;0),('Vlookup Tables'!$B$37),"-")</f>
        <v>5</v>
      </c>
      <c r="F16" s="51">
        <f t="shared" si="0"/>
        <v>1.7888543819998317</v>
      </c>
      <c r="G16" s="228">
        <f>IF((B16&gt;0),(VLOOKUP($B16,'Vlookup Tables'!$B$23:$F$33,2,TRUE)),"-")</f>
        <v>2.5</v>
      </c>
      <c r="H16" s="52">
        <f t="shared" si="1"/>
        <v>2.56</v>
      </c>
      <c r="I16" s="50">
        <f>IF((B16&gt;0),('Vlookup Tables'!$B$35),"-")</f>
        <v>259</v>
      </c>
      <c r="J16" s="265" t="str">
        <f>IF(B16&gt;0,(IF(D16="2-Way",VLOOKUP($G16,'Vlookup Tables'!$C$23:$F$33,2,FALSE),VLOOKUP($G16,'Vlookup Tables'!$C$23:$F$33,3,FALSE))),"-")</f>
        <v>02038</v>
      </c>
      <c r="K16" s="276" t="str">
        <f>IF(B16&gt;0,(VLOOKUP(J16,'Valve Reference'!$A$2:$K$389,4)),"-")</f>
        <v>Standard</v>
      </c>
      <c r="L16" s="276" t="str">
        <f>IF(B16&gt;0,(VLOOKUP(J16,'Valve Reference'!$A$2:$K$389,5)),"-")</f>
        <v>BR</v>
      </c>
      <c r="M16" s="276" t="str">
        <f>IF(B16&gt;0,(VLOOKUP(J16,'Valve Reference'!$A$2:$K$389,8)),"-")</f>
        <v>Linear</v>
      </c>
      <c r="N16" s="276" t="str">
        <f>IF(B16&gt;0,(VLOOKUP(J16,'Valve Reference'!$A$2:$K$389,10)),"-")</f>
        <v>FxF</v>
      </c>
      <c r="O16" s="277" t="str">
        <f>IF(B16&gt;0,(VLOOKUP(J16,'Valve Reference'!$A$2:$K$389,11)),"-")</f>
        <v>Globe-Powermite</v>
      </c>
      <c r="P16" s="278" t="str">
        <f>IF(B16&gt;0,(VLOOKUP(I16,'Actuator Reference'!$A$2:$H$54,2)),"-")</f>
        <v>SSC81U</v>
      </c>
      <c r="Q16" s="278" t="str">
        <f>IF(B16&gt;0,(VLOOKUP(I16,'Actuator Reference'!$A$2:$H$54,5)),"-")</f>
        <v>Float</v>
      </c>
      <c r="R16" s="278" t="str">
        <f>IF(B16&gt;0,(VLOOKUP(I16,'Actuator Reference'!$A$2:$H$54,6)),"-")</f>
        <v>NSR</v>
      </c>
      <c r="S16" s="278" t="str">
        <f>IF(B16&gt;0,(VLOOKUP(I16,'Actuator Reference'!$A$2:$H$54,7)),"-")</f>
        <v>24V</v>
      </c>
      <c r="T16" s="279" t="str">
        <f>IF(B16&gt;0,(VLOOKUP(I16,'Actuator Reference'!$A$2:$H$54,8)),"-")</f>
        <v>MT-Series</v>
      </c>
      <c r="AD16" s="38"/>
      <c r="AE16" s="38"/>
      <c r="AF16" s="35">
        <v>1</v>
      </c>
      <c r="AG16" s="35" t="s">
        <v>1097</v>
      </c>
      <c r="AH16" s="38" t="str">
        <f t="shared" si="2"/>
        <v>259-02038</v>
      </c>
      <c r="AI16" s="264">
        <f t="shared" si="3"/>
        <v>0</v>
      </c>
    </row>
    <row r="17" spans="1:35" ht="14.25">
      <c r="A17" s="275">
        <f>'Box Schedule'!$A21</f>
        <v>0</v>
      </c>
      <c r="B17" s="262">
        <v>5</v>
      </c>
      <c r="C17" s="229" t="str">
        <f>IF((B17&gt;0),(VLOOKUP(J17,'Valve Reference'!$A$2:$K$389,3)),"-")</f>
        <v>0.5</v>
      </c>
      <c r="D17" s="230" t="s">
        <v>577</v>
      </c>
      <c r="E17" s="231">
        <f>IF((B17&gt;0),('Vlookup Tables'!$B$37),"-")</f>
        <v>5</v>
      </c>
      <c r="F17" s="51">
        <f t="shared" si="0"/>
        <v>2.2360679774997898</v>
      </c>
      <c r="G17" s="228">
        <f>IF((B17&gt;0),(VLOOKUP($B17,'Vlookup Tables'!$B$23:$F$33,2,TRUE)),"-")</f>
        <v>2.5</v>
      </c>
      <c r="H17" s="52">
        <f t="shared" si="1"/>
        <v>4</v>
      </c>
      <c r="I17" s="50">
        <f>IF((B17&gt;0),('Vlookup Tables'!$B$35),"-")</f>
        <v>259</v>
      </c>
      <c r="J17" s="265" t="str">
        <f>IF(B17&gt;0,(IF(D17="2-Way",VLOOKUP($G17,'Vlookup Tables'!$C$23:$F$33,2,FALSE),VLOOKUP($G17,'Vlookup Tables'!$C$23:$F$33,3,FALSE))),"-")</f>
        <v>02038</v>
      </c>
      <c r="K17" s="276" t="str">
        <f>IF(B17&gt;0,(VLOOKUP(J17,'Valve Reference'!$A$2:$K$389,4)),"-")</f>
        <v>Standard</v>
      </c>
      <c r="L17" s="276" t="str">
        <f>IF(B17&gt;0,(VLOOKUP(J17,'Valve Reference'!$A$2:$K$389,5)),"-")</f>
        <v>BR</v>
      </c>
      <c r="M17" s="276" t="str">
        <f>IF(B17&gt;0,(VLOOKUP(J17,'Valve Reference'!$A$2:$K$389,8)),"-")</f>
        <v>Linear</v>
      </c>
      <c r="N17" s="276" t="str">
        <f>IF(B17&gt;0,(VLOOKUP(J17,'Valve Reference'!$A$2:$K$389,10)),"-")</f>
        <v>FxF</v>
      </c>
      <c r="O17" s="277" t="str">
        <f>IF(B17&gt;0,(VLOOKUP(J17,'Valve Reference'!$A$2:$K$389,11)),"-")</f>
        <v>Globe-Powermite</v>
      </c>
      <c r="P17" s="278" t="str">
        <f>IF(B17&gt;0,(VLOOKUP(I17,'Actuator Reference'!$A$2:$H$54,2)),"-")</f>
        <v>SSC81U</v>
      </c>
      <c r="Q17" s="278" t="str">
        <f>IF(B17&gt;0,(VLOOKUP(I17,'Actuator Reference'!$A$2:$H$54,5)),"-")</f>
        <v>Float</v>
      </c>
      <c r="R17" s="278" t="str">
        <f>IF(B17&gt;0,(VLOOKUP(I17,'Actuator Reference'!$A$2:$H$54,6)),"-")</f>
        <v>NSR</v>
      </c>
      <c r="S17" s="278" t="str">
        <f>IF(B17&gt;0,(VLOOKUP(I17,'Actuator Reference'!$A$2:$H$54,7)),"-")</f>
        <v>24V</v>
      </c>
      <c r="T17" s="279" t="str">
        <f>IF(B17&gt;0,(VLOOKUP(I17,'Actuator Reference'!$A$2:$H$54,8)),"-")</f>
        <v>MT-Series</v>
      </c>
      <c r="AD17" s="38"/>
      <c r="AE17" s="38"/>
      <c r="AF17" s="35">
        <v>1</v>
      </c>
      <c r="AG17" s="35" t="s">
        <v>1097</v>
      </c>
      <c r="AH17" s="38" t="str">
        <f t="shared" si="2"/>
        <v>259-02038</v>
      </c>
      <c r="AI17" s="264">
        <f t="shared" si="3"/>
        <v>0</v>
      </c>
    </row>
    <row r="18" spans="1:35" ht="14.25">
      <c r="A18" s="275">
        <f>'Box Schedule'!$A22</f>
        <v>0</v>
      </c>
      <c r="B18" s="262">
        <v>6</v>
      </c>
      <c r="C18" s="229" t="str">
        <f>IF((B18&gt;0),(VLOOKUP(J18,'Valve Reference'!$A$2:$K$389,3)),"-")</f>
        <v>0.5</v>
      </c>
      <c r="D18" s="230" t="s">
        <v>577</v>
      </c>
      <c r="E18" s="231">
        <f>IF((B18&gt;0),('Vlookup Tables'!$B$37),"-")</f>
        <v>5</v>
      </c>
      <c r="F18" s="51">
        <f t="shared" si="0"/>
        <v>2.6832815729997477</v>
      </c>
      <c r="G18" s="228">
        <f>IF((B18&gt;0),(VLOOKUP($B18,'Vlookup Tables'!$B$23:$F$33,2,TRUE)),"-")</f>
        <v>4</v>
      </c>
      <c r="H18" s="52">
        <f t="shared" si="1"/>
        <v>2.25</v>
      </c>
      <c r="I18" s="50">
        <f>IF((B18&gt;0),('Vlookup Tables'!$B$35),"-")</f>
        <v>259</v>
      </c>
      <c r="J18" s="265" t="str">
        <f>IF(B18&gt;0,(IF(D18="2-Way",VLOOKUP($G18,'Vlookup Tables'!$C$23:$F$33,2,FALSE),VLOOKUP($G18,'Vlookup Tables'!$C$23:$F$33,3,FALSE))),"-")</f>
        <v>02041</v>
      </c>
      <c r="K18" s="276" t="str">
        <f>IF(B18&gt;0,(VLOOKUP(J18,'Valve Reference'!$A$2:$K$389,4)),"-")</f>
        <v>Standard</v>
      </c>
      <c r="L18" s="276" t="str">
        <f>IF(B18&gt;0,(VLOOKUP(J18,'Valve Reference'!$A$2:$K$389,5)),"-")</f>
        <v>BR</v>
      </c>
      <c r="M18" s="276" t="str">
        <f>IF(B18&gt;0,(VLOOKUP(J18,'Valve Reference'!$A$2:$K$389,8)),"-")</f>
        <v>Linear</v>
      </c>
      <c r="N18" s="276" t="str">
        <f>IF(B18&gt;0,(VLOOKUP(J18,'Valve Reference'!$A$2:$K$389,10)),"-")</f>
        <v>FxF</v>
      </c>
      <c r="O18" s="277" t="str">
        <f>IF(B18&gt;0,(VLOOKUP(J18,'Valve Reference'!$A$2:$K$389,11)),"-")</f>
        <v>Globe-Powermite</v>
      </c>
      <c r="P18" s="278" t="str">
        <f>IF(B18&gt;0,(VLOOKUP(I18,'Actuator Reference'!$A$2:$H$54,2)),"-")</f>
        <v>SSC81U</v>
      </c>
      <c r="Q18" s="278" t="str">
        <f>IF(B18&gt;0,(VLOOKUP(I18,'Actuator Reference'!$A$2:$H$54,5)),"-")</f>
        <v>Float</v>
      </c>
      <c r="R18" s="278" t="str">
        <f>IF(B18&gt;0,(VLOOKUP(I18,'Actuator Reference'!$A$2:$H$54,6)),"-")</f>
        <v>NSR</v>
      </c>
      <c r="S18" s="278" t="str">
        <f>IF(B18&gt;0,(VLOOKUP(I18,'Actuator Reference'!$A$2:$H$54,7)),"-")</f>
        <v>24V</v>
      </c>
      <c r="T18" s="279" t="str">
        <f>IF(B18&gt;0,(VLOOKUP(I18,'Actuator Reference'!$A$2:$H$54,8)),"-")</f>
        <v>MT-Series</v>
      </c>
      <c r="AD18" s="38"/>
      <c r="AE18" s="38"/>
      <c r="AF18" s="35">
        <v>1</v>
      </c>
      <c r="AG18" s="35" t="s">
        <v>1097</v>
      </c>
      <c r="AH18" s="38" t="str">
        <f t="shared" si="2"/>
        <v>259-02041</v>
      </c>
      <c r="AI18" s="264">
        <f t="shared" si="3"/>
        <v>0</v>
      </c>
    </row>
    <row r="19" spans="1:35" ht="14.25">
      <c r="A19" s="275">
        <f>'Box Schedule'!$A23</f>
        <v>0</v>
      </c>
      <c r="B19" s="262">
        <v>7</v>
      </c>
      <c r="C19" s="229" t="str">
        <f>IF((B19&gt;0),(VLOOKUP(J19,'Valve Reference'!$A$2:$K$389,3)),"-")</f>
        <v>0.5</v>
      </c>
      <c r="D19" s="230" t="s">
        <v>577</v>
      </c>
      <c r="E19" s="231">
        <f>IF((B19&gt;0),('Vlookup Tables'!$B$37),"-")</f>
        <v>5</v>
      </c>
      <c r="F19" s="51">
        <f t="shared" si="0"/>
        <v>3.1304951684997055</v>
      </c>
      <c r="G19" s="228">
        <f>IF((B19&gt;0),(VLOOKUP($B19,'Vlookup Tables'!$B$23:$F$33,2,TRUE)),"-")</f>
        <v>4</v>
      </c>
      <c r="H19" s="52">
        <f t="shared" si="1"/>
        <v>3.0625000000000004</v>
      </c>
      <c r="I19" s="50">
        <f>IF((B19&gt;0),('Vlookup Tables'!$B$35),"-")</f>
        <v>259</v>
      </c>
      <c r="J19" s="265" t="str">
        <f>IF(B19&gt;0,(IF(D19="2-Way",VLOOKUP($G19,'Vlookup Tables'!$C$23:$F$33,2,FALSE),VLOOKUP($G19,'Vlookup Tables'!$C$23:$F$33,3,FALSE))),"-")</f>
        <v>02041</v>
      </c>
      <c r="K19" s="276" t="str">
        <f>IF(B19&gt;0,(VLOOKUP(J19,'Valve Reference'!$A$2:$K$389,4)),"-")</f>
        <v>Standard</v>
      </c>
      <c r="L19" s="276" t="str">
        <f>IF(B19&gt;0,(VLOOKUP(J19,'Valve Reference'!$A$2:$K$389,5)),"-")</f>
        <v>BR</v>
      </c>
      <c r="M19" s="276" t="str">
        <f>IF(B19&gt;0,(VLOOKUP(J19,'Valve Reference'!$A$2:$K$389,8)),"-")</f>
        <v>Linear</v>
      </c>
      <c r="N19" s="276" t="str">
        <f>IF(B19&gt;0,(VLOOKUP(J19,'Valve Reference'!$A$2:$K$389,10)),"-")</f>
        <v>FxF</v>
      </c>
      <c r="O19" s="277" t="str">
        <f>IF(B19&gt;0,(VLOOKUP(J19,'Valve Reference'!$A$2:$K$389,11)),"-")</f>
        <v>Globe-Powermite</v>
      </c>
      <c r="P19" s="278" t="str">
        <f>IF(B19&gt;0,(VLOOKUP(I19,'Actuator Reference'!$A$2:$H$54,2)),"-")</f>
        <v>SSC81U</v>
      </c>
      <c r="Q19" s="278" t="str">
        <f>IF(B19&gt;0,(VLOOKUP(I19,'Actuator Reference'!$A$2:$H$54,5)),"-")</f>
        <v>Float</v>
      </c>
      <c r="R19" s="278" t="str">
        <f>IF(B19&gt;0,(VLOOKUP(I19,'Actuator Reference'!$A$2:$H$54,6)),"-")</f>
        <v>NSR</v>
      </c>
      <c r="S19" s="278" t="str">
        <f>IF(B19&gt;0,(VLOOKUP(I19,'Actuator Reference'!$A$2:$H$54,7)),"-")</f>
        <v>24V</v>
      </c>
      <c r="T19" s="279" t="str">
        <f>IF(B19&gt;0,(VLOOKUP(I19,'Actuator Reference'!$A$2:$H$54,8)),"-")</f>
        <v>MT-Series</v>
      </c>
      <c r="AD19" s="38"/>
      <c r="AE19" s="38"/>
      <c r="AF19" s="35">
        <v>1</v>
      </c>
      <c r="AG19" s="35" t="s">
        <v>1097</v>
      </c>
      <c r="AH19" s="38" t="str">
        <f t="shared" si="2"/>
        <v>259-02041</v>
      </c>
      <c r="AI19" s="264">
        <f t="shared" si="3"/>
        <v>0</v>
      </c>
    </row>
    <row r="20" spans="1:35" ht="14.25">
      <c r="A20" s="275">
        <f>'Box Schedule'!$A24</f>
        <v>0</v>
      </c>
      <c r="B20" s="262">
        <v>8</v>
      </c>
      <c r="C20" s="229" t="str">
        <f>IF((B20&gt;0),(VLOOKUP(J20,'Valve Reference'!$A$2:$K$389,3)),"-")</f>
        <v>0.5</v>
      </c>
      <c r="D20" s="230" t="s">
        <v>577</v>
      </c>
      <c r="E20" s="231">
        <f>IF((B20&gt;0),('Vlookup Tables'!$B$37),"-")</f>
        <v>5</v>
      </c>
      <c r="F20" s="51">
        <f t="shared" si="0"/>
        <v>3.5777087639996634</v>
      </c>
      <c r="G20" s="228">
        <f>IF((B20&gt;0),(VLOOKUP($B20,'Vlookup Tables'!$B$23:$F$33,2,TRUE)),"-")</f>
        <v>4</v>
      </c>
      <c r="H20" s="52">
        <f t="shared" si="1"/>
        <v>4</v>
      </c>
      <c r="I20" s="50">
        <f>IF((B20&gt;0),('Vlookup Tables'!$B$35),"-")</f>
        <v>259</v>
      </c>
      <c r="J20" s="265" t="str">
        <f>IF(B20&gt;0,(IF(D20="2-Way",VLOOKUP($G20,'Vlookup Tables'!$C$23:$F$33,2,FALSE),VLOOKUP($G20,'Vlookup Tables'!$C$23:$F$33,3,FALSE))),"-")</f>
        <v>02041</v>
      </c>
      <c r="K20" s="276" t="str">
        <f>IF(B20&gt;0,(VLOOKUP(J20,'Valve Reference'!$A$2:$K$389,4)),"-")</f>
        <v>Standard</v>
      </c>
      <c r="L20" s="276" t="str">
        <f>IF(B20&gt;0,(VLOOKUP(J20,'Valve Reference'!$A$2:$K$389,5)),"-")</f>
        <v>BR</v>
      </c>
      <c r="M20" s="276" t="str">
        <f>IF(B20&gt;0,(VLOOKUP(J20,'Valve Reference'!$A$2:$K$389,8)),"-")</f>
        <v>Linear</v>
      </c>
      <c r="N20" s="276" t="str">
        <f>IF(B20&gt;0,(VLOOKUP(J20,'Valve Reference'!$A$2:$K$389,10)),"-")</f>
        <v>FxF</v>
      </c>
      <c r="O20" s="277" t="str">
        <f>IF(B20&gt;0,(VLOOKUP(J20,'Valve Reference'!$A$2:$K$389,11)),"-")</f>
        <v>Globe-Powermite</v>
      </c>
      <c r="P20" s="278" t="str">
        <f>IF(B20&gt;0,(VLOOKUP(I20,'Actuator Reference'!$A$2:$H$54,2)),"-")</f>
        <v>SSC81U</v>
      </c>
      <c r="Q20" s="278" t="str">
        <f>IF(B20&gt;0,(VLOOKUP(I20,'Actuator Reference'!$A$2:$H$54,5)),"-")</f>
        <v>Float</v>
      </c>
      <c r="R20" s="278" t="str">
        <f>IF(B20&gt;0,(VLOOKUP(I20,'Actuator Reference'!$A$2:$H$54,6)),"-")</f>
        <v>NSR</v>
      </c>
      <c r="S20" s="278" t="str">
        <f>IF(B20&gt;0,(VLOOKUP(I20,'Actuator Reference'!$A$2:$H$54,7)),"-")</f>
        <v>24V</v>
      </c>
      <c r="T20" s="279" t="str">
        <f>IF(B20&gt;0,(VLOOKUP(I20,'Actuator Reference'!$A$2:$H$54,8)),"-")</f>
        <v>MT-Series</v>
      </c>
      <c r="AD20" s="38"/>
      <c r="AE20" s="38"/>
      <c r="AF20" s="35">
        <v>1</v>
      </c>
      <c r="AG20" s="35" t="s">
        <v>1097</v>
      </c>
      <c r="AH20" s="38" t="str">
        <f t="shared" si="2"/>
        <v>259-02041</v>
      </c>
      <c r="AI20" s="264">
        <f t="shared" si="3"/>
        <v>0</v>
      </c>
    </row>
    <row r="21" spans="1:35" ht="14.25">
      <c r="A21" s="275">
        <f>'Box Schedule'!$A25</f>
        <v>0</v>
      </c>
      <c r="B21" s="262">
        <v>9</v>
      </c>
      <c r="C21" s="229" t="str">
        <f>IF((B21&gt;0),(VLOOKUP(J21,'Valve Reference'!$A$2:$K$389,3)),"-")</f>
        <v>0.75</v>
      </c>
      <c r="D21" s="230" t="s">
        <v>577</v>
      </c>
      <c r="E21" s="231">
        <f>IF((B21&gt;0),('Vlookup Tables'!$B$37),"-")</f>
        <v>5</v>
      </c>
      <c r="F21" s="51">
        <f t="shared" si="0"/>
        <v>4.0249223594996213</v>
      </c>
      <c r="G21" s="228">
        <f>IF((B21&gt;0),(VLOOKUP($B21,'Vlookup Tables'!$B$23:$F$33,2,TRUE)),"-")</f>
        <v>6.3</v>
      </c>
      <c r="H21" s="52">
        <f t="shared" si="1"/>
        <v>2.0408163265306127</v>
      </c>
      <c r="I21" s="50">
        <f>IF((B21&gt;0),('Vlookup Tables'!$B$35),"-")</f>
        <v>259</v>
      </c>
      <c r="J21" s="265" t="str">
        <f>IF(B21&gt;0,(IF(D21="2-Way",VLOOKUP($G21,'Vlookup Tables'!$C$23:$F$33,2,FALSE),VLOOKUP($G21,'Vlookup Tables'!$C$23:$F$33,3,FALSE))),"-")</f>
        <v>02044</v>
      </c>
      <c r="K21" s="276" t="str">
        <f>IF(B21&gt;0,(VLOOKUP(J21,'Valve Reference'!$A$2:$K$389,4)),"-")</f>
        <v>Standard</v>
      </c>
      <c r="L21" s="276" t="str">
        <f>IF(B21&gt;0,(VLOOKUP(J21,'Valve Reference'!$A$2:$K$389,5)),"-")</f>
        <v>BR</v>
      </c>
      <c r="M21" s="276" t="str">
        <f>IF(B21&gt;0,(VLOOKUP(J21,'Valve Reference'!$A$2:$K$389,8)),"-")</f>
        <v>Linear</v>
      </c>
      <c r="N21" s="276" t="str">
        <f>IF(B21&gt;0,(VLOOKUP(J21,'Valve Reference'!$A$2:$K$389,10)),"-")</f>
        <v>FxF</v>
      </c>
      <c r="O21" s="277" t="str">
        <f>IF(B21&gt;0,(VLOOKUP(J21,'Valve Reference'!$A$2:$K$389,11)),"-")</f>
        <v>Globe-Powermite</v>
      </c>
      <c r="P21" s="278" t="str">
        <f>IF(B21&gt;0,(VLOOKUP(I21,'Actuator Reference'!$A$2:$H$54,2)),"-")</f>
        <v>SSC81U</v>
      </c>
      <c r="Q21" s="278" t="str">
        <f>IF(B21&gt;0,(VLOOKUP(I21,'Actuator Reference'!$A$2:$H$54,5)),"-")</f>
        <v>Float</v>
      </c>
      <c r="R21" s="278" t="str">
        <f>IF(B21&gt;0,(VLOOKUP(I21,'Actuator Reference'!$A$2:$H$54,6)),"-")</f>
        <v>NSR</v>
      </c>
      <c r="S21" s="278" t="str">
        <f>IF(B21&gt;0,(VLOOKUP(I21,'Actuator Reference'!$A$2:$H$54,7)),"-")</f>
        <v>24V</v>
      </c>
      <c r="T21" s="279" t="str">
        <f>IF(B21&gt;0,(VLOOKUP(I21,'Actuator Reference'!$A$2:$H$54,8)),"-")</f>
        <v>MT-Series</v>
      </c>
      <c r="AD21" s="38"/>
      <c r="AE21" s="38"/>
      <c r="AF21" s="35">
        <v>1</v>
      </c>
      <c r="AG21" s="35" t="s">
        <v>1097</v>
      </c>
      <c r="AH21" s="38" t="str">
        <f t="shared" si="2"/>
        <v>259-02044</v>
      </c>
      <c r="AI21" s="264">
        <f t="shared" si="3"/>
        <v>0</v>
      </c>
    </row>
    <row r="22" spans="1:35" ht="14.25">
      <c r="A22" s="275">
        <f>'Box Schedule'!$A26</f>
        <v>0</v>
      </c>
      <c r="B22" s="262">
        <v>1</v>
      </c>
      <c r="C22" s="229" t="str">
        <f>IF((B22&gt;0),(VLOOKUP(J22,'Valve Reference'!$A$2:$K$389,3)),"-")</f>
        <v>0.5</v>
      </c>
      <c r="D22" s="230" t="s">
        <v>577</v>
      </c>
      <c r="E22" s="231">
        <f>IF((B22&gt;0),('Vlookup Tables'!$B$37),"-")</f>
        <v>5</v>
      </c>
      <c r="F22" s="51">
        <f t="shared" si="0"/>
        <v>0.44721359549995793</v>
      </c>
      <c r="G22" s="228">
        <f>IF((B22&gt;0),(VLOOKUP($B22,'Vlookup Tables'!$B$23:$F$33,2,TRUE)),"-")</f>
        <v>0.63</v>
      </c>
      <c r="H22" s="52">
        <f t="shared" si="1"/>
        <v>2.5195263290501382</v>
      </c>
      <c r="I22" s="50">
        <f>IF((B22&gt;0),('Vlookup Tables'!$B$35),"-")</f>
        <v>259</v>
      </c>
      <c r="J22" s="265" t="str">
        <f>IF(B22&gt;0,(IF(D22="2-Way",VLOOKUP($G22,'Vlookup Tables'!$C$23:$F$33,2,FALSE),VLOOKUP($G22,'Vlookup Tables'!$C$23:$F$33,3,FALSE))),"-")</f>
        <v>02032</v>
      </c>
      <c r="K22" s="276" t="str">
        <f>IF(B22&gt;0,(VLOOKUP(J22,'Valve Reference'!$A$2:$K$389,4)),"-")</f>
        <v>Standard</v>
      </c>
      <c r="L22" s="276" t="str">
        <f>IF(B22&gt;0,(VLOOKUP(J22,'Valve Reference'!$A$2:$K$389,5)),"-")</f>
        <v>BR</v>
      </c>
      <c r="M22" s="276" t="str">
        <f>IF(B22&gt;0,(VLOOKUP(J22,'Valve Reference'!$A$2:$K$389,8)),"-")</f>
        <v>Linear</v>
      </c>
      <c r="N22" s="276" t="str">
        <f>IF(B22&gt;0,(VLOOKUP(J22,'Valve Reference'!$A$2:$K$389,10)),"-")</f>
        <v>FxF</v>
      </c>
      <c r="O22" s="277" t="str">
        <f>IF(B22&gt;0,(VLOOKUP(J22,'Valve Reference'!$A$2:$K$389,11)),"-")</f>
        <v>Globe-Powermite</v>
      </c>
      <c r="P22" s="278" t="str">
        <f>IF(B22&gt;0,(VLOOKUP(I22,'Actuator Reference'!$A$2:$H$54,2)),"-")</f>
        <v>SSC81U</v>
      </c>
      <c r="Q22" s="278" t="str">
        <f>IF(B22&gt;0,(VLOOKUP(I22,'Actuator Reference'!$A$2:$H$54,5)),"-")</f>
        <v>Float</v>
      </c>
      <c r="R22" s="278" t="str">
        <f>IF(B22&gt;0,(VLOOKUP(I22,'Actuator Reference'!$A$2:$H$54,6)),"-")</f>
        <v>NSR</v>
      </c>
      <c r="S22" s="278" t="str">
        <f>IF(B22&gt;0,(VLOOKUP(I22,'Actuator Reference'!$A$2:$H$54,7)),"-")</f>
        <v>24V</v>
      </c>
      <c r="T22" s="279" t="str">
        <f>IF(B22&gt;0,(VLOOKUP(I22,'Actuator Reference'!$A$2:$H$54,8)),"-")</f>
        <v>MT-Series</v>
      </c>
      <c r="AD22" s="38"/>
      <c r="AE22" s="38"/>
      <c r="AF22" s="35">
        <v>1</v>
      </c>
      <c r="AG22" s="35" t="s">
        <v>1097</v>
      </c>
      <c r="AH22" s="38" t="str">
        <f t="shared" si="2"/>
        <v>259-02032</v>
      </c>
      <c r="AI22" s="264">
        <f t="shared" si="3"/>
        <v>0</v>
      </c>
    </row>
    <row r="23" spans="1:35" ht="14.25">
      <c r="A23" s="275">
        <f>'Box Schedule'!$A27</f>
        <v>0</v>
      </c>
      <c r="B23" s="262">
        <v>2</v>
      </c>
      <c r="C23" s="229" t="str">
        <f>IF((B23&gt;0),(VLOOKUP(J23,'Valve Reference'!$A$2:$K$389,3)),"-")</f>
        <v>0.5</v>
      </c>
      <c r="D23" s="230" t="s">
        <v>577</v>
      </c>
      <c r="E23" s="231">
        <f>IF((B23&gt;0),('Vlookup Tables'!$B$37),"-")</f>
        <v>5</v>
      </c>
      <c r="F23" s="51">
        <f t="shared" si="0"/>
        <v>0.89442719099991586</v>
      </c>
      <c r="G23" s="228">
        <f>IF((B23&gt;0),(VLOOKUP($B23,'Vlookup Tables'!$B$23:$F$33,2,TRUE)),"-")</f>
        <v>1</v>
      </c>
      <c r="H23" s="52">
        <f t="shared" si="1"/>
        <v>4</v>
      </c>
      <c r="I23" s="50">
        <f>IF((B23&gt;0),('Vlookup Tables'!$B$35),"-")</f>
        <v>259</v>
      </c>
      <c r="J23" s="265" t="str">
        <f>IF(B23&gt;0,(IF(D23="2-Way",VLOOKUP($G23,'Vlookup Tables'!$C$23:$F$33,2,FALSE),VLOOKUP($G23,'Vlookup Tables'!$C$23:$F$33,3,FALSE))),"-")</f>
        <v>02034</v>
      </c>
      <c r="K23" s="276" t="str">
        <f>IF(B23&gt;0,(VLOOKUP(J23,'Valve Reference'!$A$2:$K$389,4)),"-")</f>
        <v>Standard</v>
      </c>
      <c r="L23" s="276" t="str">
        <f>IF(B23&gt;0,(VLOOKUP(J23,'Valve Reference'!$A$2:$K$389,5)),"-")</f>
        <v>BR</v>
      </c>
      <c r="M23" s="276" t="str">
        <f>IF(B23&gt;0,(VLOOKUP(J23,'Valve Reference'!$A$2:$K$389,8)),"-")</f>
        <v>Linear</v>
      </c>
      <c r="N23" s="276" t="str">
        <f>IF(B23&gt;0,(VLOOKUP(J23,'Valve Reference'!$A$2:$K$389,10)),"-")</f>
        <v>FxF</v>
      </c>
      <c r="O23" s="277" t="str">
        <f>IF(B23&gt;0,(VLOOKUP(J23,'Valve Reference'!$A$2:$K$389,11)),"-")</f>
        <v>Globe-Powermite</v>
      </c>
      <c r="P23" s="278" t="str">
        <f>IF(B23&gt;0,(VLOOKUP(I23,'Actuator Reference'!$A$2:$H$54,2)),"-")</f>
        <v>SSC81U</v>
      </c>
      <c r="Q23" s="278" t="str">
        <f>IF(B23&gt;0,(VLOOKUP(I23,'Actuator Reference'!$A$2:$H$54,5)),"-")</f>
        <v>Float</v>
      </c>
      <c r="R23" s="278" t="str">
        <f>IF(B23&gt;0,(VLOOKUP(I23,'Actuator Reference'!$A$2:$H$54,6)),"-")</f>
        <v>NSR</v>
      </c>
      <c r="S23" s="278" t="str">
        <f>IF(B23&gt;0,(VLOOKUP(I23,'Actuator Reference'!$A$2:$H$54,7)),"-")</f>
        <v>24V</v>
      </c>
      <c r="T23" s="279" t="str">
        <f>IF(B23&gt;0,(VLOOKUP(I23,'Actuator Reference'!$A$2:$H$54,8)),"-")</f>
        <v>MT-Series</v>
      </c>
      <c r="AD23" s="38"/>
      <c r="AE23" s="38"/>
      <c r="AF23" s="35">
        <v>1</v>
      </c>
      <c r="AG23" s="35" t="s">
        <v>1097</v>
      </c>
      <c r="AH23" s="38" t="str">
        <f t="shared" si="2"/>
        <v>259-02034</v>
      </c>
      <c r="AI23" s="264">
        <f t="shared" si="3"/>
        <v>0</v>
      </c>
    </row>
    <row r="24" spans="1:35" ht="14.25">
      <c r="A24" s="275">
        <f>'Box Schedule'!$A28</f>
        <v>0</v>
      </c>
      <c r="B24" s="262">
        <v>3</v>
      </c>
      <c r="C24" s="229" t="str">
        <f>IF((B24&gt;0),(VLOOKUP(J24,'Valve Reference'!$A$2:$K$389,3)),"-")</f>
        <v>0.5</v>
      </c>
      <c r="D24" s="230" t="s">
        <v>577</v>
      </c>
      <c r="E24" s="231">
        <f>IF((B24&gt;0),('Vlookup Tables'!$B$37),"-")</f>
        <v>5</v>
      </c>
      <c r="F24" s="51">
        <f t="shared" si="0"/>
        <v>1.3416407864998738</v>
      </c>
      <c r="G24" s="228">
        <f>IF((B24&gt;0),(VLOOKUP($B24,'Vlookup Tables'!$B$23:$F$33,2,TRUE)),"-")</f>
        <v>1.6</v>
      </c>
      <c r="H24" s="52">
        <f t="shared" si="1"/>
        <v>3.515625</v>
      </c>
      <c r="I24" s="50">
        <f>IF((B24&gt;0),('Vlookup Tables'!$B$35),"-")</f>
        <v>259</v>
      </c>
      <c r="J24" s="265" t="str">
        <f>IF(B24&gt;0,(IF(D24="2-Way",VLOOKUP($G24,'Vlookup Tables'!$C$23:$F$33,2,FALSE),VLOOKUP($G24,'Vlookup Tables'!$C$23:$F$33,3,FALSE))),"-")</f>
        <v>02036</v>
      </c>
      <c r="K24" s="276" t="str">
        <f>IF(B24&gt;0,(VLOOKUP(J24,'Valve Reference'!$A$2:$K$389,4)),"-")</f>
        <v>Standard</v>
      </c>
      <c r="L24" s="276" t="str">
        <f>IF(B24&gt;0,(VLOOKUP(J24,'Valve Reference'!$A$2:$K$389,5)),"-")</f>
        <v>BR</v>
      </c>
      <c r="M24" s="276" t="str">
        <f>IF(B24&gt;0,(VLOOKUP(J24,'Valve Reference'!$A$2:$K$389,8)),"-")</f>
        <v>Linear</v>
      </c>
      <c r="N24" s="276" t="str">
        <f>IF(B24&gt;0,(VLOOKUP(J24,'Valve Reference'!$A$2:$K$389,10)),"-")</f>
        <v>FxF</v>
      </c>
      <c r="O24" s="277" t="str">
        <f>IF(B24&gt;0,(VLOOKUP(J24,'Valve Reference'!$A$2:$K$389,11)),"-")</f>
        <v>Globe-Powermite</v>
      </c>
      <c r="P24" s="278" t="str">
        <f>IF(B24&gt;0,(VLOOKUP(I24,'Actuator Reference'!$A$2:$H$54,2)),"-")</f>
        <v>SSC81U</v>
      </c>
      <c r="Q24" s="278" t="str">
        <f>IF(B24&gt;0,(VLOOKUP(I24,'Actuator Reference'!$A$2:$H$54,5)),"-")</f>
        <v>Float</v>
      </c>
      <c r="R24" s="278" t="str">
        <f>IF(B24&gt;0,(VLOOKUP(I24,'Actuator Reference'!$A$2:$H$54,6)),"-")</f>
        <v>NSR</v>
      </c>
      <c r="S24" s="278" t="str">
        <f>IF(B24&gt;0,(VLOOKUP(I24,'Actuator Reference'!$A$2:$H$54,7)),"-")</f>
        <v>24V</v>
      </c>
      <c r="T24" s="279" t="str">
        <f>IF(B24&gt;0,(VLOOKUP(I24,'Actuator Reference'!$A$2:$H$54,8)),"-")</f>
        <v>MT-Series</v>
      </c>
      <c r="AD24" s="38"/>
      <c r="AE24" s="38"/>
      <c r="AF24" s="35">
        <v>1</v>
      </c>
      <c r="AG24" s="35" t="s">
        <v>1097</v>
      </c>
      <c r="AH24" s="38" t="str">
        <f t="shared" si="2"/>
        <v>259-02036</v>
      </c>
      <c r="AI24" s="264">
        <f t="shared" si="3"/>
        <v>0</v>
      </c>
    </row>
    <row r="25" spans="1:35" ht="14.25">
      <c r="A25" s="275">
        <f>'Box Schedule'!$A30</f>
        <v>0</v>
      </c>
      <c r="B25" s="262">
        <v>4</v>
      </c>
      <c r="C25" s="229" t="str">
        <f>IF((B25&gt;0),(VLOOKUP(J25,'Valve Reference'!$A$2:$K$389,3)),"-")</f>
        <v>0.5</v>
      </c>
      <c r="D25" s="230" t="s">
        <v>577</v>
      </c>
      <c r="E25" s="231">
        <f>IF((B25&gt;0),('Vlookup Tables'!$B$37),"-")</f>
        <v>5</v>
      </c>
      <c r="F25" s="51">
        <f t="shared" si="0"/>
        <v>1.7888543819998317</v>
      </c>
      <c r="G25" s="228">
        <f>IF((B25&gt;0),(VLOOKUP($B25,'Vlookup Tables'!$B$23:$F$33,2,TRUE)),"-")</f>
        <v>2.5</v>
      </c>
      <c r="H25" s="52">
        <f t="shared" si="1"/>
        <v>2.56</v>
      </c>
      <c r="I25" s="50">
        <f>IF((B25&gt;0),('Vlookup Tables'!$B$35),"-")</f>
        <v>259</v>
      </c>
      <c r="J25" s="265" t="str">
        <f>IF(B25&gt;0,(IF(D25="2-Way",VLOOKUP($G25,'Vlookup Tables'!$C$23:$F$33,2,FALSE),VLOOKUP($G25,'Vlookup Tables'!$C$23:$F$33,3,FALSE))),"-")</f>
        <v>02038</v>
      </c>
      <c r="K25" s="276" t="str">
        <f>IF(B25&gt;0,(VLOOKUP(J25,'Valve Reference'!$A$2:$K$389,4)),"-")</f>
        <v>Standard</v>
      </c>
      <c r="L25" s="276" t="str">
        <f>IF(B25&gt;0,(VLOOKUP(J25,'Valve Reference'!$A$2:$K$389,5)),"-")</f>
        <v>BR</v>
      </c>
      <c r="M25" s="276" t="str">
        <f>IF(B25&gt;0,(VLOOKUP(J25,'Valve Reference'!$A$2:$K$389,8)),"-")</f>
        <v>Linear</v>
      </c>
      <c r="N25" s="276" t="str">
        <f>IF(B25&gt;0,(VLOOKUP(J25,'Valve Reference'!$A$2:$K$389,10)),"-")</f>
        <v>FxF</v>
      </c>
      <c r="O25" s="277" t="str">
        <f>IF(B25&gt;0,(VLOOKUP(J25,'Valve Reference'!$A$2:$K$389,11)),"-")</f>
        <v>Globe-Powermite</v>
      </c>
      <c r="P25" s="278" t="str">
        <f>IF(B25&gt;0,(VLOOKUP(I25,'Actuator Reference'!$A$2:$H$54,2)),"-")</f>
        <v>SSC81U</v>
      </c>
      <c r="Q25" s="278" t="str">
        <f>IF(B25&gt;0,(VLOOKUP(I25,'Actuator Reference'!$A$2:$H$54,5)),"-")</f>
        <v>Float</v>
      </c>
      <c r="R25" s="278" t="str">
        <f>IF(B25&gt;0,(VLOOKUP(I25,'Actuator Reference'!$A$2:$H$54,6)),"-")</f>
        <v>NSR</v>
      </c>
      <c r="S25" s="278" t="str">
        <f>IF(B25&gt;0,(VLOOKUP(I25,'Actuator Reference'!$A$2:$H$54,7)),"-")</f>
        <v>24V</v>
      </c>
      <c r="T25" s="279" t="str">
        <f>IF(B25&gt;0,(VLOOKUP(I25,'Actuator Reference'!$A$2:$H$54,8)),"-")</f>
        <v>MT-Series</v>
      </c>
      <c r="AD25" s="38"/>
      <c r="AE25" s="38"/>
      <c r="AF25" s="35">
        <v>1</v>
      </c>
      <c r="AG25" s="35" t="s">
        <v>1097</v>
      </c>
      <c r="AH25" s="38" t="str">
        <f t="shared" si="2"/>
        <v>259-02038</v>
      </c>
      <c r="AI25" s="264">
        <f t="shared" si="3"/>
        <v>0</v>
      </c>
    </row>
    <row r="26" spans="1:35" ht="14.25">
      <c r="A26" s="275">
        <f>'Box Schedule'!$A31</f>
        <v>0</v>
      </c>
      <c r="B26" s="262">
        <v>5</v>
      </c>
      <c r="C26" s="229" t="str">
        <f>IF((B26&gt;0),(VLOOKUP(J26,'Valve Reference'!$A$2:$K$389,3)),"-")</f>
        <v>0.5</v>
      </c>
      <c r="D26" s="230" t="s">
        <v>577</v>
      </c>
      <c r="E26" s="231">
        <f>IF((B26&gt;0),('Vlookup Tables'!$B$37),"-")</f>
        <v>5</v>
      </c>
      <c r="F26" s="51">
        <f t="shared" si="0"/>
        <v>2.2360679774997898</v>
      </c>
      <c r="G26" s="228">
        <f>IF((B26&gt;0),(VLOOKUP($B26,'Vlookup Tables'!$B$23:$F$33,2,TRUE)),"-")</f>
        <v>2.5</v>
      </c>
      <c r="H26" s="52">
        <f t="shared" si="1"/>
        <v>4</v>
      </c>
      <c r="I26" s="50">
        <f>IF((B26&gt;0),('Vlookup Tables'!$B$35),"-")</f>
        <v>259</v>
      </c>
      <c r="J26" s="265" t="str">
        <f>IF(B26&gt;0,(IF(D26="2-Way",VLOOKUP($G26,'Vlookup Tables'!$C$23:$F$33,2,FALSE),VLOOKUP($G26,'Vlookup Tables'!$C$23:$F$33,3,FALSE))),"-")</f>
        <v>02038</v>
      </c>
      <c r="K26" s="276" t="str">
        <f>IF(B26&gt;0,(VLOOKUP(J26,'Valve Reference'!$A$2:$K$389,4)),"-")</f>
        <v>Standard</v>
      </c>
      <c r="L26" s="276" t="str">
        <f>IF(B26&gt;0,(VLOOKUP(J26,'Valve Reference'!$A$2:$K$389,5)),"-")</f>
        <v>BR</v>
      </c>
      <c r="M26" s="276" t="str">
        <f>IF(B26&gt;0,(VLOOKUP(J26,'Valve Reference'!$A$2:$K$389,8)),"-")</f>
        <v>Linear</v>
      </c>
      <c r="N26" s="276" t="str">
        <f>IF(B26&gt;0,(VLOOKUP(J26,'Valve Reference'!$A$2:$K$389,10)),"-")</f>
        <v>FxF</v>
      </c>
      <c r="O26" s="277" t="str">
        <f>IF(B26&gt;0,(VLOOKUP(J26,'Valve Reference'!$A$2:$K$389,11)),"-")</f>
        <v>Globe-Powermite</v>
      </c>
      <c r="P26" s="278" t="str">
        <f>IF(B26&gt;0,(VLOOKUP(I26,'Actuator Reference'!$A$2:$H$54,2)),"-")</f>
        <v>SSC81U</v>
      </c>
      <c r="Q26" s="278" t="str">
        <f>IF(B26&gt;0,(VLOOKUP(I26,'Actuator Reference'!$A$2:$H$54,5)),"-")</f>
        <v>Float</v>
      </c>
      <c r="R26" s="278" t="str">
        <f>IF(B26&gt;0,(VLOOKUP(I26,'Actuator Reference'!$A$2:$H$54,6)),"-")</f>
        <v>NSR</v>
      </c>
      <c r="S26" s="278" t="str">
        <f>IF(B26&gt;0,(VLOOKUP(I26,'Actuator Reference'!$A$2:$H$54,7)),"-")</f>
        <v>24V</v>
      </c>
      <c r="T26" s="279" t="str">
        <f>IF(B26&gt;0,(VLOOKUP(I26,'Actuator Reference'!$A$2:$H$54,8)),"-")</f>
        <v>MT-Series</v>
      </c>
      <c r="AD26" s="38"/>
      <c r="AE26" s="38"/>
      <c r="AF26" s="35">
        <v>1</v>
      </c>
      <c r="AG26" s="35" t="s">
        <v>1097</v>
      </c>
      <c r="AH26" s="38" t="str">
        <f t="shared" si="2"/>
        <v>259-02038</v>
      </c>
      <c r="AI26" s="264">
        <f t="shared" si="3"/>
        <v>0</v>
      </c>
    </row>
    <row r="27" spans="1:35" ht="14.25">
      <c r="A27" s="275">
        <f>'Box Schedule'!$A32</f>
        <v>0</v>
      </c>
      <c r="B27" s="262">
        <v>6</v>
      </c>
      <c r="C27" s="229" t="str">
        <f>IF((B27&gt;0),(VLOOKUP(J27,'Valve Reference'!$A$2:$K$389,3)),"-")</f>
        <v>0.5</v>
      </c>
      <c r="D27" s="230" t="s">
        <v>577</v>
      </c>
      <c r="E27" s="231">
        <f>IF((B27&gt;0),('Vlookup Tables'!$B$37),"-")</f>
        <v>5</v>
      </c>
      <c r="F27" s="51">
        <f t="shared" si="0"/>
        <v>2.6832815729997477</v>
      </c>
      <c r="G27" s="228">
        <f>IF((B27&gt;0),(VLOOKUP($B27,'Vlookup Tables'!$B$23:$F$33,2,TRUE)),"-")</f>
        <v>4</v>
      </c>
      <c r="H27" s="52">
        <f t="shared" si="1"/>
        <v>2.25</v>
      </c>
      <c r="I27" s="50">
        <f>IF((B27&gt;0),('Vlookup Tables'!$B$35),"-")</f>
        <v>259</v>
      </c>
      <c r="J27" s="265" t="str">
        <f>IF(B27&gt;0,(IF(D27="2-Way",VLOOKUP($G27,'Vlookup Tables'!$C$23:$F$33,2,FALSE),VLOOKUP($G27,'Vlookup Tables'!$C$23:$F$33,3,FALSE))),"-")</f>
        <v>02041</v>
      </c>
      <c r="K27" s="276" t="str">
        <f>IF(B27&gt;0,(VLOOKUP(J27,'Valve Reference'!$A$2:$K$389,4)),"-")</f>
        <v>Standard</v>
      </c>
      <c r="L27" s="276" t="str">
        <f>IF(B27&gt;0,(VLOOKUP(J27,'Valve Reference'!$A$2:$K$389,5)),"-")</f>
        <v>BR</v>
      </c>
      <c r="M27" s="276" t="str">
        <f>IF(B27&gt;0,(VLOOKUP(J27,'Valve Reference'!$A$2:$K$389,8)),"-")</f>
        <v>Linear</v>
      </c>
      <c r="N27" s="276" t="str">
        <f>IF(B27&gt;0,(VLOOKUP(J27,'Valve Reference'!$A$2:$K$389,10)),"-")</f>
        <v>FxF</v>
      </c>
      <c r="O27" s="277" t="str">
        <f>IF(B27&gt;0,(VLOOKUP(J27,'Valve Reference'!$A$2:$K$389,11)),"-")</f>
        <v>Globe-Powermite</v>
      </c>
      <c r="P27" s="278" t="str">
        <f>IF(B27&gt;0,(VLOOKUP(I27,'Actuator Reference'!$A$2:$H$54,2)),"-")</f>
        <v>SSC81U</v>
      </c>
      <c r="Q27" s="278" t="str">
        <f>IF(B27&gt;0,(VLOOKUP(I27,'Actuator Reference'!$A$2:$H$54,5)),"-")</f>
        <v>Float</v>
      </c>
      <c r="R27" s="278" t="str">
        <f>IF(B27&gt;0,(VLOOKUP(I27,'Actuator Reference'!$A$2:$H$54,6)),"-")</f>
        <v>NSR</v>
      </c>
      <c r="S27" s="278" t="str">
        <f>IF(B27&gt;0,(VLOOKUP(I27,'Actuator Reference'!$A$2:$H$54,7)),"-")</f>
        <v>24V</v>
      </c>
      <c r="T27" s="279" t="str">
        <f>IF(B27&gt;0,(VLOOKUP(I27,'Actuator Reference'!$A$2:$H$54,8)),"-")</f>
        <v>MT-Series</v>
      </c>
      <c r="AD27" s="38"/>
      <c r="AE27" s="38"/>
      <c r="AF27" s="35">
        <v>1</v>
      </c>
      <c r="AG27" s="35" t="s">
        <v>1097</v>
      </c>
      <c r="AH27" s="38" t="str">
        <f t="shared" si="2"/>
        <v>259-02041</v>
      </c>
      <c r="AI27" s="264">
        <f t="shared" si="3"/>
        <v>0</v>
      </c>
    </row>
    <row r="28" spans="1:35" ht="14.25">
      <c r="A28" s="275">
        <f>'Box Schedule'!$A33</f>
        <v>0</v>
      </c>
      <c r="B28" s="262">
        <v>7</v>
      </c>
      <c r="C28" s="229" t="str">
        <f>IF((B28&gt;0),(VLOOKUP(J28,'Valve Reference'!$A$2:$K$389,3)),"-")</f>
        <v>0.5</v>
      </c>
      <c r="D28" s="230" t="s">
        <v>577</v>
      </c>
      <c r="E28" s="231">
        <f>IF((B28&gt;0),('Vlookup Tables'!$B$37),"-")</f>
        <v>5</v>
      </c>
      <c r="F28" s="51">
        <f t="shared" si="0"/>
        <v>3.1304951684997055</v>
      </c>
      <c r="G28" s="228">
        <f>IF((B28&gt;0),(VLOOKUP($B28,'Vlookup Tables'!$B$23:$F$33,2,TRUE)),"-")</f>
        <v>4</v>
      </c>
      <c r="H28" s="52">
        <f t="shared" si="1"/>
        <v>3.0625000000000004</v>
      </c>
      <c r="I28" s="50">
        <f>IF((B28&gt;0),('Vlookup Tables'!$B$35),"-")</f>
        <v>259</v>
      </c>
      <c r="J28" s="265" t="str">
        <f>IF(B28&gt;0,(IF(D28="2-Way",VLOOKUP($G28,'Vlookup Tables'!$C$23:$F$33,2,FALSE),VLOOKUP($G28,'Vlookup Tables'!$C$23:$F$33,3,FALSE))),"-")</f>
        <v>02041</v>
      </c>
      <c r="K28" s="276" t="str">
        <f>IF(B28&gt;0,(VLOOKUP(J28,'Valve Reference'!$A$2:$K$389,4)),"-")</f>
        <v>Standard</v>
      </c>
      <c r="L28" s="276" t="str">
        <f>IF(B28&gt;0,(VLOOKUP(J28,'Valve Reference'!$A$2:$K$389,5)),"-")</f>
        <v>BR</v>
      </c>
      <c r="M28" s="276" t="str">
        <f>IF(B28&gt;0,(VLOOKUP(J28,'Valve Reference'!$A$2:$K$389,8)),"-")</f>
        <v>Linear</v>
      </c>
      <c r="N28" s="276" t="str">
        <f>IF(B28&gt;0,(VLOOKUP(J28,'Valve Reference'!$A$2:$K$389,10)),"-")</f>
        <v>FxF</v>
      </c>
      <c r="O28" s="277" t="str">
        <f>IF(B28&gt;0,(VLOOKUP(J28,'Valve Reference'!$A$2:$K$389,11)),"-")</f>
        <v>Globe-Powermite</v>
      </c>
      <c r="P28" s="278" t="str">
        <f>IF(B28&gt;0,(VLOOKUP(I28,'Actuator Reference'!$A$2:$H$54,2)),"-")</f>
        <v>SSC81U</v>
      </c>
      <c r="Q28" s="278" t="str">
        <f>IF(B28&gt;0,(VLOOKUP(I28,'Actuator Reference'!$A$2:$H$54,5)),"-")</f>
        <v>Float</v>
      </c>
      <c r="R28" s="278" t="str">
        <f>IF(B28&gt;0,(VLOOKUP(I28,'Actuator Reference'!$A$2:$H$54,6)),"-")</f>
        <v>NSR</v>
      </c>
      <c r="S28" s="278" t="str">
        <f>IF(B28&gt;0,(VLOOKUP(I28,'Actuator Reference'!$A$2:$H$54,7)),"-")</f>
        <v>24V</v>
      </c>
      <c r="T28" s="279" t="str">
        <f>IF(B28&gt;0,(VLOOKUP(I28,'Actuator Reference'!$A$2:$H$54,8)),"-")</f>
        <v>MT-Series</v>
      </c>
      <c r="AD28" s="38"/>
      <c r="AE28" s="38"/>
      <c r="AF28" s="35">
        <v>1</v>
      </c>
      <c r="AG28" s="35" t="s">
        <v>1097</v>
      </c>
      <c r="AH28" s="38" t="str">
        <f t="shared" si="2"/>
        <v>259-02041</v>
      </c>
      <c r="AI28" s="264">
        <f t="shared" si="3"/>
        <v>0</v>
      </c>
    </row>
    <row r="29" spans="1:35" ht="14.25">
      <c r="A29" s="275">
        <f>'Box Schedule'!$A34</f>
        <v>0</v>
      </c>
      <c r="B29" s="262">
        <v>8</v>
      </c>
      <c r="C29" s="229" t="str">
        <f>IF((B29&gt;0),(VLOOKUP(J29,'Valve Reference'!$A$2:$K$389,3)),"-")</f>
        <v>0.5</v>
      </c>
      <c r="D29" s="230" t="s">
        <v>577</v>
      </c>
      <c r="E29" s="231">
        <f>IF((B29&gt;0),('Vlookup Tables'!$B$37),"-")</f>
        <v>5</v>
      </c>
      <c r="F29" s="51">
        <f t="shared" si="0"/>
        <v>3.5777087639996634</v>
      </c>
      <c r="G29" s="228">
        <f>IF((B29&gt;0),(VLOOKUP($B29,'Vlookup Tables'!$B$23:$F$33,2,TRUE)),"-")</f>
        <v>4</v>
      </c>
      <c r="H29" s="52">
        <f t="shared" si="1"/>
        <v>4</v>
      </c>
      <c r="I29" s="50">
        <f>IF((B29&gt;0),('Vlookup Tables'!$B$35),"-")</f>
        <v>259</v>
      </c>
      <c r="J29" s="265" t="str">
        <f>IF(B29&gt;0,(IF(D29="2-Way",VLOOKUP($G29,'Vlookup Tables'!$C$23:$F$33,2,FALSE),VLOOKUP($G29,'Vlookup Tables'!$C$23:$F$33,3,FALSE))),"-")</f>
        <v>02041</v>
      </c>
      <c r="K29" s="276" t="str">
        <f>IF(B29&gt;0,(VLOOKUP(J29,'Valve Reference'!$A$2:$K$389,4)),"-")</f>
        <v>Standard</v>
      </c>
      <c r="L29" s="276" t="str">
        <f>IF(B29&gt;0,(VLOOKUP(J29,'Valve Reference'!$A$2:$K$389,5)),"-")</f>
        <v>BR</v>
      </c>
      <c r="M29" s="276" t="str">
        <f>IF(B29&gt;0,(VLOOKUP(J29,'Valve Reference'!$A$2:$K$389,8)),"-")</f>
        <v>Linear</v>
      </c>
      <c r="N29" s="276" t="str">
        <f>IF(B29&gt;0,(VLOOKUP(J29,'Valve Reference'!$A$2:$K$389,10)),"-")</f>
        <v>FxF</v>
      </c>
      <c r="O29" s="277" t="str">
        <f>IF(B29&gt;0,(VLOOKUP(J29,'Valve Reference'!$A$2:$K$389,11)),"-")</f>
        <v>Globe-Powermite</v>
      </c>
      <c r="P29" s="278" t="str">
        <f>IF(B29&gt;0,(VLOOKUP(I29,'Actuator Reference'!$A$2:$H$54,2)),"-")</f>
        <v>SSC81U</v>
      </c>
      <c r="Q29" s="278" t="str">
        <f>IF(B29&gt;0,(VLOOKUP(I29,'Actuator Reference'!$A$2:$H$54,5)),"-")</f>
        <v>Float</v>
      </c>
      <c r="R29" s="278" t="str">
        <f>IF(B29&gt;0,(VLOOKUP(I29,'Actuator Reference'!$A$2:$H$54,6)),"-")</f>
        <v>NSR</v>
      </c>
      <c r="S29" s="278" t="str">
        <f>IF(B29&gt;0,(VLOOKUP(I29,'Actuator Reference'!$A$2:$H$54,7)),"-")</f>
        <v>24V</v>
      </c>
      <c r="T29" s="279" t="str">
        <f>IF(B29&gt;0,(VLOOKUP(I29,'Actuator Reference'!$A$2:$H$54,8)),"-")</f>
        <v>MT-Series</v>
      </c>
      <c r="AD29" s="38"/>
      <c r="AE29" s="38"/>
      <c r="AF29" s="35">
        <v>1</v>
      </c>
      <c r="AG29" s="35" t="s">
        <v>1097</v>
      </c>
      <c r="AH29" s="38" t="str">
        <f t="shared" si="2"/>
        <v>259-02041</v>
      </c>
      <c r="AI29" s="264">
        <f t="shared" si="3"/>
        <v>0</v>
      </c>
    </row>
    <row r="30" spans="1:35" ht="14.25">
      <c r="A30" s="275" t="e">
        <f>'Box Schedule'!#REF!</f>
        <v>#REF!</v>
      </c>
      <c r="B30" s="262">
        <v>9</v>
      </c>
      <c r="C30" s="229" t="str">
        <f>IF((B30&gt;0),(VLOOKUP(J30,'Valve Reference'!$A$2:$K$389,3)),"-")</f>
        <v>0.75</v>
      </c>
      <c r="D30" s="230" t="s">
        <v>577</v>
      </c>
      <c r="E30" s="231">
        <f>IF((B30&gt;0),('Vlookup Tables'!$B$37),"-")</f>
        <v>5</v>
      </c>
      <c r="F30" s="51">
        <f t="shared" si="0"/>
        <v>4.0249223594996213</v>
      </c>
      <c r="G30" s="228">
        <f>IF((B30&gt;0),(VLOOKUP($B30,'Vlookup Tables'!$B$23:$F$33,2,TRUE)),"-")</f>
        <v>6.3</v>
      </c>
      <c r="H30" s="52">
        <f t="shared" si="1"/>
        <v>2.0408163265306127</v>
      </c>
      <c r="I30" s="50">
        <f>IF((B30&gt;0),('Vlookup Tables'!$B$35),"-")</f>
        <v>259</v>
      </c>
      <c r="J30" s="265" t="str">
        <f>IF(B30&gt;0,(IF(D30="2-Way",VLOOKUP($G30,'Vlookup Tables'!$C$23:$F$33,2,FALSE),VLOOKUP($G30,'Vlookup Tables'!$C$23:$F$33,3,FALSE))),"-")</f>
        <v>02044</v>
      </c>
      <c r="K30" s="276" t="str">
        <f>IF(B30&gt;0,(VLOOKUP(J30,'Valve Reference'!$A$2:$K$389,4)),"-")</f>
        <v>Standard</v>
      </c>
      <c r="L30" s="276" t="str">
        <f>IF(B30&gt;0,(VLOOKUP(J30,'Valve Reference'!$A$2:$K$389,5)),"-")</f>
        <v>BR</v>
      </c>
      <c r="M30" s="276" t="str">
        <f>IF(B30&gt;0,(VLOOKUP(J30,'Valve Reference'!$A$2:$K$389,8)),"-")</f>
        <v>Linear</v>
      </c>
      <c r="N30" s="276" t="str">
        <f>IF(B30&gt;0,(VLOOKUP(J30,'Valve Reference'!$A$2:$K$389,10)),"-")</f>
        <v>FxF</v>
      </c>
      <c r="O30" s="277" t="str">
        <f>IF(B30&gt;0,(VLOOKUP(J30,'Valve Reference'!$A$2:$K$389,11)),"-")</f>
        <v>Globe-Powermite</v>
      </c>
      <c r="P30" s="278" t="str">
        <f>IF(B30&gt;0,(VLOOKUP(I30,'Actuator Reference'!$A$2:$H$54,2)),"-")</f>
        <v>SSC81U</v>
      </c>
      <c r="Q30" s="278" t="str">
        <f>IF(B30&gt;0,(VLOOKUP(I30,'Actuator Reference'!$A$2:$H$54,5)),"-")</f>
        <v>Float</v>
      </c>
      <c r="R30" s="278" t="str">
        <f>IF(B30&gt;0,(VLOOKUP(I30,'Actuator Reference'!$A$2:$H$54,6)),"-")</f>
        <v>NSR</v>
      </c>
      <c r="S30" s="278" t="str">
        <f>IF(B30&gt;0,(VLOOKUP(I30,'Actuator Reference'!$A$2:$H$54,7)),"-")</f>
        <v>24V</v>
      </c>
      <c r="T30" s="279" t="str">
        <f>IF(B30&gt;0,(VLOOKUP(I30,'Actuator Reference'!$A$2:$H$54,8)),"-")</f>
        <v>MT-Series</v>
      </c>
      <c r="AD30" s="38"/>
      <c r="AE30" s="38"/>
      <c r="AF30" s="35">
        <v>1</v>
      </c>
      <c r="AG30" s="35" t="s">
        <v>1097</v>
      </c>
      <c r="AH30" s="38" t="str">
        <f t="shared" si="2"/>
        <v>259-02044</v>
      </c>
      <c r="AI30" s="264" t="e">
        <f t="shared" si="3"/>
        <v>#REF!</v>
      </c>
    </row>
    <row r="31" spans="1:35" ht="14.25">
      <c r="A31" s="275" t="e">
        <f>'Box Schedule'!#REF!</f>
        <v>#REF!</v>
      </c>
      <c r="B31" s="262">
        <v>1</v>
      </c>
      <c r="C31" s="229" t="str">
        <f>IF((B31&gt;0),(VLOOKUP(J31,'Valve Reference'!$A$2:$K$389,3)),"-")</f>
        <v>0.5</v>
      </c>
      <c r="D31" s="230" t="s">
        <v>577</v>
      </c>
      <c r="E31" s="231">
        <f>IF((B31&gt;0),('Vlookup Tables'!$B$37),"-")</f>
        <v>5</v>
      </c>
      <c r="F31" s="51">
        <f t="shared" si="0"/>
        <v>0.44721359549995793</v>
      </c>
      <c r="G31" s="228">
        <f>IF((B31&gt;0),(VLOOKUP($B31,'Vlookup Tables'!$B$23:$F$33,2,TRUE)),"-")</f>
        <v>0.63</v>
      </c>
      <c r="H31" s="52">
        <f t="shared" si="1"/>
        <v>2.5195263290501382</v>
      </c>
      <c r="I31" s="50">
        <f>IF((B31&gt;0),('Vlookup Tables'!$B$35),"-")</f>
        <v>259</v>
      </c>
      <c r="J31" s="265" t="str">
        <f>IF(B31&gt;0,(IF(D31="2-Way",VLOOKUP($G31,'Vlookup Tables'!$C$23:$F$33,2,FALSE),VLOOKUP($G31,'Vlookup Tables'!$C$23:$F$33,3,FALSE))),"-")</f>
        <v>02032</v>
      </c>
      <c r="K31" s="276" t="str">
        <f>IF(B31&gt;0,(VLOOKUP(J31,'Valve Reference'!$A$2:$K$389,4)),"-")</f>
        <v>Standard</v>
      </c>
      <c r="L31" s="276" t="str">
        <f>IF(B31&gt;0,(VLOOKUP(J31,'Valve Reference'!$A$2:$K$389,5)),"-")</f>
        <v>BR</v>
      </c>
      <c r="M31" s="276" t="str">
        <f>IF(B31&gt;0,(VLOOKUP(J31,'Valve Reference'!$A$2:$K$389,8)),"-")</f>
        <v>Linear</v>
      </c>
      <c r="N31" s="276" t="str">
        <f>IF(B31&gt;0,(VLOOKUP(J31,'Valve Reference'!$A$2:$K$389,10)),"-")</f>
        <v>FxF</v>
      </c>
      <c r="O31" s="277" t="str">
        <f>IF(B31&gt;0,(VLOOKUP(J31,'Valve Reference'!$A$2:$K$389,11)),"-")</f>
        <v>Globe-Powermite</v>
      </c>
      <c r="P31" s="278" t="str">
        <f>IF(B31&gt;0,(VLOOKUP(I31,'Actuator Reference'!$A$2:$H$54,2)),"-")</f>
        <v>SSC81U</v>
      </c>
      <c r="Q31" s="278" t="str">
        <f>IF(B31&gt;0,(VLOOKUP(I31,'Actuator Reference'!$A$2:$H$54,5)),"-")</f>
        <v>Float</v>
      </c>
      <c r="R31" s="278" t="str">
        <f>IF(B31&gt;0,(VLOOKUP(I31,'Actuator Reference'!$A$2:$H$54,6)),"-")</f>
        <v>NSR</v>
      </c>
      <c r="S31" s="278" t="str">
        <f>IF(B31&gt;0,(VLOOKUP(I31,'Actuator Reference'!$A$2:$H$54,7)),"-")</f>
        <v>24V</v>
      </c>
      <c r="T31" s="279" t="str">
        <f>IF(B31&gt;0,(VLOOKUP(I31,'Actuator Reference'!$A$2:$H$54,8)),"-")</f>
        <v>MT-Series</v>
      </c>
      <c r="AD31" s="38"/>
      <c r="AE31" s="38"/>
      <c r="AF31" s="35">
        <v>1</v>
      </c>
      <c r="AG31" s="35" t="s">
        <v>1097</v>
      </c>
      <c r="AH31" s="38" t="str">
        <f t="shared" si="2"/>
        <v>259-02032</v>
      </c>
      <c r="AI31" s="264" t="e">
        <f t="shared" si="3"/>
        <v>#REF!</v>
      </c>
    </row>
    <row r="32" spans="1:35" ht="14.25">
      <c r="A32" s="275">
        <f>'Box Schedule'!$A35</f>
        <v>0</v>
      </c>
      <c r="B32" s="262">
        <v>2</v>
      </c>
      <c r="C32" s="229" t="str">
        <f>IF((B32&gt;0),(VLOOKUP(J32,'Valve Reference'!$A$2:$K$389,3)),"-")</f>
        <v>0.5</v>
      </c>
      <c r="D32" s="230" t="s">
        <v>577</v>
      </c>
      <c r="E32" s="231">
        <f>IF((B32&gt;0),('Vlookup Tables'!$B$37),"-")</f>
        <v>5</v>
      </c>
      <c r="F32" s="51">
        <f t="shared" si="0"/>
        <v>0.89442719099991586</v>
      </c>
      <c r="G32" s="228">
        <f>IF((B32&gt;0),(VLOOKUP($B32,'Vlookup Tables'!$B$23:$F$33,2,TRUE)),"-")</f>
        <v>1</v>
      </c>
      <c r="H32" s="52">
        <f t="shared" si="1"/>
        <v>4</v>
      </c>
      <c r="I32" s="50">
        <f>IF((B32&gt;0),('Vlookup Tables'!$B$35),"-")</f>
        <v>259</v>
      </c>
      <c r="J32" s="265" t="str">
        <f>IF(B32&gt;0,(IF(D32="2-Way",VLOOKUP($G32,'Vlookup Tables'!$C$23:$F$33,2,FALSE),VLOOKUP($G32,'Vlookup Tables'!$C$23:$F$33,3,FALSE))),"-")</f>
        <v>02034</v>
      </c>
      <c r="K32" s="276" t="str">
        <f>IF(B32&gt;0,(VLOOKUP(J32,'Valve Reference'!$A$2:$K$389,4)),"-")</f>
        <v>Standard</v>
      </c>
      <c r="L32" s="276" t="str">
        <f>IF(B32&gt;0,(VLOOKUP(J32,'Valve Reference'!$A$2:$K$389,5)),"-")</f>
        <v>BR</v>
      </c>
      <c r="M32" s="276" t="str">
        <f>IF(B32&gt;0,(VLOOKUP(J32,'Valve Reference'!$A$2:$K$389,8)),"-")</f>
        <v>Linear</v>
      </c>
      <c r="N32" s="276" t="str">
        <f>IF(B32&gt;0,(VLOOKUP(J32,'Valve Reference'!$A$2:$K$389,10)),"-")</f>
        <v>FxF</v>
      </c>
      <c r="O32" s="277" t="str">
        <f>IF(B32&gt;0,(VLOOKUP(J32,'Valve Reference'!$A$2:$K$389,11)),"-")</f>
        <v>Globe-Powermite</v>
      </c>
      <c r="P32" s="278" t="str">
        <f>IF(B32&gt;0,(VLOOKUP(I32,'Actuator Reference'!$A$2:$H$54,2)),"-")</f>
        <v>SSC81U</v>
      </c>
      <c r="Q32" s="278" t="str">
        <f>IF(B32&gt;0,(VLOOKUP(I32,'Actuator Reference'!$A$2:$H$54,5)),"-")</f>
        <v>Float</v>
      </c>
      <c r="R32" s="278" t="str">
        <f>IF(B32&gt;0,(VLOOKUP(I32,'Actuator Reference'!$A$2:$H$54,6)),"-")</f>
        <v>NSR</v>
      </c>
      <c r="S32" s="278" t="str">
        <f>IF(B32&gt;0,(VLOOKUP(I32,'Actuator Reference'!$A$2:$H$54,7)),"-")</f>
        <v>24V</v>
      </c>
      <c r="T32" s="279" t="str">
        <f>IF(B32&gt;0,(VLOOKUP(I32,'Actuator Reference'!$A$2:$H$54,8)),"-")</f>
        <v>MT-Series</v>
      </c>
      <c r="AD32" s="38"/>
      <c r="AE32" s="38"/>
      <c r="AF32" s="35">
        <v>1</v>
      </c>
      <c r="AG32" s="35" t="s">
        <v>1097</v>
      </c>
      <c r="AH32" s="38" t="str">
        <f t="shared" si="2"/>
        <v>259-02034</v>
      </c>
      <c r="AI32" s="264">
        <f t="shared" si="3"/>
        <v>0</v>
      </c>
    </row>
    <row r="33" spans="1:35" ht="14.25">
      <c r="A33" s="275">
        <f>'Box Schedule'!$A36</f>
        <v>0</v>
      </c>
      <c r="B33" s="262">
        <v>3</v>
      </c>
      <c r="C33" s="229" t="str">
        <f>IF((B33&gt;0),(VLOOKUP(J33,'Valve Reference'!$A$2:$K$389,3)),"-")</f>
        <v>0.5</v>
      </c>
      <c r="D33" s="230" t="s">
        <v>577</v>
      </c>
      <c r="E33" s="231">
        <f>IF((B33&gt;0),('Vlookup Tables'!$B$37),"-")</f>
        <v>5</v>
      </c>
      <c r="F33" s="51">
        <f t="shared" si="0"/>
        <v>1.3416407864998738</v>
      </c>
      <c r="G33" s="228">
        <f>IF((B33&gt;0),(VLOOKUP($B33,'Vlookup Tables'!$B$23:$F$33,2,TRUE)),"-")</f>
        <v>1.6</v>
      </c>
      <c r="H33" s="52">
        <f t="shared" si="1"/>
        <v>3.515625</v>
      </c>
      <c r="I33" s="50">
        <f>IF((B33&gt;0),('Vlookup Tables'!$B$35),"-")</f>
        <v>259</v>
      </c>
      <c r="J33" s="265" t="str">
        <f>IF(B33&gt;0,(IF(D33="2-Way",VLOOKUP($G33,'Vlookup Tables'!$C$23:$F$33,2,FALSE),VLOOKUP($G33,'Vlookup Tables'!$C$23:$F$33,3,FALSE))),"-")</f>
        <v>02036</v>
      </c>
      <c r="K33" s="276" t="str">
        <f>IF(B33&gt;0,(VLOOKUP(J33,'Valve Reference'!$A$2:$K$389,4)),"-")</f>
        <v>Standard</v>
      </c>
      <c r="L33" s="276" t="str">
        <f>IF(B33&gt;0,(VLOOKUP(J33,'Valve Reference'!$A$2:$K$389,5)),"-")</f>
        <v>BR</v>
      </c>
      <c r="M33" s="276" t="str">
        <f>IF(B33&gt;0,(VLOOKUP(J33,'Valve Reference'!$A$2:$K$389,8)),"-")</f>
        <v>Linear</v>
      </c>
      <c r="N33" s="276" t="str">
        <f>IF(B33&gt;0,(VLOOKUP(J33,'Valve Reference'!$A$2:$K$389,10)),"-")</f>
        <v>FxF</v>
      </c>
      <c r="O33" s="277" t="str">
        <f>IF(B33&gt;0,(VLOOKUP(J33,'Valve Reference'!$A$2:$K$389,11)),"-")</f>
        <v>Globe-Powermite</v>
      </c>
      <c r="P33" s="278" t="str">
        <f>IF(B33&gt;0,(VLOOKUP(I33,'Actuator Reference'!$A$2:$H$54,2)),"-")</f>
        <v>SSC81U</v>
      </c>
      <c r="Q33" s="278" t="str">
        <f>IF(B33&gt;0,(VLOOKUP(I33,'Actuator Reference'!$A$2:$H$54,5)),"-")</f>
        <v>Float</v>
      </c>
      <c r="R33" s="278" t="str">
        <f>IF(B33&gt;0,(VLOOKUP(I33,'Actuator Reference'!$A$2:$H$54,6)),"-")</f>
        <v>NSR</v>
      </c>
      <c r="S33" s="278" t="str">
        <f>IF(B33&gt;0,(VLOOKUP(I33,'Actuator Reference'!$A$2:$H$54,7)),"-")</f>
        <v>24V</v>
      </c>
      <c r="T33" s="279" t="str">
        <f>IF(B33&gt;0,(VLOOKUP(I33,'Actuator Reference'!$A$2:$H$54,8)),"-")</f>
        <v>MT-Series</v>
      </c>
      <c r="AD33" s="38"/>
      <c r="AE33" s="38"/>
      <c r="AF33" s="35">
        <v>1</v>
      </c>
      <c r="AG33" s="35" t="s">
        <v>1097</v>
      </c>
      <c r="AH33" s="38" t="str">
        <f t="shared" si="2"/>
        <v>259-02036</v>
      </c>
      <c r="AI33" s="264">
        <f t="shared" si="3"/>
        <v>0</v>
      </c>
    </row>
    <row r="34" spans="1:35" ht="14.25">
      <c r="A34" s="275">
        <f>'Box Schedule'!$A37</f>
        <v>0</v>
      </c>
      <c r="B34" s="262">
        <v>4</v>
      </c>
      <c r="C34" s="229" t="str">
        <f>IF((B34&gt;0),(VLOOKUP(J34,'Valve Reference'!$A$2:$K$389,3)),"-")</f>
        <v>0.5</v>
      </c>
      <c r="D34" s="230" t="s">
        <v>577</v>
      </c>
      <c r="E34" s="231">
        <f>IF((B34&gt;0),('Vlookup Tables'!$B$37),"-")</f>
        <v>5</v>
      </c>
      <c r="F34" s="51">
        <f t="shared" si="0"/>
        <v>1.7888543819998317</v>
      </c>
      <c r="G34" s="228">
        <f>IF((B34&gt;0),(VLOOKUP($B34,'Vlookup Tables'!$B$23:$F$33,2,TRUE)),"-")</f>
        <v>2.5</v>
      </c>
      <c r="H34" s="52">
        <f t="shared" si="1"/>
        <v>2.56</v>
      </c>
      <c r="I34" s="50">
        <f>IF((B34&gt;0),('Vlookup Tables'!$B$35),"-")</f>
        <v>259</v>
      </c>
      <c r="J34" s="265" t="str">
        <f>IF(B34&gt;0,(IF(D34="2-Way",VLOOKUP($G34,'Vlookup Tables'!$C$23:$F$33,2,FALSE),VLOOKUP($G34,'Vlookup Tables'!$C$23:$F$33,3,FALSE))),"-")</f>
        <v>02038</v>
      </c>
      <c r="K34" s="276" t="str">
        <f>IF(B34&gt;0,(VLOOKUP(J34,'Valve Reference'!$A$2:$K$389,4)),"-")</f>
        <v>Standard</v>
      </c>
      <c r="L34" s="276" t="str">
        <f>IF(B34&gt;0,(VLOOKUP(J34,'Valve Reference'!$A$2:$K$389,5)),"-")</f>
        <v>BR</v>
      </c>
      <c r="M34" s="276" t="str">
        <f>IF(B34&gt;0,(VLOOKUP(J34,'Valve Reference'!$A$2:$K$389,8)),"-")</f>
        <v>Linear</v>
      </c>
      <c r="N34" s="276" t="str">
        <f>IF(B34&gt;0,(VLOOKUP(J34,'Valve Reference'!$A$2:$K$389,10)),"-")</f>
        <v>FxF</v>
      </c>
      <c r="O34" s="277" t="str">
        <f>IF(B34&gt;0,(VLOOKUP(J34,'Valve Reference'!$A$2:$K$389,11)),"-")</f>
        <v>Globe-Powermite</v>
      </c>
      <c r="P34" s="278" t="str">
        <f>IF(B34&gt;0,(VLOOKUP(I34,'Actuator Reference'!$A$2:$H$54,2)),"-")</f>
        <v>SSC81U</v>
      </c>
      <c r="Q34" s="278" t="str">
        <f>IF(B34&gt;0,(VLOOKUP(I34,'Actuator Reference'!$A$2:$H$54,5)),"-")</f>
        <v>Float</v>
      </c>
      <c r="R34" s="278" t="str">
        <f>IF(B34&gt;0,(VLOOKUP(I34,'Actuator Reference'!$A$2:$H$54,6)),"-")</f>
        <v>NSR</v>
      </c>
      <c r="S34" s="278" t="str">
        <f>IF(B34&gt;0,(VLOOKUP(I34,'Actuator Reference'!$A$2:$H$54,7)),"-")</f>
        <v>24V</v>
      </c>
      <c r="T34" s="279" t="str">
        <f>IF(B34&gt;0,(VLOOKUP(I34,'Actuator Reference'!$A$2:$H$54,8)),"-")</f>
        <v>MT-Series</v>
      </c>
      <c r="AD34" s="38"/>
      <c r="AE34" s="38"/>
      <c r="AF34" s="35">
        <v>1</v>
      </c>
      <c r="AG34" s="35" t="s">
        <v>1097</v>
      </c>
      <c r="AH34" s="38" t="str">
        <f t="shared" si="2"/>
        <v>259-02038</v>
      </c>
      <c r="AI34" s="264">
        <f t="shared" si="3"/>
        <v>0</v>
      </c>
    </row>
    <row r="35" spans="1:35" ht="14.25">
      <c r="A35" s="275">
        <f>'Box Schedule'!$A38</f>
        <v>0</v>
      </c>
      <c r="B35" s="262">
        <v>5</v>
      </c>
      <c r="C35" s="229" t="str">
        <f>IF((B35&gt;0),(VLOOKUP(J35,'Valve Reference'!$A$2:$K$389,3)),"-")</f>
        <v>0.5</v>
      </c>
      <c r="D35" s="230" t="s">
        <v>577</v>
      </c>
      <c r="E35" s="231">
        <f>IF((B35&gt;0),('Vlookup Tables'!$B$37),"-")</f>
        <v>5</v>
      </c>
      <c r="F35" s="51">
        <f t="shared" si="0"/>
        <v>2.2360679774997898</v>
      </c>
      <c r="G35" s="228">
        <f>IF((B35&gt;0),(VLOOKUP($B35,'Vlookup Tables'!$B$23:$F$33,2,TRUE)),"-")</f>
        <v>2.5</v>
      </c>
      <c r="H35" s="52">
        <f t="shared" si="1"/>
        <v>4</v>
      </c>
      <c r="I35" s="50">
        <f>IF((B35&gt;0),('Vlookup Tables'!$B$35),"-")</f>
        <v>259</v>
      </c>
      <c r="J35" s="265" t="str">
        <f>IF(B35&gt;0,(IF(D35="2-Way",VLOOKUP($G35,'Vlookup Tables'!$C$23:$F$33,2,FALSE),VLOOKUP($G35,'Vlookup Tables'!$C$23:$F$33,3,FALSE))),"-")</f>
        <v>02038</v>
      </c>
      <c r="K35" s="276" t="str">
        <f>IF(B35&gt;0,(VLOOKUP(J35,'Valve Reference'!$A$2:$K$389,4)),"-")</f>
        <v>Standard</v>
      </c>
      <c r="L35" s="276" t="str">
        <f>IF(B35&gt;0,(VLOOKUP(J35,'Valve Reference'!$A$2:$K$389,5)),"-")</f>
        <v>BR</v>
      </c>
      <c r="M35" s="276" t="str">
        <f>IF(B35&gt;0,(VLOOKUP(J35,'Valve Reference'!$A$2:$K$389,8)),"-")</f>
        <v>Linear</v>
      </c>
      <c r="N35" s="276" t="str">
        <f>IF(B35&gt;0,(VLOOKUP(J35,'Valve Reference'!$A$2:$K$389,10)),"-")</f>
        <v>FxF</v>
      </c>
      <c r="O35" s="277" t="str">
        <f>IF(B35&gt;0,(VLOOKUP(J35,'Valve Reference'!$A$2:$K$389,11)),"-")</f>
        <v>Globe-Powermite</v>
      </c>
      <c r="P35" s="278" t="str">
        <f>IF(B35&gt;0,(VLOOKUP(I35,'Actuator Reference'!$A$2:$H$54,2)),"-")</f>
        <v>SSC81U</v>
      </c>
      <c r="Q35" s="278" t="str">
        <f>IF(B35&gt;0,(VLOOKUP(I35,'Actuator Reference'!$A$2:$H$54,5)),"-")</f>
        <v>Float</v>
      </c>
      <c r="R35" s="278" t="str">
        <f>IF(B35&gt;0,(VLOOKUP(I35,'Actuator Reference'!$A$2:$H$54,6)),"-")</f>
        <v>NSR</v>
      </c>
      <c r="S35" s="278" t="str">
        <f>IF(B35&gt;0,(VLOOKUP(I35,'Actuator Reference'!$A$2:$H$54,7)),"-")</f>
        <v>24V</v>
      </c>
      <c r="T35" s="279" t="str">
        <f>IF(B35&gt;0,(VLOOKUP(I35,'Actuator Reference'!$A$2:$H$54,8)),"-")</f>
        <v>MT-Series</v>
      </c>
      <c r="AD35" s="38"/>
      <c r="AE35" s="38"/>
      <c r="AF35" s="35">
        <v>1</v>
      </c>
      <c r="AG35" s="35" t="s">
        <v>1097</v>
      </c>
      <c r="AH35" s="38" t="str">
        <f t="shared" si="2"/>
        <v>259-02038</v>
      </c>
      <c r="AI35" s="264">
        <f t="shared" si="3"/>
        <v>0</v>
      </c>
    </row>
    <row r="36" spans="1:35" ht="14.25">
      <c r="A36" s="275" t="e">
        <f>'Box Schedule'!#REF!</f>
        <v>#REF!</v>
      </c>
      <c r="B36" s="262">
        <v>6</v>
      </c>
      <c r="C36" s="229" t="str">
        <f>IF((B36&gt;0),(VLOOKUP(J36,'Valve Reference'!$A$2:$K$389,3)),"-")</f>
        <v>0.5</v>
      </c>
      <c r="D36" s="230" t="s">
        <v>577</v>
      </c>
      <c r="E36" s="231">
        <f>IF((B36&gt;0),('Vlookup Tables'!$B$37),"-")</f>
        <v>5</v>
      </c>
      <c r="F36" s="51">
        <f t="shared" si="0"/>
        <v>2.6832815729997477</v>
      </c>
      <c r="G36" s="228">
        <f>IF((B36&gt;0),(VLOOKUP($B36,'Vlookup Tables'!$B$23:$F$33,2,TRUE)),"-")</f>
        <v>4</v>
      </c>
      <c r="H36" s="52">
        <f t="shared" si="1"/>
        <v>2.25</v>
      </c>
      <c r="I36" s="50">
        <f>IF((B36&gt;0),('Vlookup Tables'!$B$35),"-")</f>
        <v>259</v>
      </c>
      <c r="J36" s="265" t="str">
        <f>IF(B36&gt;0,(IF(D36="2-Way",VLOOKUP($G36,'Vlookup Tables'!$C$23:$F$33,2,FALSE),VLOOKUP($G36,'Vlookup Tables'!$C$23:$F$33,3,FALSE))),"-")</f>
        <v>02041</v>
      </c>
      <c r="K36" s="276" t="str">
        <f>IF(B36&gt;0,(VLOOKUP(J36,'Valve Reference'!$A$2:$K$389,4)),"-")</f>
        <v>Standard</v>
      </c>
      <c r="L36" s="276" t="str">
        <f>IF(B36&gt;0,(VLOOKUP(J36,'Valve Reference'!$A$2:$K$389,5)),"-")</f>
        <v>BR</v>
      </c>
      <c r="M36" s="276" t="str">
        <f>IF(B36&gt;0,(VLOOKUP(J36,'Valve Reference'!$A$2:$K$389,8)),"-")</f>
        <v>Linear</v>
      </c>
      <c r="N36" s="276" t="str">
        <f>IF(B36&gt;0,(VLOOKUP(J36,'Valve Reference'!$A$2:$K$389,10)),"-")</f>
        <v>FxF</v>
      </c>
      <c r="O36" s="277" t="str">
        <f>IF(B36&gt;0,(VLOOKUP(J36,'Valve Reference'!$A$2:$K$389,11)),"-")</f>
        <v>Globe-Powermite</v>
      </c>
      <c r="P36" s="278" t="str">
        <f>IF(B36&gt;0,(VLOOKUP(I36,'Actuator Reference'!$A$2:$H$54,2)),"-")</f>
        <v>SSC81U</v>
      </c>
      <c r="Q36" s="278" t="str">
        <f>IF(B36&gt;0,(VLOOKUP(I36,'Actuator Reference'!$A$2:$H$54,5)),"-")</f>
        <v>Float</v>
      </c>
      <c r="R36" s="278" t="str">
        <f>IF(B36&gt;0,(VLOOKUP(I36,'Actuator Reference'!$A$2:$H$54,6)),"-")</f>
        <v>NSR</v>
      </c>
      <c r="S36" s="278" t="str">
        <f>IF(B36&gt;0,(VLOOKUP(I36,'Actuator Reference'!$A$2:$H$54,7)),"-")</f>
        <v>24V</v>
      </c>
      <c r="T36" s="279" t="str">
        <f>IF(B36&gt;0,(VLOOKUP(I36,'Actuator Reference'!$A$2:$H$54,8)),"-")</f>
        <v>MT-Series</v>
      </c>
      <c r="AD36" s="38"/>
      <c r="AE36" s="38"/>
      <c r="AF36" s="35">
        <v>1</v>
      </c>
      <c r="AG36" s="35" t="s">
        <v>1097</v>
      </c>
      <c r="AH36" s="38" t="str">
        <f t="shared" si="2"/>
        <v>259-02041</v>
      </c>
      <c r="AI36" s="264" t="e">
        <f t="shared" si="3"/>
        <v>#REF!</v>
      </c>
    </row>
    <row r="37" spans="1:35" ht="14.25">
      <c r="A37" s="275">
        <f>'Box Schedule'!$A39</f>
        <v>0</v>
      </c>
      <c r="B37" s="262">
        <v>7</v>
      </c>
      <c r="C37" s="229" t="str">
        <f>IF((B37&gt;0),(VLOOKUP(J37,'Valve Reference'!$A$2:$K$389,3)),"-")</f>
        <v>0.5</v>
      </c>
      <c r="D37" s="230" t="s">
        <v>577</v>
      </c>
      <c r="E37" s="231">
        <f>IF((B37&gt;0),('Vlookup Tables'!$B$37),"-")</f>
        <v>5</v>
      </c>
      <c r="F37" s="51">
        <f t="shared" si="0"/>
        <v>3.1304951684997055</v>
      </c>
      <c r="G37" s="228">
        <f>IF((B37&gt;0),(VLOOKUP($B37,'Vlookup Tables'!$B$23:$F$33,2,TRUE)),"-")</f>
        <v>4</v>
      </c>
      <c r="H37" s="52">
        <f t="shared" si="1"/>
        <v>3.0625000000000004</v>
      </c>
      <c r="I37" s="50">
        <f>IF((B37&gt;0),('Vlookup Tables'!$B$35),"-")</f>
        <v>259</v>
      </c>
      <c r="J37" s="265" t="str">
        <f>IF(B37&gt;0,(IF(D37="2-Way",VLOOKUP($G37,'Vlookup Tables'!$C$23:$F$33,2,FALSE),VLOOKUP($G37,'Vlookup Tables'!$C$23:$F$33,3,FALSE))),"-")</f>
        <v>02041</v>
      </c>
      <c r="K37" s="276" t="str">
        <f>IF(B37&gt;0,(VLOOKUP(J37,'Valve Reference'!$A$2:$K$389,4)),"-")</f>
        <v>Standard</v>
      </c>
      <c r="L37" s="276" t="str">
        <f>IF(B37&gt;0,(VLOOKUP(J37,'Valve Reference'!$A$2:$K$389,5)),"-")</f>
        <v>BR</v>
      </c>
      <c r="M37" s="276" t="str">
        <f>IF(B37&gt;0,(VLOOKUP(J37,'Valve Reference'!$A$2:$K$389,8)),"-")</f>
        <v>Linear</v>
      </c>
      <c r="N37" s="276" t="str">
        <f>IF(B37&gt;0,(VLOOKUP(J37,'Valve Reference'!$A$2:$K$389,10)),"-")</f>
        <v>FxF</v>
      </c>
      <c r="O37" s="277" t="str">
        <f>IF(B37&gt;0,(VLOOKUP(J37,'Valve Reference'!$A$2:$K$389,11)),"-")</f>
        <v>Globe-Powermite</v>
      </c>
      <c r="P37" s="278" t="str">
        <f>IF(B37&gt;0,(VLOOKUP(I37,'Actuator Reference'!$A$2:$H$54,2)),"-")</f>
        <v>SSC81U</v>
      </c>
      <c r="Q37" s="278" t="str">
        <f>IF(B37&gt;0,(VLOOKUP(I37,'Actuator Reference'!$A$2:$H$54,5)),"-")</f>
        <v>Float</v>
      </c>
      <c r="R37" s="278" t="str">
        <f>IF(B37&gt;0,(VLOOKUP(I37,'Actuator Reference'!$A$2:$H$54,6)),"-")</f>
        <v>NSR</v>
      </c>
      <c r="S37" s="278" t="str">
        <f>IF(B37&gt;0,(VLOOKUP(I37,'Actuator Reference'!$A$2:$H$54,7)),"-")</f>
        <v>24V</v>
      </c>
      <c r="T37" s="279" t="str">
        <f>IF(B37&gt;0,(VLOOKUP(I37,'Actuator Reference'!$A$2:$H$54,8)),"-")</f>
        <v>MT-Series</v>
      </c>
      <c r="AD37" s="38"/>
      <c r="AE37" s="38"/>
      <c r="AF37" s="35">
        <v>1</v>
      </c>
      <c r="AG37" s="35" t="s">
        <v>1097</v>
      </c>
      <c r="AH37" s="38" t="str">
        <f t="shared" si="2"/>
        <v>259-02041</v>
      </c>
      <c r="AI37" s="264">
        <f t="shared" si="3"/>
        <v>0</v>
      </c>
    </row>
    <row r="38" spans="1:35" ht="14.25">
      <c r="A38" s="275" t="e">
        <f>'Box Schedule'!#REF!</f>
        <v>#REF!</v>
      </c>
      <c r="B38" s="262">
        <v>8</v>
      </c>
      <c r="C38" s="229" t="str">
        <f>IF((B38&gt;0),(VLOOKUP(J38,'Valve Reference'!$A$2:$K$389,3)),"-")</f>
        <v>0.5</v>
      </c>
      <c r="D38" s="230" t="s">
        <v>577</v>
      </c>
      <c r="E38" s="231">
        <f>IF((B38&gt;0),('Vlookup Tables'!$B$37),"-")</f>
        <v>5</v>
      </c>
      <c r="F38" s="51">
        <f t="shared" si="0"/>
        <v>3.5777087639996634</v>
      </c>
      <c r="G38" s="228">
        <f>IF((B38&gt;0),(VLOOKUP($B38,'Vlookup Tables'!$B$23:$F$33,2,TRUE)),"-")</f>
        <v>4</v>
      </c>
      <c r="H38" s="52">
        <f t="shared" si="1"/>
        <v>4</v>
      </c>
      <c r="I38" s="50">
        <f>IF((B38&gt;0),('Vlookup Tables'!$B$35),"-")</f>
        <v>259</v>
      </c>
      <c r="J38" s="265" t="str">
        <f>IF(B38&gt;0,(IF(D38="2-Way",VLOOKUP($G38,'Vlookup Tables'!$C$23:$F$33,2,FALSE),VLOOKUP($G38,'Vlookup Tables'!$C$23:$F$33,3,FALSE))),"-")</f>
        <v>02041</v>
      </c>
      <c r="K38" s="276" t="str">
        <f>IF(B38&gt;0,(VLOOKUP(J38,'Valve Reference'!$A$2:$K$389,4)),"-")</f>
        <v>Standard</v>
      </c>
      <c r="L38" s="276" t="str">
        <f>IF(B38&gt;0,(VLOOKUP(J38,'Valve Reference'!$A$2:$K$389,5)),"-")</f>
        <v>BR</v>
      </c>
      <c r="M38" s="276" t="str">
        <f>IF(B38&gt;0,(VLOOKUP(J38,'Valve Reference'!$A$2:$K$389,8)),"-")</f>
        <v>Linear</v>
      </c>
      <c r="N38" s="276" t="str">
        <f>IF(B38&gt;0,(VLOOKUP(J38,'Valve Reference'!$A$2:$K$389,10)),"-")</f>
        <v>FxF</v>
      </c>
      <c r="O38" s="277" t="str">
        <f>IF(B38&gt;0,(VLOOKUP(J38,'Valve Reference'!$A$2:$K$389,11)),"-")</f>
        <v>Globe-Powermite</v>
      </c>
      <c r="P38" s="278" t="str">
        <f>IF(B38&gt;0,(VLOOKUP(I38,'Actuator Reference'!$A$2:$H$54,2)),"-")</f>
        <v>SSC81U</v>
      </c>
      <c r="Q38" s="278" t="str">
        <f>IF(B38&gt;0,(VLOOKUP(I38,'Actuator Reference'!$A$2:$H$54,5)),"-")</f>
        <v>Float</v>
      </c>
      <c r="R38" s="278" t="str">
        <f>IF(B38&gt;0,(VLOOKUP(I38,'Actuator Reference'!$A$2:$H$54,6)),"-")</f>
        <v>NSR</v>
      </c>
      <c r="S38" s="278" t="str">
        <f>IF(B38&gt;0,(VLOOKUP(I38,'Actuator Reference'!$A$2:$H$54,7)),"-")</f>
        <v>24V</v>
      </c>
      <c r="T38" s="279" t="str">
        <f>IF(B38&gt;0,(VLOOKUP(I38,'Actuator Reference'!$A$2:$H$54,8)),"-")</f>
        <v>MT-Series</v>
      </c>
      <c r="AD38" s="38"/>
      <c r="AE38" s="38"/>
      <c r="AF38" s="35">
        <v>1</v>
      </c>
      <c r="AG38" s="35" t="s">
        <v>1097</v>
      </c>
      <c r="AH38" s="38" t="str">
        <f t="shared" si="2"/>
        <v>259-02041</v>
      </c>
      <c r="AI38" s="264" t="e">
        <f t="shared" si="3"/>
        <v>#REF!</v>
      </c>
    </row>
    <row r="39" spans="1:35" ht="14.25">
      <c r="A39" s="275" t="e">
        <f>'Box Schedule'!#REF!</f>
        <v>#REF!</v>
      </c>
      <c r="B39" s="262">
        <v>9</v>
      </c>
      <c r="C39" s="229" t="str">
        <f>IF((B39&gt;0),(VLOOKUP(J39,'Valve Reference'!$A$2:$K$389,3)),"-")</f>
        <v>0.75</v>
      </c>
      <c r="D39" s="230" t="s">
        <v>577</v>
      </c>
      <c r="E39" s="231">
        <f>IF((B39&gt;0),('Vlookup Tables'!$B$37),"-")</f>
        <v>5</v>
      </c>
      <c r="F39" s="51">
        <f t="shared" si="0"/>
        <v>4.0249223594996213</v>
      </c>
      <c r="G39" s="228">
        <f>IF((B39&gt;0),(VLOOKUP($B39,'Vlookup Tables'!$B$23:$F$33,2,TRUE)),"-")</f>
        <v>6.3</v>
      </c>
      <c r="H39" s="52">
        <f t="shared" si="1"/>
        <v>2.0408163265306127</v>
      </c>
      <c r="I39" s="50">
        <f>IF((B39&gt;0),('Vlookup Tables'!$B$35),"-")</f>
        <v>259</v>
      </c>
      <c r="J39" s="265" t="str">
        <f>IF(B39&gt;0,(IF(D39="2-Way",VLOOKUP($G39,'Vlookup Tables'!$C$23:$F$33,2,FALSE),VLOOKUP($G39,'Vlookup Tables'!$C$23:$F$33,3,FALSE))),"-")</f>
        <v>02044</v>
      </c>
      <c r="K39" s="276" t="str">
        <f>IF(B39&gt;0,(VLOOKUP(J39,'Valve Reference'!$A$2:$K$389,4)),"-")</f>
        <v>Standard</v>
      </c>
      <c r="L39" s="276" t="str">
        <f>IF(B39&gt;0,(VLOOKUP(J39,'Valve Reference'!$A$2:$K$389,5)),"-")</f>
        <v>BR</v>
      </c>
      <c r="M39" s="276" t="str">
        <f>IF(B39&gt;0,(VLOOKUP(J39,'Valve Reference'!$A$2:$K$389,8)),"-")</f>
        <v>Linear</v>
      </c>
      <c r="N39" s="276" t="str">
        <f>IF(B39&gt;0,(VLOOKUP(J39,'Valve Reference'!$A$2:$K$389,10)),"-")</f>
        <v>FxF</v>
      </c>
      <c r="O39" s="277" t="str">
        <f>IF(B39&gt;0,(VLOOKUP(J39,'Valve Reference'!$A$2:$K$389,11)),"-")</f>
        <v>Globe-Powermite</v>
      </c>
      <c r="P39" s="278" t="str">
        <f>IF(B39&gt;0,(VLOOKUP(I39,'Actuator Reference'!$A$2:$H$54,2)),"-")</f>
        <v>SSC81U</v>
      </c>
      <c r="Q39" s="278" t="str">
        <f>IF(B39&gt;0,(VLOOKUP(I39,'Actuator Reference'!$A$2:$H$54,5)),"-")</f>
        <v>Float</v>
      </c>
      <c r="R39" s="278" t="str">
        <f>IF(B39&gt;0,(VLOOKUP(I39,'Actuator Reference'!$A$2:$H$54,6)),"-")</f>
        <v>NSR</v>
      </c>
      <c r="S39" s="278" t="str">
        <f>IF(B39&gt;0,(VLOOKUP(I39,'Actuator Reference'!$A$2:$H$54,7)),"-")</f>
        <v>24V</v>
      </c>
      <c r="T39" s="279" t="str">
        <f>IF(B39&gt;0,(VLOOKUP(I39,'Actuator Reference'!$A$2:$H$54,8)),"-")</f>
        <v>MT-Series</v>
      </c>
      <c r="AD39" s="38"/>
      <c r="AE39" s="38"/>
      <c r="AF39" s="35">
        <v>1</v>
      </c>
      <c r="AG39" s="35" t="s">
        <v>1097</v>
      </c>
      <c r="AH39" s="38" t="str">
        <f t="shared" si="2"/>
        <v>259-02044</v>
      </c>
      <c r="AI39" s="264" t="e">
        <f t="shared" si="3"/>
        <v>#REF!</v>
      </c>
    </row>
    <row r="40" spans="1:35" ht="14.25">
      <c r="A40" s="275" t="e">
        <f>'Box Schedule'!#REF!</f>
        <v>#REF!</v>
      </c>
      <c r="B40" s="262">
        <v>1</v>
      </c>
      <c r="C40" s="229" t="str">
        <f>IF((B40&gt;0),(VLOOKUP(J40,'Valve Reference'!$A$2:$K$389,3)),"-")</f>
        <v>0.5</v>
      </c>
      <c r="D40" s="230" t="s">
        <v>577</v>
      </c>
      <c r="E40" s="231">
        <f>IF((B40&gt;0),('Vlookup Tables'!$B$37),"-")</f>
        <v>5</v>
      </c>
      <c r="F40" s="51">
        <f t="shared" si="0"/>
        <v>0.44721359549995793</v>
      </c>
      <c r="G40" s="228">
        <f>IF((B40&gt;0),(VLOOKUP($B40,'Vlookup Tables'!$B$23:$F$33,2,TRUE)),"-")</f>
        <v>0.63</v>
      </c>
      <c r="H40" s="52">
        <f t="shared" si="1"/>
        <v>2.5195263290501382</v>
      </c>
      <c r="I40" s="50">
        <f>IF((B40&gt;0),('Vlookup Tables'!$B$35),"-")</f>
        <v>259</v>
      </c>
      <c r="J40" s="265" t="str">
        <f>IF(B40&gt;0,(IF(D40="2-Way",VLOOKUP($G40,'Vlookup Tables'!$C$23:$F$33,2,FALSE),VLOOKUP($G40,'Vlookup Tables'!$C$23:$F$33,3,FALSE))),"-")</f>
        <v>02032</v>
      </c>
      <c r="K40" s="276" t="str">
        <f>IF(B40&gt;0,(VLOOKUP(J40,'Valve Reference'!$A$2:$K$389,4)),"-")</f>
        <v>Standard</v>
      </c>
      <c r="L40" s="276" t="str">
        <f>IF(B40&gt;0,(VLOOKUP(J40,'Valve Reference'!$A$2:$K$389,5)),"-")</f>
        <v>BR</v>
      </c>
      <c r="M40" s="276" t="str">
        <f>IF(B40&gt;0,(VLOOKUP(J40,'Valve Reference'!$A$2:$K$389,8)),"-")</f>
        <v>Linear</v>
      </c>
      <c r="N40" s="276" t="str">
        <f>IF(B40&gt;0,(VLOOKUP(J40,'Valve Reference'!$A$2:$K$389,10)),"-")</f>
        <v>FxF</v>
      </c>
      <c r="O40" s="277" t="str">
        <f>IF(B40&gt;0,(VLOOKUP(J40,'Valve Reference'!$A$2:$K$389,11)),"-")</f>
        <v>Globe-Powermite</v>
      </c>
      <c r="P40" s="278" t="str">
        <f>IF(B40&gt;0,(VLOOKUP(I40,'Actuator Reference'!$A$2:$H$54,2)),"-")</f>
        <v>SSC81U</v>
      </c>
      <c r="Q40" s="278" t="str">
        <f>IF(B40&gt;0,(VLOOKUP(I40,'Actuator Reference'!$A$2:$H$54,5)),"-")</f>
        <v>Float</v>
      </c>
      <c r="R40" s="278" t="str">
        <f>IF(B40&gt;0,(VLOOKUP(I40,'Actuator Reference'!$A$2:$H$54,6)),"-")</f>
        <v>NSR</v>
      </c>
      <c r="S40" s="278" t="str">
        <f>IF(B40&gt;0,(VLOOKUP(I40,'Actuator Reference'!$A$2:$H$54,7)),"-")</f>
        <v>24V</v>
      </c>
      <c r="T40" s="279" t="str">
        <f>IF(B40&gt;0,(VLOOKUP(I40,'Actuator Reference'!$A$2:$H$54,8)),"-")</f>
        <v>MT-Series</v>
      </c>
      <c r="AD40" s="38"/>
      <c r="AE40" s="38"/>
      <c r="AF40" s="35">
        <v>1</v>
      </c>
      <c r="AG40" s="35" t="s">
        <v>1097</v>
      </c>
      <c r="AH40" s="38" t="str">
        <f t="shared" si="2"/>
        <v>259-02032</v>
      </c>
      <c r="AI40" s="264" t="e">
        <f t="shared" si="3"/>
        <v>#REF!</v>
      </c>
    </row>
    <row r="41" spans="1:35" ht="14.25">
      <c r="A41" s="275" t="e">
        <f>'Box Schedule'!#REF!</f>
        <v>#REF!</v>
      </c>
      <c r="B41" s="262">
        <v>2</v>
      </c>
      <c r="C41" s="229" t="str">
        <f>IF((B41&gt;0),(VLOOKUP(J41,'Valve Reference'!$A$2:$K$389,3)),"-")</f>
        <v>0.5</v>
      </c>
      <c r="D41" s="230" t="s">
        <v>577</v>
      </c>
      <c r="E41" s="231">
        <f>IF((B41&gt;0),('Vlookup Tables'!$B$37),"-")</f>
        <v>5</v>
      </c>
      <c r="F41" s="51">
        <f t="shared" si="0"/>
        <v>0.89442719099991586</v>
      </c>
      <c r="G41" s="228">
        <f>IF((B41&gt;0),(VLOOKUP($B41,'Vlookup Tables'!$B$23:$F$33,2,TRUE)),"-")</f>
        <v>1</v>
      </c>
      <c r="H41" s="52">
        <f t="shared" si="1"/>
        <v>4</v>
      </c>
      <c r="I41" s="50">
        <f>IF((B41&gt;0),('Vlookup Tables'!$B$35),"-")</f>
        <v>259</v>
      </c>
      <c r="J41" s="265" t="str">
        <f>IF(B41&gt;0,(IF(D41="2-Way",VLOOKUP($G41,'Vlookup Tables'!$C$23:$F$33,2,FALSE),VLOOKUP($G41,'Vlookup Tables'!$C$23:$F$33,3,FALSE))),"-")</f>
        <v>02034</v>
      </c>
      <c r="K41" s="276" t="str">
        <f>IF(B41&gt;0,(VLOOKUP(J41,'Valve Reference'!$A$2:$K$389,4)),"-")</f>
        <v>Standard</v>
      </c>
      <c r="L41" s="276" t="str">
        <f>IF(B41&gt;0,(VLOOKUP(J41,'Valve Reference'!$A$2:$K$389,5)),"-")</f>
        <v>BR</v>
      </c>
      <c r="M41" s="276" t="str">
        <f>IF(B41&gt;0,(VLOOKUP(J41,'Valve Reference'!$A$2:$K$389,8)),"-")</f>
        <v>Linear</v>
      </c>
      <c r="N41" s="276" t="str">
        <f>IF(B41&gt;0,(VLOOKUP(J41,'Valve Reference'!$A$2:$K$389,10)),"-")</f>
        <v>FxF</v>
      </c>
      <c r="O41" s="277" t="str">
        <f>IF(B41&gt;0,(VLOOKUP(J41,'Valve Reference'!$A$2:$K$389,11)),"-")</f>
        <v>Globe-Powermite</v>
      </c>
      <c r="P41" s="278" t="str">
        <f>IF(B41&gt;0,(VLOOKUP(I41,'Actuator Reference'!$A$2:$H$54,2)),"-")</f>
        <v>SSC81U</v>
      </c>
      <c r="Q41" s="278" t="str">
        <f>IF(B41&gt;0,(VLOOKUP(I41,'Actuator Reference'!$A$2:$H$54,5)),"-")</f>
        <v>Float</v>
      </c>
      <c r="R41" s="278" t="str">
        <f>IF(B41&gt;0,(VLOOKUP(I41,'Actuator Reference'!$A$2:$H$54,6)),"-")</f>
        <v>NSR</v>
      </c>
      <c r="S41" s="278" t="str">
        <f>IF(B41&gt;0,(VLOOKUP(I41,'Actuator Reference'!$A$2:$H$54,7)),"-")</f>
        <v>24V</v>
      </c>
      <c r="T41" s="279" t="str">
        <f>IF(B41&gt;0,(VLOOKUP(I41,'Actuator Reference'!$A$2:$H$54,8)),"-")</f>
        <v>MT-Series</v>
      </c>
      <c r="AD41" s="38"/>
      <c r="AE41" s="38"/>
      <c r="AF41" s="35">
        <v>1</v>
      </c>
      <c r="AG41" s="35" t="s">
        <v>1097</v>
      </c>
      <c r="AH41" s="38" t="str">
        <f t="shared" si="2"/>
        <v>259-02034</v>
      </c>
      <c r="AI41" s="264" t="e">
        <f t="shared" si="3"/>
        <v>#REF!</v>
      </c>
    </row>
    <row r="42" spans="1:35" ht="14.25">
      <c r="A42" s="275" t="e">
        <f>'Box Schedule'!#REF!</f>
        <v>#REF!</v>
      </c>
      <c r="B42" s="262">
        <v>3</v>
      </c>
      <c r="C42" s="229" t="str">
        <f>IF((B42&gt;0),(VLOOKUP(J42,'Valve Reference'!$A$2:$K$389,3)),"-")</f>
        <v>0.5</v>
      </c>
      <c r="D42" s="230" t="s">
        <v>577</v>
      </c>
      <c r="E42" s="231">
        <f>IF((B42&gt;0),('Vlookup Tables'!$B$37),"-")</f>
        <v>5</v>
      </c>
      <c r="F42" s="51">
        <f t="shared" si="0"/>
        <v>1.3416407864998738</v>
      </c>
      <c r="G42" s="228">
        <f>IF((B42&gt;0),(VLOOKUP($B42,'Vlookup Tables'!$B$23:$F$33,2,TRUE)),"-")</f>
        <v>1.6</v>
      </c>
      <c r="H42" s="52">
        <f t="shared" si="1"/>
        <v>3.515625</v>
      </c>
      <c r="I42" s="50">
        <f>IF((B42&gt;0),('Vlookup Tables'!$B$35),"-")</f>
        <v>259</v>
      </c>
      <c r="J42" s="265" t="str">
        <f>IF(B42&gt;0,(IF(D42="2-Way",VLOOKUP($G42,'Vlookup Tables'!$C$23:$F$33,2,FALSE),VLOOKUP($G42,'Vlookup Tables'!$C$23:$F$33,3,FALSE))),"-")</f>
        <v>02036</v>
      </c>
      <c r="K42" s="276" t="str">
        <f>IF(B42&gt;0,(VLOOKUP(J42,'Valve Reference'!$A$2:$K$389,4)),"-")</f>
        <v>Standard</v>
      </c>
      <c r="L42" s="276" t="str">
        <f>IF(B42&gt;0,(VLOOKUP(J42,'Valve Reference'!$A$2:$K$389,5)),"-")</f>
        <v>BR</v>
      </c>
      <c r="M42" s="276" t="str">
        <f>IF(B42&gt;0,(VLOOKUP(J42,'Valve Reference'!$A$2:$K$389,8)),"-")</f>
        <v>Linear</v>
      </c>
      <c r="N42" s="276" t="str">
        <f>IF(B42&gt;0,(VLOOKUP(J42,'Valve Reference'!$A$2:$K$389,10)),"-")</f>
        <v>FxF</v>
      </c>
      <c r="O42" s="277" t="str">
        <f>IF(B42&gt;0,(VLOOKUP(J42,'Valve Reference'!$A$2:$K$389,11)),"-")</f>
        <v>Globe-Powermite</v>
      </c>
      <c r="P42" s="278" t="str">
        <f>IF(B42&gt;0,(VLOOKUP(I42,'Actuator Reference'!$A$2:$H$54,2)),"-")</f>
        <v>SSC81U</v>
      </c>
      <c r="Q42" s="278" t="str">
        <f>IF(B42&gt;0,(VLOOKUP(I42,'Actuator Reference'!$A$2:$H$54,5)),"-")</f>
        <v>Float</v>
      </c>
      <c r="R42" s="278" t="str">
        <f>IF(B42&gt;0,(VLOOKUP(I42,'Actuator Reference'!$A$2:$H$54,6)),"-")</f>
        <v>NSR</v>
      </c>
      <c r="S42" s="278" t="str">
        <f>IF(B42&gt;0,(VLOOKUP(I42,'Actuator Reference'!$A$2:$H$54,7)),"-")</f>
        <v>24V</v>
      </c>
      <c r="T42" s="279" t="str">
        <f>IF(B42&gt;0,(VLOOKUP(I42,'Actuator Reference'!$A$2:$H$54,8)),"-")</f>
        <v>MT-Series</v>
      </c>
      <c r="AD42" s="38"/>
      <c r="AE42" s="38"/>
      <c r="AF42" s="35">
        <v>1</v>
      </c>
      <c r="AG42" s="35" t="s">
        <v>1097</v>
      </c>
      <c r="AH42" s="38" t="str">
        <f t="shared" si="2"/>
        <v>259-02036</v>
      </c>
      <c r="AI42" s="264" t="e">
        <f t="shared" si="3"/>
        <v>#REF!</v>
      </c>
    </row>
    <row r="43" spans="1:35" ht="14.25">
      <c r="A43" s="275" t="e">
        <f>'Box Schedule'!#REF!</f>
        <v>#REF!</v>
      </c>
      <c r="B43" s="262">
        <v>4</v>
      </c>
      <c r="C43" s="229" t="str">
        <f>IF((B43&gt;0),(VLOOKUP(J43,'Valve Reference'!$A$2:$K$389,3)),"-")</f>
        <v>0.5</v>
      </c>
      <c r="D43" s="230" t="s">
        <v>577</v>
      </c>
      <c r="E43" s="231">
        <f>IF((B43&gt;0),('Vlookup Tables'!$B$37),"-")</f>
        <v>5</v>
      </c>
      <c r="F43" s="51">
        <f t="shared" si="0"/>
        <v>1.7888543819998317</v>
      </c>
      <c r="G43" s="228">
        <f>IF((B43&gt;0),(VLOOKUP($B43,'Vlookup Tables'!$B$23:$F$33,2,TRUE)),"-")</f>
        <v>2.5</v>
      </c>
      <c r="H43" s="52">
        <f t="shared" si="1"/>
        <v>2.56</v>
      </c>
      <c r="I43" s="50">
        <f>IF((B43&gt;0),('Vlookup Tables'!$B$35),"-")</f>
        <v>259</v>
      </c>
      <c r="J43" s="265" t="str">
        <f>IF(B43&gt;0,(IF(D43="2-Way",VLOOKUP($G43,'Vlookup Tables'!$C$23:$F$33,2,FALSE),VLOOKUP($G43,'Vlookup Tables'!$C$23:$F$33,3,FALSE))),"-")</f>
        <v>02038</v>
      </c>
      <c r="K43" s="276" t="str">
        <f>IF(B43&gt;0,(VLOOKUP(J43,'Valve Reference'!$A$2:$K$389,4)),"-")</f>
        <v>Standard</v>
      </c>
      <c r="L43" s="276" t="str">
        <f>IF(B43&gt;0,(VLOOKUP(J43,'Valve Reference'!$A$2:$K$389,5)),"-")</f>
        <v>BR</v>
      </c>
      <c r="M43" s="276" t="str">
        <f>IF(B43&gt;0,(VLOOKUP(J43,'Valve Reference'!$A$2:$K$389,8)),"-")</f>
        <v>Linear</v>
      </c>
      <c r="N43" s="276" t="str">
        <f>IF(B43&gt;0,(VLOOKUP(J43,'Valve Reference'!$A$2:$K$389,10)),"-")</f>
        <v>FxF</v>
      </c>
      <c r="O43" s="277" t="str">
        <f>IF(B43&gt;0,(VLOOKUP(J43,'Valve Reference'!$A$2:$K$389,11)),"-")</f>
        <v>Globe-Powermite</v>
      </c>
      <c r="P43" s="278" t="str">
        <f>IF(B43&gt;0,(VLOOKUP(I43,'Actuator Reference'!$A$2:$H$54,2)),"-")</f>
        <v>SSC81U</v>
      </c>
      <c r="Q43" s="278" t="str">
        <f>IF(B43&gt;0,(VLOOKUP(I43,'Actuator Reference'!$A$2:$H$54,5)),"-")</f>
        <v>Float</v>
      </c>
      <c r="R43" s="278" t="str">
        <f>IF(B43&gt;0,(VLOOKUP(I43,'Actuator Reference'!$A$2:$H$54,6)),"-")</f>
        <v>NSR</v>
      </c>
      <c r="S43" s="278" t="str">
        <f>IF(B43&gt;0,(VLOOKUP(I43,'Actuator Reference'!$A$2:$H$54,7)),"-")</f>
        <v>24V</v>
      </c>
      <c r="T43" s="279" t="str">
        <f>IF(B43&gt;0,(VLOOKUP(I43,'Actuator Reference'!$A$2:$H$54,8)),"-")</f>
        <v>MT-Series</v>
      </c>
      <c r="AD43" s="38"/>
      <c r="AE43" s="38"/>
      <c r="AF43" s="35">
        <v>1</v>
      </c>
      <c r="AG43" s="35" t="s">
        <v>1097</v>
      </c>
      <c r="AH43" s="38" t="str">
        <f t="shared" si="2"/>
        <v>259-02038</v>
      </c>
      <c r="AI43" s="264" t="e">
        <f t="shared" si="3"/>
        <v>#REF!</v>
      </c>
    </row>
    <row r="44" spans="1:35" ht="14.25">
      <c r="A44" s="275" t="e">
        <f>'Box Schedule'!#REF!</f>
        <v>#REF!</v>
      </c>
      <c r="B44" s="262">
        <v>5</v>
      </c>
      <c r="C44" s="229" t="str">
        <f>IF((B44&gt;0),(VLOOKUP(J44,'Valve Reference'!$A$2:$K$389,3)),"-")</f>
        <v>0.5</v>
      </c>
      <c r="D44" s="230" t="s">
        <v>577</v>
      </c>
      <c r="E44" s="231">
        <f>IF((B44&gt;0),('Vlookup Tables'!$B$37),"-")</f>
        <v>5</v>
      </c>
      <c r="F44" s="51">
        <f t="shared" si="0"/>
        <v>2.2360679774997898</v>
      </c>
      <c r="G44" s="228">
        <f>IF((B44&gt;0),(VLOOKUP($B44,'Vlookup Tables'!$B$23:$F$33,2,TRUE)),"-")</f>
        <v>2.5</v>
      </c>
      <c r="H44" s="52">
        <f t="shared" si="1"/>
        <v>4</v>
      </c>
      <c r="I44" s="50">
        <f>IF((B44&gt;0),('Vlookup Tables'!$B$35),"-")</f>
        <v>259</v>
      </c>
      <c r="J44" s="265" t="str">
        <f>IF(B44&gt;0,(IF(D44="2-Way",VLOOKUP($G44,'Vlookup Tables'!$C$23:$F$33,2,FALSE),VLOOKUP($G44,'Vlookup Tables'!$C$23:$F$33,3,FALSE))),"-")</f>
        <v>02038</v>
      </c>
      <c r="K44" s="276" t="str">
        <f>IF(B44&gt;0,(VLOOKUP(J44,'Valve Reference'!$A$2:$K$389,4)),"-")</f>
        <v>Standard</v>
      </c>
      <c r="L44" s="276" t="str">
        <f>IF(B44&gt;0,(VLOOKUP(J44,'Valve Reference'!$A$2:$K$389,5)),"-")</f>
        <v>BR</v>
      </c>
      <c r="M44" s="276" t="str">
        <f>IF(B44&gt;0,(VLOOKUP(J44,'Valve Reference'!$A$2:$K$389,8)),"-")</f>
        <v>Linear</v>
      </c>
      <c r="N44" s="276" t="str">
        <f>IF(B44&gt;0,(VLOOKUP(J44,'Valve Reference'!$A$2:$K$389,10)),"-")</f>
        <v>FxF</v>
      </c>
      <c r="O44" s="277" t="str">
        <f>IF(B44&gt;0,(VLOOKUP(J44,'Valve Reference'!$A$2:$K$389,11)),"-")</f>
        <v>Globe-Powermite</v>
      </c>
      <c r="P44" s="278" t="str">
        <f>IF(B44&gt;0,(VLOOKUP(I44,'Actuator Reference'!$A$2:$H$54,2)),"-")</f>
        <v>SSC81U</v>
      </c>
      <c r="Q44" s="278" t="str">
        <f>IF(B44&gt;0,(VLOOKUP(I44,'Actuator Reference'!$A$2:$H$54,5)),"-")</f>
        <v>Float</v>
      </c>
      <c r="R44" s="278" t="str">
        <f>IF(B44&gt;0,(VLOOKUP(I44,'Actuator Reference'!$A$2:$H$54,6)),"-")</f>
        <v>NSR</v>
      </c>
      <c r="S44" s="278" t="str">
        <f>IF(B44&gt;0,(VLOOKUP(I44,'Actuator Reference'!$A$2:$H$54,7)),"-")</f>
        <v>24V</v>
      </c>
      <c r="T44" s="279" t="str">
        <f>IF(B44&gt;0,(VLOOKUP(I44,'Actuator Reference'!$A$2:$H$54,8)),"-")</f>
        <v>MT-Series</v>
      </c>
      <c r="AD44" s="38"/>
      <c r="AE44" s="38"/>
      <c r="AF44" s="35">
        <v>1</v>
      </c>
      <c r="AG44" s="35" t="s">
        <v>1097</v>
      </c>
      <c r="AH44" s="38" t="str">
        <f t="shared" si="2"/>
        <v>259-02038</v>
      </c>
      <c r="AI44" s="264" t="e">
        <f t="shared" si="3"/>
        <v>#REF!</v>
      </c>
    </row>
    <row r="45" spans="1:35" ht="14.25">
      <c r="A45" s="275" t="e">
        <f>'Box Schedule'!#REF!</f>
        <v>#REF!</v>
      </c>
      <c r="B45" s="262">
        <v>6</v>
      </c>
      <c r="C45" s="229" t="str">
        <f>IF((B45&gt;0),(VLOOKUP(J45,'Valve Reference'!$A$2:$K$389,3)),"-")</f>
        <v>0.5</v>
      </c>
      <c r="D45" s="230" t="s">
        <v>577</v>
      </c>
      <c r="E45" s="231">
        <f>IF((B45&gt;0),('Vlookup Tables'!$B$37),"-")</f>
        <v>5</v>
      </c>
      <c r="F45" s="51">
        <f t="shared" si="0"/>
        <v>2.6832815729997477</v>
      </c>
      <c r="G45" s="228">
        <f>IF((B45&gt;0),(VLOOKUP($B45,'Vlookup Tables'!$B$23:$F$33,2,TRUE)),"-")</f>
        <v>4</v>
      </c>
      <c r="H45" s="52">
        <f t="shared" si="1"/>
        <v>2.25</v>
      </c>
      <c r="I45" s="50">
        <f>IF((B45&gt;0),('Vlookup Tables'!$B$35),"-")</f>
        <v>259</v>
      </c>
      <c r="J45" s="265" t="str">
        <f>IF(B45&gt;0,(IF(D45="2-Way",VLOOKUP($G45,'Vlookup Tables'!$C$23:$F$33,2,FALSE),VLOOKUP($G45,'Vlookup Tables'!$C$23:$F$33,3,FALSE))),"-")</f>
        <v>02041</v>
      </c>
      <c r="K45" s="276" t="str">
        <f>IF(B45&gt;0,(VLOOKUP(J45,'Valve Reference'!$A$2:$K$389,4)),"-")</f>
        <v>Standard</v>
      </c>
      <c r="L45" s="276" t="str">
        <f>IF(B45&gt;0,(VLOOKUP(J45,'Valve Reference'!$A$2:$K$389,5)),"-")</f>
        <v>BR</v>
      </c>
      <c r="M45" s="276" t="str">
        <f>IF(B45&gt;0,(VLOOKUP(J45,'Valve Reference'!$A$2:$K$389,8)),"-")</f>
        <v>Linear</v>
      </c>
      <c r="N45" s="276" t="str">
        <f>IF(B45&gt;0,(VLOOKUP(J45,'Valve Reference'!$A$2:$K$389,10)),"-")</f>
        <v>FxF</v>
      </c>
      <c r="O45" s="277" t="str">
        <f>IF(B45&gt;0,(VLOOKUP(J45,'Valve Reference'!$A$2:$K$389,11)),"-")</f>
        <v>Globe-Powermite</v>
      </c>
      <c r="P45" s="278" t="str">
        <f>IF(B45&gt;0,(VLOOKUP(I45,'Actuator Reference'!$A$2:$H$54,2)),"-")</f>
        <v>SSC81U</v>
      </c>
      <c r="Q45" s="278" t="str">
        <f>IF(B45&gt;0,(VLOOKUP(I45,'Actuator Reference'!$A$2:$H$54,5)),"-")</f>
        <v>Float</v>
      </c>
      <c r="R45" s="278" t="str">
        <f>IF(B45&gt;0,(VLOOKUP(I45,'Actuator Reference'!$A$2:$H$54,6)),"-")</f>
        <v>NSR</v>
      </c>
      <c r="S45" s="278" t="str">
        <f>IF(B45&gt;0,(VLOOKUP(I45,'Actuator Reference'!$A$2:$H$54,7)),"-")</f>
        <v>24V</v>
      </c>
      <c r="T45" s="279" t="str">
        <f>IF(B45&gt;0,(VLOOKUP(I45,'Actuator Reference'!$A$2:$H$54,8)),"-")</f>
        <v>MT-Series</v>
      </c>
      <c r="AD45" s="38"/>
      <c r="AE45" s="38"/>
      <c r="AF45" s="35">
        <v>1</v>
      </c>
      <c r="AG45" s="35" t="s">
        <v>1097</v>
      </c>
      <c r="AH45" s="38" t="str">
        <f t="shared" si="2"/>
        <v>259-02041</v>
      </c>
      <c r="AI45" s="264" t="e">
        <f t="shared" si="3"/>
        <v>#REF!</v>
      </c>
    </row>
    <row r="46" spans="1:35" ht="14.25">
      <c r="A46" s="275" t="e">
        <f>'Box Schedule'!#REF!</f>
        <v>#REF!</v>
      </c>
      <c r="B46" s="262">
        <v>7</v>
      </c>
      <c r="C46" s="229" t="str">
        <f>IF((B46&gt;0),(VLOOKUP(J46,'Valve Reference'!$A$2:$K$389,3)),"-")</f>
        <v>0.5</v>
      </c>
      <c r="D46" s="230" t="s">
        <v>577</v>
      </c>
      <c r="E46" s="231">
        <f>IF((B46&gt;0),('Vlookup Tables'!$B$37),"-")</f>
        <v>5</v>
      </c>
      <c r="F46" s="51">
        <f t="shared" si="0"/>
        <v>3.1304951684997055</v>
      </c>
      <c r="G46" s="228">
        <f>IF((B46&gt;0),(VLOOKUP($B46,'Vlookup Tables'!$B$23:$F$33,2,TRUE)),"-")</f>
        <v>4</v>
      </c>
      <c r="H46" s="52">
        <f t="shared" si="1"/>
        <v>3.0625000000000004</v>
      </c>
      <c r="I46" s="50">
        <f>IF((B46&gt;0),('Vlookup Tables'!$B$35),"-")</f>
        <v>259</v>
      </c>
      <c r="J46" s="265" t="str">
        <f>IF(B46&gt;0,(IF(D46="2-Way",VLOOKUP($G46,'Vlookup Tables'!$C$23:$F$33,2,FALSE),VLOOKUP($G46,'Vlookup Tables'!$C$23:$F$33,3,FALSE))),"-")</f>
        <v>02041</v>
      </c>
      <c r="K46" s="276" t="str">
        <f>IF(B46&gt;0,(VLOOKUP(J46,'Valve Reference'!$A$2:$K$389,4)),"-")</f>
        <v>Standard</v>
      </c>
      <c r="L46" s="276" t="str">
        <f>IF(B46&gt;0,(VLOOKUP(J46,'Valve Reference'!$A$2:$K$389,5)),"-")</f>
        <v>BR</v>
      </c>
      <c r="M46" s="276" t="str">
        <f>IF(B46&gt;0,(VLOOKUP(J46,'Valve Reference'!$A$2:$K$389,8)),"-")</f>
        <v>Linear</v>
      </c>
      <c r="N46" s="276" t="str">
        <f>IF(B46&gt;0,(VLOOKUP(J46,'Valve Reference'!$A$2:$K$389,10)),"-")</f>
        <v>FxF</v>
      </c>
      <c r="O46" s="277" t="str">
        <f>IF(B46&gt;0,(VLOOKUP(J46,'Valve Reference'!$A$2:$K$389,11)),"-")</f>
        <v>Globe-Powermite</v>
      </c>
      <c r="P46" s="278" t="str">
        <f>IF(B46&gt;0,(VLOOKUP(I46,'Actuator Reference'!$A$2:$H$54,2)),"-")</f>
        <v>SSC81U</v>
      </c>
      <c r="Q46" s="278" t="str">
        <f>IF(B46&gt;0,(VLOOKUP(I46,'Actuator Reference'!$A$2:$H$54,5)),"-")</f>
        <v>Float</v>
      </c>
      <c r="R46" s="278" t="str">
        <f>IF(B46&gt;0,(VLOOKUP(I46,'Actuator Reference'!$A$2:$H$54,6)),"-")</f>
        <v>NSR</v>
      </c>
      <c r="S46" s="278" t="str">
        <f>IF(B46&gt;0,(VLOOKUP(I46,'Actuator Reference'!$A$2:$H$54,7)),"-")</f>
        <v>24V</v>
      </c>
      <c r="T46" s="279" t="str">
        <f>IF(B46&gt;0,(VLOOKUP(I46,'Actuator Reference'!$A$2:$H$54,8)),"-")</f>
        <v>MT-Series</v>
      </c>
      <c r="AD46" s="38"/>
      <c r="AE46" s="38"/>
      <c r="AF46" s="35">
        <v>1</v>
      </c>
      <c r="AG46" s="35" t="s">
        <v>1097</v>
      </c>
      <c r="AH46" s="38" t="str">
        <f t="shared" si="2"/>
        <v>259-02041</v>
      </c>
      <c r="AI46" s="264" t="e">
        <f t="shared" si="3"/>
        <v>#REF!</v>
      </c>
    </row>
    <row r="47" spans="1:35" ht="14.25">
      <c r="A47" s="275" t="e">
        <f>'Box Schedule'!#REF!</f>
        <v>#REF!</v>
      </c>
      <c r="B47" s="262">
        <v>8</v>
      </c>
      <c r="C47" s="229" t="str">
        <f>IF((B47&gt;0),(VLOOKUP(J47,'Valve Reference'!$A$2:$K$389,3)),"-")</f>
        <v>0.5</v>
      </c>
      <c r="D47" s="230" t="s">
        <v>577</v>
      </c>
      <c r="E47" s="231">
        <f>IF((B47&gt;0),('Vlookup Tables'!$B$37),"-")</f>
        <v>5</v>
      </c>
      <c r="F47" s="51">
        <f t="shared" si="0"/>
        <v>3.5777087639996634</v>
      </c>
      <c r="G47" s="228">
        <f>IF((B47&gt;0),(VLOOKUP($B47,'Vlookup Tables'!$B$23:$F$33,2,TRUE)),"-")</f>
        <v>4</v>
      </c>
      <c r="H47" s="52">
        <f t="shared" si="1"/>
        <v>4</v>
      </c>
      <c r="I47" s="50">
        <f>IF((B47&gt;0),('Vlookup Tables'!$B$35),"-")</f>
        <v>259</v>
      </c>
      <c r="J47" s="265" t="str">
        <f>IF(B47&gt;0,(IF(D47="2-Way",VLOOKUP($G47,'Vlookup Tables'!$C$23:$F$33,2,FALSE),VLOOKUP($G47,'Vlookup Tables'!$C$23:$F$33,3,FALSE))),"-")</f>
        <v>02041</v>
      </c>
      <c r="K47" s="276" t="str">
        <f>IF(B47&gt;0,(VLOOKUP(J47,'Valve Reference'!$A$2:$K$389,4)),"-")</f>
        <v>Standard</v>
      </c>
      <c r="L47" s="276" t="str">
        <f>IF(B47&gt;0,(VLOOKUP(J47,'Valve Reference'!$A$2:$K$389,5)),"-")</f>
        <v>BR</v>
      </c>
      <c r="M47" s="276" t="str">
        <f>IF(B47&gt;0,(VLOOKUP(J47,'Valve Reference'!$A$2:$K$389,8)),"-")</f>
        <v>Linear</v>
      </c>
      <c r="N47" s="276" t="str">
        <f>IF(B47&gt;0,(VLOOKUP(J47,'Valve Reference'!$A$2:$K$389,10)),"-")</f>
        <v>FxF</v>
      </c>
      <c r="O47" s="277" t="str">
        <f>IF(B47&gt;0,(VLOOKUP(J47,'Valve Reference'!$A$2:$K$389,11)),"-")</f>
        <v>Globe-Powermite</v>
      </c>
      <c r="P47" s="278" t="str">
        <f>IF(B47&gt;0,(VLOOKUP(I47,'Actuator Reference'!$A$2:$H$54,2)),"-")</f>
        <v>SSC81U</v>
      </c>
      <c r="Q47" s="278" t="str">
        <f>IF(B47&gt;0,(VLOOKUP(I47,'Actuator Reference'!$A$2:$H$54,5)),"-")</f>
        <v>Float</v>
      </c>
      <c r="R47" s="278" t="str">
        <f>IF(B47&gt;0,(VLOOKUP(I47,'Actuator Reference'!$A$2:$H$54,6)),"-")</f>
        <v>NSR</v>
      </c>
      <c r="S47" s="278" t="str">
        <f>IF(B47&gt;0,(VLOOKUP(I47,'Actuator Reference'!$A$2:$H$54,7)),"-")</f>
        <v>24V</v>
      </c>
      <c r="T47" s="279" t="str">
        <f>IF(B47&gt;0,(VLOOKUP(I47,'Actuator Reference'!$A$2:$H$54,8)),"-")</f>
        <v>MT-Series</v>
      </c>
      <c r="AD47" s="38"/>
      <c r="AE47" s="38"/>
      <c r="AF47" s="35">
        <v>1</v>
      </c>
      <c r="AG47" s="35" t="s">
        <v>1097</v>
      </c>
      <c r="AH47" s="38" t="str">
        <f t="shared" si="2"/>
        <v>259-02041</v>
      </c>
      <c r="AI47" s="264" t="e">
        <f t="shared" si="3"/>
        <v>#REF!</v>
      </c>
    </row>
    <row r="48" spans="1:35" ht="14.25">
      <c r="A48" s="275" t="e">
        <f>'Box Schedule'!#REF!</f>
        <v>#REF!</v>
      </c>
      <c r="B48" s="262">
        <v>9</v>
      </c>
      <c r="C48" s="229" t="str">
        <f>IF((B48&gt;0),(VLOOKUP(J48,'Valve Reference'!$A$2:$K$389,3)),"-")</f>
        <v>0.75</v>
      </c>
      <c r="D48" s="230" t="s">
        <v>577</v>
      </c>
      <c r="E48" s="231">
        <f>IF((B48&gt;0),('Vlookup Tables'!$B$37),"-")</f>
        <v>5</v>
      </c>
      <c r="F48" s="51">
        <f t="shared" si="0"/>
        <v>4.0249223594996213</v>
      </c>
      <c r="G48" s="228">
        <f>IF((B48&gt;0),(VLOOKUP($B48,'Vlookup Tables'!$B$23:$F$33,2,TRUE)),"-")</f>
        <v>6.3</v>
      </c>
      <c r="H48" s="52">
        <f t="shared" si="1"/>
        <v>2.0408163265306127</v>
      </c>
      <c r="I48" s="50">
        <f>IF((B48&gt;0),('Vlookup Tables'!$B$35),"-")</f>
        <v>259</v>
      </c>
      <c r="J48" s="265" t="str">
        <f>IF(B48&gt;0,(IF(D48="2-Way",VLOOKUP($G48,'Vlookup Tables'!$C$23:$F$33,2,FALSE),VLOOKUP($G48,'Vlookup Tables'!$C$23:$F$33,3,FALSE))),"-")</f>
        <v>02044</v>
      </c>
      <c r="K48" s="276" t="str">
        <f>IF(B48&gt;0,(VLOOKUP(J48,'Valve Reference'!$A$2:$K$389,4)),"-")</f>
        <v>Standard</v>
      </c>
      <c r="L48" s="276" t="str">
        <f>IF(B48&gt;0,(VLOOKUP(J48,'Valve Reference'!$A$2:$K$389,5)),"-")</f>
        <v>BR</v>
      </c>
      <c r="M48" s="276" t="str">
        <f>IF(B48&gt;0,(VLOOKUP(J48,'Valve Reference'!$A$2:$K$389,8)),"-")</f>
        <v>Linear</v>
      </c>
      <c r="N48" s="276" t="str">
        <f>IF(B48&gt;0,(VLOOKUP(J48,'Valve Reference'!$A$2:$K$389,10)),"-")</f>
        <v>FxF</v>
      </c>
      <c r="O48" s="277" t="str">
        <f>IF(B48&gt;0,(VLOOKUP(J48,'Valve Reference'!$A$2:$K$389,11)),"-")</f>
        <v>Globe-Powermite</v>
      </c>
      <c r="P48" s="278" t="str">
        <f>IF(B48&gt;0,(VLOOKUP(I48,'Actuator Reference'!$A$2:$H$54,2)),"-")</f>
        <v>SSC81U</v>
      </c>
      <c r="Q48" s="278" t="str">
        <f>IF(B48&gt;0,(VLOOKUP(I48,'Actuator Reference'!$A$2:$H$54,5)),"-")</f>
        <v>Float</v>
      </c>
      <c r="R48" s="278" t="str">
        <f>IF(B48&gt;0,(VLOOKUP(I48,'Actuator Reference'!$A$2:$H$54,6)),"-")</f>
        <v>NSR</v>
      </c>
      <c r="S48" s="278" t="str">
        <f>IF(B48&gt;0,(VLOOKUP(I48,'Actuator Reference'!$A$2:$H$54,7)),"-")</f>
        <v>24V</v>
      </c>
      <c r="T48" s="279" t="str">
        <f>IF(B48&gt;0,(VLOOKUP(I48,'Actuator Reference'!$A$2:$H$54,8)),"-")</f>
        <v>MT-Series</v>
      </c>
      <c r="AD48" s="38"/>
      <c r="AE48" s="38"/>
      <c r="AF48" s="35">
        <v>1</v>
      </c>
      <c r="AG48" s="35" t="s">
        <v>1097</v>
      </c>
      <c r="AH48" s="38" t="str">
        <f t="shared" si="2"/>
        <v>259-02044</v>
      </c>
      <c r="AI48" s="264" t="e">
        <f t="shared" si="3"/>
        <v>#REF!</v>
      </c>
    </row>
    <row r="49" spans="1:35" ht="14.25">
      <c r="A49" s="275" t="e">
        <f>'Box Schedule'!#REF!</f>
        <v>#REF!</v>
      </c>
      <c r="B49" s="262">
        <v>1</v>
      </c>
      <c r="C49" s="229" t="str">
        <f>IF((B49&gt;0),(VLOOKUP(J49,'Valve Reference'!$A$2:$K$389,3)),"-")</f>
        <v>0.5</v>
      </c>
      <c r="D49" s="230" t="s">
        <v>577</v>
      </c>
      <c r="E49" s="231">
        <f>IF((B49&gt;0),('Vlookup Tables'!$B$37),"-")</f>
        <v>5</v>
      </c>
      <c r="F49" s="51">
        <f t="shared" si="0"/>
        <v>0.44721359549995793</v>
      </c>
      <c r="G49" s="228">
        <f>IF((B49&gt;0),(VLOOKUP($B49,'Vlookup Tables'!$B$23:$F$33,2,TRUE)),"-")</f>
        <v>0.63</v>
      </c>
      <c r="H49" s="52">
        <f t="shared" si="1"/>
        <v>2.5195263290501382</v>
      </c>
      <c r="I49" s="50">
        <f>IF((B49&gt;0),('Vlookup Tables'!$B$35),"-")</f>
        <v>259</v>
      </c>
      <c r="J49" s="265" t="str">
        <f>IF(B49&gt;0,(IF(D49="2-Way",VLOOKUP($G49,'Vlookup Tables'!$C$23:$F$33,2,FALSE),VLOOKUP($G49,'Vlookup Tables'!$C$23:$F$33,3,FALSE))),"-")</f>
        <v>02032</v>
      </c>
      <c r="K49" s="276" t="str">
        <f>IF(B49&gt;0,(VLOOKUP(J49,'Valve Reference'!$A$2:$K$389,4)),"-")</f>
        <v>Standard</v>
      </c>
      <c r="L49" s="276" t="str">
        <f>IF(B49&gt;0,(VLOOKUP(J49,'Valve Reference'!$A$2:$K$389,5)),"-")</f>
        <v>BR</v>
      </c>
      <c r="M49" s="276" t="str">
        <f>IF(B49&gt;0,(VLOOKUP(J49,'Valve Reference'!$A$2:$K$389,8)),"-")</f>
        <v>Linear</v>
      </c>
      <c r="N49" s="276" t="str">
        <f>IF(B49&gt;0,(VLOOKUP(J49,'Valve Reference'!$A$2:$K$389,10)),"-")</f>
        <v>FxF</v>
      </c>
      <c r="O49" s="277" t="str">
        <f>IF(B49&gt;0,(VLOOKUP(J49,'Valve Reference'!$A$2:$K$389,11)),"-")</f>
        <v>Globe-Powermite</v>
      </c>
      <c r="P49" s="278" t="str">
        <f>IF(B49&gt;0,(VLOOKUP(I49,'Actuator Reference'!$A$2:$H$54,2)),"-")</f>
        <v>SSC81U</v>
      </c>
      <c r="Q49" s="278" t="str">
        <f>IF(B49&gt;0,(VLOOKUP(I49,'Actuator Reference'!$A$2:$H$54,5)),"-")</f>
        <v>Float</v>
      </c>
      <c r="R49" s="278" t="str">
        <f>IF(B49&gt;0,(VLOOKUP(I49,'Actuator Reference'!$A$2:$H$54,6)),"-")</f>
        <v>NSR</v>
      </c>
      <c r="S49" s="278" t="str">
        <f>IF(B49&gt;0,(VLOOKUP(I49,'Actuator Reference'!$A$2:$H$54,7)),"-")</f>
        <v>24V</v>
      </c>
      <c r="T49" s="279" t="str">
        <f>IF(B49&gt;0,(VLOOKUP(I49,'Actuator Reference'!$A$2:$H$54,8)),"-")</f>
        <v>MT-Series</v>
      </c>
      <c r="AD49" s="38"/>
      <c r="AE49" s="38"/>
      <c r="AF49" s="35">
        <v>1</v>
      </c>
      <c r="AG49" s="35" t="s">
        <v>1097</v>
      </c>
      <c r="AH49" s="38" t="str">
        <f t="shared" si="2"/>
        <v>259-02032</v>
      </c>
      <c r="AI49" s="264" t="e">
        <f t="shared" si="3"/>
        <v>#REF!</v>
      </c>
    </row>
    <row r="50" spans="1:35" ht="14.25">
      <c r="A50" s="275" t="e">
        <f>'Box Schedule'!#REF!</f>
        <v>#REF!</v>
      </c>
      <c r="B50" s="262">
        <v>2</v>
      </c>
      <c r="C50" s="229" t="str">
        <f>IF((B50&gt;0),(VLOOKUP(J50,'Valve Reference'!$A$2:$K$389,3)),"-")</f>
        <v>0.5</v>
      </c>
      <c r="D50" s="230" t="s">
        <v>577</v>
      </c>
      <c r="E50" s="231">
        <f>IF((B50&gt;0),('Vlookup Tables'!$B$37),"-")</f>
        <v>5</v>
      </c>
      <c r="F50" s="51">
        <f t="shared" si="0"/>
        <v>0.89442719099991586</v>
      </c>
      <c r="G50" s="228">
        <f>IF((B50&gt;0),(VLOOKUP($B50,'Vlookup Tables'!$B$23:$F$33,2,TRUE)),"-")</f>
        <v>1</v>
      </c>
      <c r="H50" s="52">
        <f t="shared" si="1"/>
        <v>4</v>
      </c>
      <c r="I50" s="50">
        <f>IF((B50&gt;0),('Vlookup Tables'!$B$35),"-")</f>
        <v>259</v>
      </c>
      <c r="J50" s="265" t="str">
        <f>IF(B50&gt;0,(IF(D50="2-Way",VLOOKUP($G50,'Vlookup Tables'!$C$23:$F$33,2,FALSE),VLOOKUP($G50,'Vlookup Tables'!$C$23:$F$33,3,FALSE))),"-")</f>
        <v>02034</v>
      </c>
      <c r="K50" s="276" t="str">
        <f>IF(B50&gt;0,(VLOOKUP(J50,'Valve Reference'!$A$2:$K$389,4)),"-")</f>
        <v>Standard</v>
      </c>
      <c r="L50" s="276" t="str">
        <f>IF(B50&gt;0,(VLOOKUP(J50,'Valve Reference'!$A$2:$K$389,5)),"-")</f>
        <v>BR</v>
      </c>
      <c r="M50" s="276" t="str">
        <f>IF(B50&gt;0,(VLOOKUP(J50,'Valve Reference'!$A$2:$K$389,8)),"-")</f>
        <v>Linear</v>
      </c>
      <c r="N50" s="276" t="str">
        <f>IF(B50&gt;0,(VLOOKUP(J50,'Valve Reference'!$A$2:$K$389,10)),"-")</f>
        <v>FxF</v>
      </c>
      <c r="O50" s="277" t="str">
        <f>IF(B50&gt;0,(VLOOKUP(J50,'Valve Reference'!$A$2:$K$389,11)),"-")</f>
        <v>Globe-Powermite</v>
      </c>
      <c r="P50" s="278" t="str">
        <f>IF(B50&gt;0,(VLOOKUP(I50,'Actuator Reference'!$A$2:$H$54,2)),"-")</f>
        <v>SSC81U</v>
      </c>
      <c r="Q50" s="278" t="str">
        <f>IF(B50&gt;0,(VLOOKUP(I50,'Actuator Reference'!$A$2:$H$54,5)),"-")</f>
        <v>Float</v>
      </c>
      <c r="R50" s="278" t="str">
        <f>IF(B50&gt;0,(VLOOKUP(I50,'Actuator Reference'!$A$2:$H$54,6)),"-")</f>
        <v>NSR</v>
      </c>
      <c r="S50" s="278" t="str">
        <f>IF(B50&gt;0,(VLOOKUP(I50,'Actuator Reference'!$A$2:$H$54,7)),"-")</f>
        <v>24V</v>
      </c>
      <c r="T50" s="279" t="str">
        <f>IF(B50&gt;0,(VLOOKUP(I50,'Actuator Reference'!$A$2:$H$54,8)),"-")</f>
        <v>MT-Series</v>
      </c>
      <c r="AD50" s="38"/>
      <c r="AE50" s="38"/>
      <c r="AF50" s="35">
        <v>1</v>
      </c>
      <c r="AG50" s="35" t="s">
        <v>1097</v>
      </c>
      <c r="AH50" s="38" t="str">
        <f t="shared" si="2"/>
        <v>259-02034</v>
      </c>
      <c r="AI50" s="264" t="e">
        <f t="shared" si="3"/>
        <v>#REF!</v>
      </c>
    </row>
    <row r="51" spans="1:35" ht="14.25">
      <c r="A51" s="275" t="e">
        <f>'Box Schedule'!#REF!</f>
        <v>#REF!</v>
      </c>
      <c r="B51" s="262">
        <v>3</v>
      </c>
      <c r="C51" s="229" t="str">
        <f>IF((B51&gt;0),(VLOOKUP(J51,'Valve Reference'!$A$2:$K$389,3)),"-")</f>
        <v>0.5</v>
      </c>
      <c r="D51" s="230" t="s">
        <v>577</v>
      </c>
      <c r="E51" s="231">
        <f>IF((B51&gt;0),('Vlookup Tables'!$B$37),"-")</f>
        <v>5</v>
      </c>
      <c r="F51" s="51">
        <f t="shared" si="0"/>
        <v>1.3416407864998738</v>
      </c>
      <c r="G51" s="228">
        <f>IF((B51&gt;0),(VLOOKUP($B51,'Vlookup Tables'!$B$23:$F$33,2,TRUE)),"-")</f>
        <v>1.6</v>
      </c>
      <c r="H51" s="52">
        <f t="shared" si="1"/>
        <v>3.515625</v>
      </c>
      <c r="I51" s="50">
        <f>IF((B51&gt;0),('Vlookup Tables'!$B$35),"-")</f>
        <v>259</v>
      </c>
      <c r="J51" s="265" t="str">
        <f>IF(B51&gt;0,(IF(D51="2-Way",VLOOKUP($G51,'Vlookup Tables'!$C$23:$F$33,2,FALSE),VLOOKUP($G51,'Vlookup Tables'!$C$23:$F$33,3,FALSE))),"-")</f>
        <v>02036</v>
      </c>
      <c r="K51" s="276" t="str">
        <f>IF(B51&gt;0,(VLOOKUP(J51,'Valve Reference'!$A$2:$K$389,4)),"-")</f>
        <v>Standard</v>
      </c>
      <c r="L51" s="276" t="str">
        <f>IF(B51&gt;0,(VLOOKUP(J51,'Valve Reference'!$A$2:$K$389,5)),"-")</f>
        <v>BR</v>
      </c>
      <c r="M51" s="276" t="str">
        <f>IF(B51&gt;0,(VLOOKUP(J51,'Valve Reference'!$A$2:$K$389,8)),"-")</f>
        <v>Linear</v>
      </c>
      <c r="N51" s="276" t="str">
        <f>IF(B51&gt;0,(VLOOKUP(J51,'Valve Reference'!$A$2:$K$389,10)),"-")</f>
        <v>FxF</v>
      </c>
      <c r="O51" s="277" t="str">
        <f>IF(B51&gt;0,(VLOOKUP(J51,'Valve Reference'!$A$2:$K$389,11)),"-")</f>
        <v>Globe-Powermite</v>
      </c>
      <c r="P51" s="278" t="str">
        <f>IF(B51&gt;0,(VLOOKUP(I51,'Actuator Reference'!$A$2:$H$54,2)),"-")</f>
        <v>SSC81U</v>
      </c>
      <c r="Q51" s="278" t="str">
        <f>IF(B51&gt;0,(VLOOKUP(I51,'Actuator Reference'!$A$2:$H$54,5)),"-")</f>
        <v>Float</v>
      </c>
      <c r="R51" s="278" t="str">
        <f>IF(B51&gt;0,(VLOOKUP(I51,'Actuator Reference'!$A$2:$H$54,6)),"-")</f>
        <v>NSR</v>
      </c>
      <c r="S51" s="278" t="str">
        <f>IF(B51&gt;0,(VLOOKUP(I51,'Actuator Reference'!$A$2:$H$54,7)),"-")</f>
        <v>24V</v>
      </c>
      <c r="T51" s="279" t="str">
        <f>IF(B51&gt;0,(VLOOKUP(I51,'Actuator Reference'!$A$2:$H$54,8)),"-")</f>
        <v>MT-Series</v>
      </c>
      <c r="AD51" s="38"/>
      <c r="AE51" s="38"/>
      <c r="AF51" s="35">
        <v>1</v>
      </c>
      <c r="AG51" s="35" t="s">
        <v>1097</v>
      </c>
      <c r="AH51" s="38" t="str">
        <f t="shared" si="2"/>
        <v>259-02036</v>
      </c>
      <c r="AI51" s="264" t="e">
        <f t="shared" si="3"/>
        <v>#REF!</v>
      </c>
    </row>
    <row r="52" spans="1:35" ht="14.25">
      <c r="A52" s="275" t="e">
        <f>'Box Schedule'!#REF!</f>
        <v>#REF!</v>
      </c>
      <c r="B52" s="262">
        <v>4</v>
      </c>
      <c r="C52" s="229" t="str">
        <f>IF((B52&gt;0),(VLOOKUP(J52,'Valve Reference'!$A$2:$K$389,3)),"-")</f>
        <v>0.5</v>
      </c>
      <c r="D52" s="230" t="s">
        <v>577</v>
      </c>
      <c r="E52" s="231">
        <f>IF((B52&gt;0),('Vlookup Tables'!$B$37),"-")</f>
        <v>5</v>
      </c>
      <c r="F52" s="51">
        <f t="shared" si="0"/>
        <v>1.7888543819998317</v>
      </c>
      <c r="G52" s="228">
        <f>IF((B52&gt;0),(VLOOKUP($B52,'Vlookup Tables'!$B$23:$F$33,2,TRUE)),"-")</f>
        <v>2.5</v>
      </c>
      <c r="H52" s="52">
        <f t="shared" si="1"/>
        <v>2.56</v>
      </c>
      <c r="I52" s="50">
        <f>IF((B52&gt;0),('Vlookup Tables'!$B$35),"-")</f>
        <v>259</v>
      </c>
      <c r="J52" s="265" t="str">
        <f>IF(B52&gt;0,(IF(D52="2-Way",VLOOKUP($G52,'Vlookup Tables'!$C$23:$F$33,2,FALSE),VLOOKUP($G52,'Vlookup Tables'!$C$23:$F$33,3,FALSE))),"-")</f>
        <v>02038</v>
      </c>
      <c r="K52" s="276" t="str">
        <f>IF(B52&gt;0,(VLOOKUP(J52,'Valve Reference'!$A$2:$K$389,4)),"-")</f>
        <v>Standard</v>
      </c>
      <c r="L52" s="276" t="str">
        <f>IF(B52&gt;0,(VLOOKUP(J52,'Valve Reference'!$A$2:$K$389,5)),"-")</f>
        <v>BR</v>
      </c>
      <c r="M52" s="276" t="str">
        <f>IF(B52&gt;0,(VLOOKUP(J52,'Valve Reference'!$A$2:$K$389,8)),"-")</f>
        <v>Linear</v>
      </c>
      <c r="N52" s="276" t="str">
        <f>IF(B52&gt;0,(VLOOKUP(J52,'Valve Reference'!$A$2:$K$389,10)),"-")</f>
        <v>FxF</v>
      </c>
      <c r="O52" s="277" t="str">
        <f>IF(B52&gt;0,(VLOOKUP(J52,'Valve Reference'!$A$2:$K$389,11)),"-")</f>
        <v>Globe-Powermite</v>
      </c>
      <c r="P52" s="278" t="str">
        <f>IF(B52&gt;0,(VLOOKUP(I52,'Actuator Reference'!$A$2:$H$54,2)),"-")</f>
        <v>SSC81U</v>
      </c>
      <c r="Q52" s="278" t="str">
        <f>IF(B52&gt;0,(VLOOKUP(I52,'Actuator Reference'!$A$2:$H$54,5)),"-")</f>
        <v>Float</v>
      </c>
      <c r="R52" s="278" t="str">
        <f>IF(B52&gt;0,(VLOOKUP(I52,'Actuator Reference'!$A$2:$H$54,6)),"-")</f>
        <v>NSR</v>
      </c>
      <c r="S52" s="278" t="str">
        <f>IF(B52&gt;0,(VLOOKUP(I52,'Actuator Reference'!$A$2:$H$54,7)),"-")</f>
        <v>24V</v>
      </c>
      <c r="T52" s="279" t="str">
        <f>IF(B52&gt;0,(VLOOKUP(I52,'Actuator Reference'!$A$2:$H$54,8)),"-")</f>
        <v>MT-Series</v>
      </c>
      <c r="AD52" s="38"/>
      <c r="AE52" s="38"/>
      <c r="AF52" s="35">
        <v>1</v>
      </c>
      <c r="AG52" s="35" t="s">
        <v>1097</v>
      </c>
      <c r="AH52" s="38" t="str">
        <f t="shared" si="2"/>
        <v>259-02038</v>
      </c>
      <c r="AI52" s="264" t="e">
        <f t="shared" si="3"/>
        <v>#REF!</v>
      </c>
    </row>
    <row r="53" spans="1:35" ht="14.25">
      <c r="A53" s="275" t="e">
        <f>'Box Schedule'!#REF!</f>
        <v>#REF!</v>
      </c>
      <c r="B53" s="262">
        <v>5</v>
      </c>
      <c r="C53" s="229" t="str">
        <f>IF((B53&gt;0),(VLOOKUP(J53,'Valve Reference'!$A$2:$K$389,3)),"-")</f>
        <v>0.5</v>
      </c>
      <c r="D53" s="230" t="s">
        <v>577</v>
      </c>
      <c r="E53" s="231">
        <f>IF((B53&gt;0),('Vlookup Tables'!$B$37),"-")</f>
        <v>5</v>
      </c>
      <c r="F53" s="51">
        <f t="shared" si="0"/>
        <v>2.2360679774997898</v>
      </c>
      <c r="G53" s="228">
        <f>IF((B53&gt;0),(VLOOKUP($B53,'Vlookup Tables'!$B$23:$F$33,2,TRUE)),"-")</f>
        <v>2.5</v>
      </c>
      <c r="H53" s="52">
        <f t="shared" si="1"/>
        <v>4</v>
      </c>
      <c r="I53" s="50">
        <f>IF((B53&gt;0),('Vlookup Tables'!$B$35),"-")</f>
        <v>259</v>
      </c>
      <c r="J53" s="265" t="str">
        <f>IF(B53&gt;0,(IF(D53="2-Way",VLOOKUP($G53,'Vlookup Tables'!$C$23:$F$33,2,FALSE),VLOOKUP($G53,'Vlookup Tables'!$C$23:$F$33,3,FALSE))),"-")</f>
        <v>02038</v>
      </c>
      <c r="K53" s="276" t="str">
        <f>IF(B53&gt;0,(VLOOKUP(J53,'Valve Reference'!$A$2:$K$389,4)),"-")</f>
        <v>Standard</v>
      </c>
      <c r="L53" s="276" t="str">
        <f>IF(B53&gt;0,(VLOOKUP(J53,'Valve Reference'!$A$2:$K$389,5)),"-")</f>
        <v>BR</v>
      </c>
      <c r="M53" s="276" t="str">
        <f>IF(B53&gt;0,(VLOOKUP(J53,'Valve Reference'!$A$2:$K$389,8)),"-")</f>
        <v>Linear</v>
      </c>
      <c r="N53" s="276" t="str">
        <f>IF(B53&gt;0,(VLOOKUP(J53,'Valve Reference'!$A$2:$K$389,10)),"-")</f>
        <v>FxF</v>
      </c>
      <c r="O53" s="277" t="str">
        <f>IF(B53&gt;0,(VLOOKUP(J53,'Valve Reference'!$A$2:$K$389,11)),"-")</f>
        <v>Globe-Powermite</v>
      </c>
      <c r="P53" s="278" t="str">
        <f>IF(B53&gt;0,(VLOOKUP(I53,'Actuator Reference'!$A$2:$H$54,2)),"-")</f>
        <v>SSC81U</v>
      </c>
      <c r="Q53" s="278" t="str">
        <f>IF(B53&gt;0,(VLOOKUP(I53,'Actuator Reference'!$A$2:$H$54,5)),"-")</f>
        <v>Float</v>
      </c>
      <c r="R53" s="278" t="str">
        <f>IF(B53&gt;0,(VLOOKUP(I53,'Actuator Reference'!$A$2:$H$54,6)),"-")</f>
        <v>NSR</v>
      </c>
      <c r="S53" s="278" t="str">
        <f>IF(B53&gt;0,(VLOOKUP(I53,'Actuator Reference'!$A$2:$H$54,7)),"-")</f>
        <v>24V</v>
      </c>
      <c r="T53" s="279" t="str">
        <f>IF(B53&gt;0,(VLOOKUP(I53,'Actuator Reference'!$A$2:$H$54,8)),"-")</f>
        <v>MT-Series</v>
      </c>
      <c r="AD53" s="38"/>
      <c r="AE53" s="38"/>
      <c r="AF53" s="35">
        <v>1</v>
      </c>
      <c r="AG53" s="35" t="s">
        <v>1097</v>
      </c>
      <c r="AH53" s="38" t="str">
        <f t="shared" si="2"/>
        <v>259-02038</v>
      </c>
      <c r="AI53" s="264" t="e">
        <f t="shared" si="3"/>
        <v>#REF!</v>
      </c>
    </row>
    <row r="54" spans="1:35" ht="14.25">
      <c r="A54" s="275" t="e">
        <f>'Box Schedule'!#REF!</f>
        <v>#REF!</v>
      </c>
      <c r="B54" s="262">
        <v>6</v>
      </c>
      <c r="C54" s="229" t="str">
        <f>IF((B54&gt;0),(VLOOKUP(J54,'Valve Reference'!$A$2:$K$389,3)),"-")</f>
        <v>0.5</v>
      </c>
      <c r="D54" s="230" t="s">
        <v>577</v>
      </c>
      <c r="E54" s="231">
        <f>IF((B54&gt;0),('Vlookup Tables'!$B$37),"-")</f>
        <v>5</v>
      </c>
      <c r="F54" s="51">
        <f t="shared" si="0"/>
        <v>2.6832815729997477</v>
      </c>
      <c r="G54" s="228">
        <f>IF((B54&gt;0),(VLOOKUP($B54,'Vlookup Tables'!$B$23:$F$33,2,TRUE)),"-")</f>
        <v>4</v>
      </c>
      <c r="H54" s="52">
        <f t="shared" si="1"/>
        <v>2.25</v>
      </c>
      <c r="I54" s="50">
        <f>IF((B54&gt;0),('Vlookup Tables'!$B$35),"-")</f>
        <v>259</v>
      </c>
      <c r="J54" s="265" t="str">
        <f>IF(B54&gt;0,(IF(D54="2-Way",VLOOKUP($G54,'Vlookup Tables'!$C$23:$F$33,2,FALSE),VLOOKUP($G54,'Vlookup Tables'!$C$23:$F$33,3,FALSE))),"-")</f>
        <v>02041</v>
      </c>
      <c r="K54" s="276" t="str">
        <f>IF(B54&gt;0,(VLOOKUP(J54,'Valve Reference'!$A$2:$K$389,4)),"-")</f>
        <v>Standard</v>
      </c>
      <c r="L54" s="276" t="str">
        <f>IF(B54&gt;0,(VLOOKUP(J54,'Valve Reference'!$A$2:$K$389,5)),"-")</f>
        <v>BR</v>
      </c>
      <c r="M54" s="276" t="str">
        <f>IF(B54&gt;0,(VLOOKUP(J54,'Valve Reference'!$A$2:$K$389,8)),"-")</f>
        <v>Linear</v>
      </c>
      <c r="N54" s="276" t="str">
        <f>IF(B54&gt;0,(VLOOKUP(J54,'Valve Reference'!$A$2:$K$389,10)),"-")</f>
        <v>FxF</v>
      </c>
      <c r="O54" s="277" t="str">
        <f>IF(B54&gt;0,(VLOOKUP(J54,'Valve Reference'!$A$2:$K$389,11)),"-")</f>
        <v>Globe-Powermite</v>
      </c>
      <c r="P54" s="278" t="str">
        <f>IF(B54&gt;0,(VLOOKUP(I54,'Actuator Reference'!$A$2:$H$54,2)),"-")</f>
        <v>SSC81U</v>
      </c>
      <c r="Q54" s="278" t="str">
        <f>IF(B54&gt;0,(VLOOKUP(I54,'Actuator Reference'!$A$2:$H$54,5)),"-")</f>
        <v>Float</v>
      </c>
      <c r="R54" s="278" t="str">
        <f>IF(B54&gt;0,(VLOOKUP(I54,'Actuator Reference'!$A$2:$H$54,6)),"-")</f>
        <v>NSR</v>
      </c>
      <c r="S54" s="278" t="str">
        <f>IF(B54&gt;0,(VLOOKUP(I54,'Actuator Reference'!$A$2:$H$54,7)),"-")</f>
        <v>24V</v>
      </c>
      <c r="T54" s="279" t="str">
        <f>IF(B54&gt;0,(VLOOKUP(I54,'Actuator Reference'!$A$2:$H$54,8)),"-")</f>
        <v>MT-Series</v>
      </c>
      <c r="AD54" s="38"/>
      <c r="AE54" s="38"/>
      <c r="AF54" s="35">
        <v>1</v>
      </c>
      <c r="AG54" s="35" t="s">
        <v>1097</v>
      </c>
      <c r="AH54" s="38" t="str">
        <f t="shared" si="2"/>
        <v>259-02041</v>
      </c>
      <c r="AI54" s="264" t="e">
        <f t="shared" si="3"/>
        <v>#REF!</v>
      </c>
    </row>
    <row r="55" spans="1:35" ht="14.25">
      <c r="A55" s="275" t="e">
        <f>'Box Schedule'!#REF!</f>
        <v>#REF!</v>
      </c>
      <c r="B55" s="262">
        <v>7</v>
      </c>
      <c r="C55" s="229" t="str">
        <f>IF((B55&gt;0),(VLOOKUP(J55,'Valve Reference'!$A$2:$K$389,3)),"-")</f>
        <v>0.5</v>
      </c>
      <c r="D55" s="230" t="s">
        <v>577</v>
      </c>
      <c r="E55" s="231">
        <f>IF((B55&gt;0),('Vlookup Tables'!$B$37),"-")</f>
        <v>5</v>
      </c>
      <c r="F55" s="51">
        <f t="shared" si="0"/>
        <v>3.1304951684997055</v>
      </c>
      <c r="G55" s="228">
        <f>IF((B55&gt;0),(VLOOKUP($B55,'Vlookup Tables'!$B$23:$F$33,2,TRUE)),"-")</f>
        <v>4</v>
      </c>
      <c r="H55" s="52">
        <f t="shared" si="1"/>
        <v>3.0625000000000004</v>
      </c>
      <c r="I55" s="50">
        <f>IF((B55&gt;0),('Vlookup Tables'!$B$35),"-")</f>
        <v>259</v>
      </c>
      <c r="J55" s="265" t="str">
        <f>IF(B55&gt;0,(IF(D55="2-Way",VLOOKUP($G55,'Vlookup Tables'!$C$23:$F$33,2,FALSE),VLOOKUP($G55,'Vlookup Tables'!$C$23:$F$33,3,FALSE))),"-")</f>
        <v>02041</v>
      </c>
      <c r="K55" s="276" t="str">
        <f>IF(B55&gt;0,(VLOOKUP(J55,'Valve Reference'!$A$2:$K$389,4)),"-")</f>
        <v>Standard</v>
      </c>
      <c r="L55" s="276" t="str">
        <f>IF(B55&gt;0,(VLOOKUP(J55,'Valve Reference'!$A$2:$K$389,5)),"-")</f>
        <v>BR</v>
      </c>
      <c r="M55" s="276" t="str">
        <f>IF(B55&gt;0,(VLOOKUP(J55,'Valve Reference'!$A$2:$K$389,8)),"-")</f>
        <v>Linear</v>
      </c>
      <c r="N55" s="276" t="str">
        <f>IF(B55&gt;0,(VLOOKUP(J55,'Valve Reference'!$A$2:$K$389,10)),"-")</f>
        <v>FxF</v>
      </c>
      <c r="O55" s="277" t="str">
        <f>IF(B55&gt;0,(VLOOKUP(J55,'Valve Reference'!$A$2:$K$389,11)),"-")</f>
        <v>Globe-Powermite</v>
      </c>
      <c r="P55" s="278" t="str">
        <f>IF(B55&gt;0,(VLOOKUP(I55,'Actuator Reference'!$A$2:$H$54,2)),"-")</f>
        <v>SSC81U</v>
      </c>
      <c r="Q55" s="278" t="str">
        <f>IF(B55&gt;0,(VLOOKUP(I55,'Actuator Reference'!$A$2:$H$54,5)),"-")</f>
        <v>Float</v>
      </c>
      <c r="R55" s="278" t="str">
        <f>IF(B55&gt;0,(VLOOKUP(I55,'Actuator Reference'!$A$2:$H$54,6)),"-")</f>
        <v>NSR</v>
      </c>
      <c r="S55" s="278" t="str">
        <f>IF(B55&gt;0,(VLOOKUP(I55,'Actuator Reference'!$A$2:$H$54,7)),"-")</f>
        <v>24V</v>
      </c>
      <c r="T55" s="279" t="str">
        <f>IF(B55&gt;0,(VLOOKUP(I55,'Actuator Reference'!$A$2:$H$54,8)),"-")</f>
        <v>MT-Series</v>
      </c>
      <c r="AD55" s="38"/>
      <c r="AE55" s="38"/>
      <c r="AF55" s="35">
        <v>1</v>
      </c>
      <c r="AG55" s="35" t="s">
        <v>1097</v>
      </c>
      <c r="AH55" s="38" t="str">
        <f t="shared" si="2"/>
        <v>259-02041</v>
      </c>
      <c r="AI55" s="264" t="e">
        <f t="shared" si="3"/>
        <v>#REF!</v>
      </c>
    </row>
    <row r="56" spans="1:35" ht="14.25">
      <c r="A56" s="275" t="e">
        <f>'Box Schedule'!#REF!</f>
        <v>#REF!</v>
      </c>
      <c r="B56" s="262">
        <v>8</v>
      </c>
      <c r="C56" s="229" t="str">
        <f>IF((B56&gt;0),(VLOOKUP(J56,'Valve Reference'!$A$2:$K$389,3)),"-")</f>
        <v>0.5</v>
      </c>
      <c r="D56" s="230" t="s">
        <v>577</v>
      </c>
      <c r="E56" s="231">
        <f>IF((B56&gt;0),('Vlookup Tables'!$B$37),"-")</f>
        <v>5</v>
      </c>
      <c r="F56" s="51">
        <f t="shared" si="0"/>
        <v>3.5777087639996634</v>
      </c>
      <c r="G56" s="228">
        <f>IF((B56&gt;0),(VLOOKUP($B56,'Vlookup Tables'!$B$23:$F$33,2,TRUE)),"-")</f>
        <v>4</v>
      </c>
      <c r="H56" s="52">
        <f t="shared" si="1"/>
        <v>4</v>
      </c>
      <c r="I56" s="50">
        <f>IF((B56&gt;0),('Vlookup Tables'!$B$35),"-")</f>
        <v>259</v>
      </c>
      <c r="J56" s="265" t="str">
        <f>IF(B56&gt;0,(IF(D56="2-Way",VLOOKUP($G56,'Vlookup Tables'!$C$23:$F$33,2,FALSE),VLOOKUP($G56,'Vlookup Tables'!$C$23:$F$33,3,FALSE))),"-")</f>
        <v>02041</v>
      </c>
      <c r="K56" s="276" t="str">
        <f>IF(B56&gt;0,(VLOOKUP(J56,'Valve Reference'!$A$2:$K$389,4)),"-")</f>
        <v>Standard</v>
      </c>
      <c r="L56" s="276" t="str">
        <f>IF(B56&gt;0,(VLOOKUP(J56,'Valve Reference'!$A$2:$K$389,5)),"-")</f>
        <v>BR</v>
      </c>
      <c r="M56" s="276" t="str">
        <f>IF(B56&gt;0,(VLOOKUP(J56,'Valve Reference'!$A$2:$K$389,8)),"-")</f>
        <v>Linear</v>
      </c>
      <c r="N56" s="276" t="str">
        <f>IF(B56&gt;0,(VLOOKUP(J56,'Valve Reference'!$A$2:$K$389,10)),"-")</f>
        <v>FxF</v>
      </c>
      <c r="O56" s="277" t="str">
        <f>IF(B56&gt;0,(VLOOKUP(J56,'Valve Reference'!$A$2:$K$389,11)),"-")</f>
        <v>Globe-Powermite</v>
      </c>
      <c r="P56" s="278" t="str">
        <f>IF(B56&gt;0,(VLOOKUP(I56,'Actuator Reference'!$A$2:$H$54,2)),"-")</f>
        <v>SSC81U</v>
      </c>
      <c r="Q56" s="278" t="str">
        <f>IF(B56&gt;0,(VLOOKUP(I56,'Actuator Reference'!$A$2:$H$54,5)),"-")</f>
        <v>Float</v>
      </c>
      <c r="R56" s="278" t="str">
        <f>IF(B56&gt;0,(VLOOKUP(I56,'Actuator Reference'!$A$2:$H$54,6)),"-")</f>
        <v>NSR</v>
      </c>
      <c r="S56" s="278" t="str">
        <f>IF(B56&gt;0,(VLOOKUP(I56,'Actuator Reference'!$A$2:$H$54,7)),"-")</f>
        <v>24V</v>
      </c>
      <c r="T56" s="279" t="str">
        <f>IF(B56&gt;0,(VLOOKUP(I56,'Actuator Reference'!$A$2:$H$54,8)),"-")</f>
        <v>MT-Series</v>
      </c>
      <c r="AD56" s="38"/>
      <c r="AE56" s="38"/>
      <c r="AF56" s="35">
        <v>1</v>
      </c>
      <c r="AG56" s="35" t="s">
        <v>1097</v>
      </c>
      <c r="AH56" s="38" t="str">
        <f t="shared" si="2"/>
        <v>259-02041</v>
      </c>
      <c r="AI56" s="264" t="e">
        <f t="shared" si="3"/>
        <v>#REF!</v>
      </c>
    </row>
    <row r="57" spans="1:35" ht="14.25">
      <c r="A57" s="275" t="e">
        <f>'Box Schedule'!#REF!</f>
        <v>#REF!</v>
      </c>
      <c r="B57" s="262">
        <v>9</v>
      </c>
      <c r="C57" s="229" t="str">
        <f>IF((B57&gt;0),(VLOOKUP(J57,'Valve Reference'!$A$2:$K$389,3)),"-")</f>
        <v>0.75</v>
      </c>
      <c r="D57" s="230" t="s">
        <v>577</v>
      </c>
      <c r="E57" s="231">
        <f>IF((B57&gt;0),('Vlookup Tables'!$B$37),"-")</f>
        <v>5</v>
      </c>
      <c r="F57" s="51">
        <f t="shared" si="0"/>
        <v>4.0249223594996213</v>
      </c>
      <c r="G57" s="228">
        <f>IF((B57&gt;0),(VLOOKUP($B57,'Vlookup Tables'!$B$23:$F$33,2,TRUE)),"-")</f>
        <v>6.3</v>
      </c>
      <c r="H57" s="52">
        <f t="shared" si="1"/>
        <v>2.0408163265306127</v>
      </c>
      <c r="I57" s="50">
        <f>IF((B57&gt;0),('Vlookup Tables'!$B$35),"-")</f>
        <v>259</v>
      </c>
      <c r="J57" s="265" t="str">
        <f>IF(B57&gt;0,(IF(D57="2-Way",VLOOKUP($G57,'Vlookup Tables'!$C$23:$F$33,2,FALSE),VLOOKUP($G57,'Vlookup Tables'!$C$23:$F$33,3,FALSE))),"-")</f>
        <v>02044</v>
      </c>
      <c r="K57" s="276" t="str">
        <f>IF(B57&gt;0,(VLOOKUP(J57,'Valve Reference'!$A$2:$K$389,4)),"-")</f>
        <v>Standard</v>
      </c>
      <c r="L57" s="276" t="str">
        <f>IF(B57&gt;0,(VLOOKUP(J57,'Valve Reference'!$A$2:$K$389,5)),"-")</f>
        <v>BR</v>
      </c>
      <c r="M57" s="276" t="str">
        <f>IF(B57&gt;0,(VLOOKUP(J57,'Valve Reference'!$A$2:$K$389,8)),"-")</f>
        <v>Linear</v>
      </c>
      <c r="N57" s="276" t="str">
        <f>IF(B57&gt;0,(VLOOKUP(J57,'Valve Reference'!$A$2:$K$389,10)),"-")</f>
        <v>FxF</v>
      </c>
      <c r="O57" s="277" t="str">
        <f>IF(B57&gt;0,(VLOOKUP(J57,'Valve Reference'!$A$2:$K$389,11)),"-")</f>
        <v>Globe-Powermite</v>
      </c>
      <c r="P57" s="278" t="str">
        <f>IF(B57&gt;0,(VLOOKUP(I57,'Actuator Reference'!$A$2:$H$54,2)),"-")</f>
        <v>SSC81U</v>
      </c>
      <c r="Q57" s="278" t="str">
        <f>IF(B57&gt;0,(VLOOKUP(I57,'Actuator Reference'!$A$2:$H$54,5)),"-")</f>
        <v>Float</v>
      </c>
      <c r="R57" s="278" t="str">
        <f>IF(B57&gt;0,(VLOOKUP(I57,'Actuator Reference'!$A$2:$H$54,6)),"-")</f>
        <v>NSR</v>
      </c>
      <c r="S57" s="278" t="str">
        <f>IF(B57&gt;0,(VLOOKUP(I57,'Actuator Reference'!$A$2:$H$54,7)),"-")</f>
        <v>24V</v>
      </c>
      <c r="T57" s="279" t="str">
        <f>IF(B57&gt;0,(VLOOKUP(I57,'Actuator Reference'!$A$2:$H$54,8)),"-")</f>
        <v>MT-Series</v>
      </c>
      <c r="AD57" s="38"/>
      <c r="AE57" s="38"/>
      <c r="AF57" s="35">
        <v>1</v>
      </c>
      <c r="AG57" s="35" t="s">
        <v>1097</v>
      </c>
      <c r="AH57" s="38" t="str">
        <f t="shared" si="2"/>
        <v>259-02044</v>
      </c>
      <c r="AI57" s="264" t="e">
        <f t="shared" si="3"/>
        <v>#REF!</v>
      </c>
    </row>
    <row r="58" spans="1:35" ht="14.25">
      <c r="A58" s="275" t="e">
        <f>'Box Schedule'!#REF!</f>
        <v>#REF!</v>
      </c>
      <c r="B58" s="262">
        <v>1</v>
      </c>
      <c r="C58" s="229" t="str">
        <f>IF((B58&gt;0),(VLOOKUP(J58,'Valve Reference'!$A$2:$K$389,3)),"-")</f>
        <v>0.5</v>
      </c>
      <c r="D58" s="230" t="s">
        <v>577</v>
      </c>
      <c r="E58" s="231">
        <f>IF((B58&gt;0),('Vlookup Tables'!$B$37),"-")</f>
        <v>5</v>
      </c>
      <c r="F58" s="51">
        <f t="shared" si="0"/>
        <v>0.44721359549995793</v>
      </c>
      <c r="G58" s="228">
        <f>IF((B58&gt;0),(VLOOKUP($B58,'Vlookup Tables'!$B$23:$F$33,2,TRUE)),"-")</f>
        <v>0.63</v>
      </c>
      <c r="H58" s="52">
        <f t="shared" si="1"/>
        <v>2.5195263290501382</v>
      </c>
      <c r="I58" s="50">
        <f>IF((B58&gt;0),('Vlookup Tables'!$B$35),"-")</f>
        <v>259</v>
      </c>
      <c r="J58" s="265" t="str">
        <f>IF(B58&gt;0,(IF(D58="2-Way",VLOOKUP($G58,'Vlookup Tables'!$C$23:$F$33,2,FALSE),VLOOKUP($G58,'Vlookup Tables'!$C$23:$F$33,3,FALSE))),"-")</f>
        <v>02032</v>
      </c>
      <c r="K58" s="276" t="str">
        <f>IF(B58&gt;0,(VLOOKUP(J58,'Valve Reference'!$A$2:$K$389,4)),"-")</f>
        <v>Standard</v>
      </c>
      <c r="L58" s="276" t="str">
        <f>IF(B58&gt;0,(VLOOKUP(J58,'Valve Reference'!$A$2:$K$389,5)),"-")</f>
        <v>BR</v>
      </c>
      <c r="M58" s="276" t="str">
        <f>IF(B58&gt;0,(VLOOKUP(J58,'Valve Reference'!$A$2:$K$389,8)),"-")</f>
        <v>Linear</v>
      </c>
      <c r="N58" s="276" t="str">
        <f>IF(B58&gt;0,(VLOOKUP(J58,'Valve Reference'!$A$2:$K$389,10)),"-")</f>
        <v>FxF</v>
      </c>
      <c r="O58" s="277" t="str">
        <f>IF(B58&gt;0,(VLOOKUP(J58,'Valve Reference'!$A$2:$K$389,11)),"-")</f>
        <v>Globe-Powermite</v>
      </c>
      <c r="P58" s="278" t="str">
        <f>IF(B58&gt;0,(VLOOKUP(I58,'Actuator Reference'!$A$2:$H$54,2)),"-")</f>
        <v>SSC81U</v>
      </c>
      <c r="Q58" s="278" t="str">
        <f>IF(B58&gt;0,(VLOOKUP(I58,'Actuator Reference'!$A$2:$H$54,5)),"-")</f>
        <v>Float</v>
      </c>
      <c r="R58" s="278" t="str">
        <f>IF(B58&gt;0,(VLOOKUP(I58,'Actuator Reference'!$A$2:$H$54,6)),"-")</f>
        <v>NSR</v>
      </c>
      <c r="S58" s="278" t="str">
        <f>IF(B58&gt;0,(VLOOKUP(I58,'Actuator Reference'!$A$2:$H$54,7)),"-")</f>
        <v>24V</v>
      </c>
      <c r="T58" s="279" t="str">
        <f>IF(B58&gt;0,(VLOOKUP(I58,'Actuator Reference'!$A$2:$H$54,8)),"-")</f>
        <v>MT-Series</v>
      </c>
      <c r="AD58" s="38"/>
      <c r="AE58" s="38"/>
      <c r="AF58" s="35">
        <v>1</v>
      </c>
      <c r="AG58" s="35" t="s">
        <v>1097</v>
      </c>
      <c r="AH58" s="38" t="str">
        <f t="shared" si="2"/>
        <v>259-02032</v>
      </c>
      <c r="AI58" s="264" t="e">
        <f t="shared" si="3"/>
        <v>#REF!</v>
      </c>
    </row>
    <row r="59" spans="1:35" ht="14.25">
      <c r="A59" s="275" t="e">
        <f>'Box Schedule'!#REF!</f>
        <v>#REF!</v>
      </c>
      <c r="B59" s="262">
        <v>2</v>
      </c>
      <c r="C59" s="229" t="str">
        <f>IF((B59&gt;0),(VLOOKUP(J59,'Valve Reference'!$A$2:$K$389,3)),"-")</f>
        <v>0.5</v>
      </c>
      <c r="D59" s="230" t="s">
        <v>577</v>
      </c>
      <c r="E59" s="231">
        <f>IF((B59&gt;0),('Vlookup Tables'!$B$37),"-")</f>
        <v>5</v>
      </c>
      <c r="F59" s="51">
        <f t="shared" si="0"/>
        <v>0.89442719099991586</v>
      </c>
      <c r="G59" s="228">
        <f>IF((B59&gt;0),(VLOOKUP($B59,'Vlookup Tables'!$B$23:$F$33,2,TRUE)),"-")</f>
        <v>1</v>
      </c>
      <c r="H59" s="52">
        <f t="shared" si="1"/>
        <v>4</v>
      </c>
      <c r="I59" s="50">
        <f>IF((B59&gt;0),('Vlookup Tables'!$B$35),"-")</f>
        <v>259</v>
      </c>
      <c r="J59" s="265" t="str">
        <f>IF(B59&gt;0,(IF(D59="2-Way",VLOOKUP($G59,'Vlookup Tables'!$C$23:$F$33,2,FALSE),VLOOKUP($G59,'Vlookup Tables'!$C$23:$F$33,3,FALSE))),"-")</f>
        <v>02034</v>
      </c>
      <c r="K59" s="276" t="str">
        <f>IF(B59&gt;0,(VLOOKUP(J59,'Valve Reference'!$A$2:$K$389,4)),"-")</f>
        <v>Standard</v>
      </c>
      <c r="L59" s="276" t="str">
        <f>IF(B59&gt;0,(VLOOKUP(J59,'Valve Reference'!$A$2:$K$389,5)),"-")</f>
        <v>BR</v>
      </c>
      <c r="M59" s="276" t="str">
        <f>IF(B59&gt;0,(VLOOKUP(J59,'Valve Reference'!$A$2:$K$389,8)),"-")</f>
        <v>Linear</v>
      </c>
      <c r="N59" s="276" t="str">
        <f>IF(B59&gt;0,(VLOOKUP(J59,'Valve Reference'!$A$2:$K$389,10)),"-")</f>
        <v>FxF</v>
      </c>
      <c r="O59" s="277" t="str">
        <f>IF(B59&gt;0,(VLOOKUP(J59,'Valve Reference'!$A$2:$K$389,11)),"-")</f>
        <v>Globe-Powermite</v>
      </c>
      <c r="P59" s="278" t="str">
        <f>IF(B59&gt;0,(VLOOKUP(I59,'Actuator Reference'!$A$2:$H$54,2)),"-")</f>
        <v>SSC81U</v>
      </c>
      <c r="Q59" s="278" t="str">
        <f>IF(B59&gt;0,(VLOOKUP(I59,'Actuator Reference'!$A$2:$H$54,5)),"-")</f>
        <v>Float</v>
      </c>
      <c r="R59" s="278" t="str">
        <f>IF(B59&gt;0,(VLOOKUP(I59,'Actuator Reference'!$A$2:$H$54,6)),"-")</f>
        <v>NSR</v>
      </c>
      <c r="S59" s="278" t="str">
        <f>IF(B59&gt;0,(VLOOKUP(I59,'Actuator Reference'!$A$2:$H$54,7)),"-")</f>
        <v>24V</v>
      </c>
      <c r="T59" s="279" t="str">
        <f>IF(B59&gt;0,(VLOOKUP(I59,'Actuator Reference'!$A$2:$H$54,8)),"-")</f>
        <v>MT-Series</v>
      </c>
      <c r="AD59" s="38"/>
      <c r="AE59" s="38"/>
      <c r="AF59" s="35">
        <v>1</v>
      </c>
      <c r="AG59" s="35" t="s">
        <v>1097</v>
      </c>
      <c r="AH59" s="38" t="str">
        <f t="shared" si="2"/>
        <v>259-02034</v>
      </c>
      <c r="AI59" s="264" t="e">
        <f t="shared" si="3"/>
        <v>#REF!</v>
      </c>
    </row>
    <row r="60" spans="1:35" ht="14.25">
      <c r="A60" s="275" t="e">
        <f>'Box Schedule'!#REF!</f>
        <v>#REF!</v>
      </c>
      <c r="B60" s="262">
        <v>3</v>
      </c>
      <c r="C60" s="229" t="str">
        <f>IF((B60&gt;0),(VLOOKUP(J60,'Valve Reference'!$A$2:$K$389,3)),"-")</f>
        <v>0.5</v>
      </c>
      <c r="D60" s="230" t="s">
        <v>577</v>
      </c>
      <c r="E60" s="231">
        <f>IF((B60&gt;0),('Vlookup Tables'!$B$37),"-")</f>
        <v>5</v>
      </c>
      <c r="F60" s="51">
        <f t="shared" si="0"/>
        <v>1.3416407864998738</v>
      </c>
      <c r="G60" s="228">
        <f>IF((B60&gt;0),(VLOOKUP($B60,'Vlookup Tables'!$B$23:$F$33,2,TRUE)),"-")</f>
        <v>1.6</v>
      </c>
      <c r="H60" s="52">
        <f t="shared" si="1"/>
        <v>3.515625</v>
      </c>
      <c r="I60" s="50">
        <f>IF((B60&gt;0),('Vlookup Tables'!$B$35),"-")</f>
        <v>259</v>
      </c>
      <c r="J60" s="265" t="str">
        <f>IF(B60&gt;0,(IF(D60="2-Way",VLOOKUP($G60,'Vlookup Tables'!$C$23:$F$33,2,FALSE),VLOOKUP($G60,'Vlookup Tables'!$C$23:$F$33,3,FALSE))),"-")</f>
        <v>02036</v>
      </c>
      <c r="K60" s="276" t="str">
        <f>IF(B60&gt;0,(VLOOKUP(J60,'Valve Reference'!$A$2:$K$389,4)),"-")</f>
        <v>Standard</v>
      </c>
      <c r="L60" s="276" t="str">
        <f>IF(B60&gt;0,(VLOOKUP(J60,'Valve Reference'!$A$2:$K$389,5)),"-")</f>
        <v>BR</v>
      </c>
      <c r="M60" s="276" t="str">
        <f>IF(B60&gt;0,(VLOOKUP(J60,'Valve Reference'!$A$2:$K$389,8)),"-")</f>
        <v>Linear</v>
      </c>
      <c r="N60" s="276" t="str">
        <f>IF(B60&gt;0,(VLOOKUP(J60,'Valve Reference'!$A$2:$K$389,10)),"-")</f>
        <v>FxF</v>
      </c>
      <c r="O60" s="277" t="str">
        <f>IF(B60&gt;0,(VLOOKUP(J60,'Valve Reference'!$A$2:$K$389,11)),"-")</f>
        <v>Globe-Powermite</v>
      </c>
      <c r="P60" s="278" t="str">
        <f>IF(B60&gt;0,(VLOOKUP(I60,'Actuator Reference'!$A$2:$H$54,2)),"-")</f>
        <v>SSC81U</v>
      </c>
      <c r="Q60" s="278" t="str">
        <f>IF(B60&gt;0,(VLOOKUP(I60,'Actuator Reference'!$A$2:$H$54,5)),"-")</f>
        <v>Float</v>
      </c>
      <c r="R60" s="278" t="str">
        <f>IF(B60&gt;0,(VLOOKUP(I60,'Actuator Reference'!$A$2:$H$54,6)),"-")</f>
        <v>NSR</v>
      </c>
      <c r="S60" s="278" t="str">
        <f>IF(B60&gt;0,(VLOOKUP(I60,'Actuator Reference'!$A$2:$H$54,7)),"-")</f>
        <v>24V</v>
      </c>
      <c r="T60" s="279" t="str">
        <f>IF(B60&gt;0,(VLOOKUP(I60,'Actuator Reference'!$A$2:$H$54,8)),"-")</f>
        <v>MT-Series</v>
      </c>
      <c r="AD60" s="38"/>
      <c r="AE60" s="38"/>
      <c r="AF60" s="35">
        <v>1</v>
      </c>
      <c r="AG60" s="35" t="s">
        <v>1097</v>
      </c>
      <c r="AH60" s="38" t="str">
        <f t="shared" si="2"/>
        <v>259-02036</v>
      </c>
      <c r="AI60" s="264" t="e">
        <f t="shared" si="3"/>
        <v>#REF!</v>
      </c>
    </row>
    <row r="61" spans="1:35" ht="14.25">
      <c r="A61" s="275" t="e">
        <f>'Box Schedule'!#REF!</f>
        <v>#REF!</v>
      </c>
      <c r="B61" s="262">
        <v>4</v>
      </c>
      <c r="C61" s="229" t="str">
        <f>IF((B61&gt;0),(VLOOKUP(J61,'Valve Reference'!$A$2:$K$389,3)),"-")</f>
        <v>0.5</v>
      </c>
      <c r="D61" s="230" t="s">
        <v>577</v>
      </c>
      <c r="E61" s="231">
        <f>IF((B61&gt;0),('Vlookup Tables'!$B$37),"-")</f>
        <v>5</v>
      </c>
      <c r="F61" s="51">
        <f t="shared" si="0"/>
        <v>1.7888543819998317</v>
      </c>
      <c r="G61" s="228">
        <f>IF((B61&gt;0),(VLOOKUP($B61,'Vlookup Tables'!$B$23:$F$33,2,TRUE)),"-")</f>
        <v>2.5</v>
      </c>
      <c r="H61" s="52">
        <f t="shared" si="1"/>
        <v>2.56</v>
      </c>
      <c r="I61" s="50">
        <f>IF((B61&gt;0),('Vlookup Tables'!$B$35),"-")</f>
        <v>259</v>
      </c>
      <c r="J61" s="265" t="str">
        <f>IF(B61&gt;0,(IF(D61="2-Way",VLOOKUP($G61,'Vlookup Tables'!$C$23:$F$33,2,FALSE),VLOOKUP($G61,'Vlookup Tables'!$C$23:$F$33,3,FALSE))),"-")</f>
        <v>02038</v>
      </c>
      <c r="K61" s="276" t="str">
        <f>IF(B61&gt;0,(VLOOKUP(J61,'Valve Reference'!$A$2:$K$389,4)),"-")</f>
        <v>Standard</v>
      </c>
      <c r="L61" s="276" t="str">
        <f>IF(B61&gt;0,(VLOOKUP(J61,'Valve Reference'!$A$2:$K$389,5)),"-")</f>
        <v>BR</v>
      </c>
      <c r="M61" s="276" t="str">
        <f>IF(B61&gt;0,(VLOOKUP(J61,'Valve Reference'!$A$2:$K$389,8)),"-")</f>
        <v>Linear</v>
      </c>
      <c r="N61" s="276" t="str">
        <f>IF(B61&gt;0,(VLOOKUP(J61,'Valve Reference'!$A$2:$K$389,10)),"-")</f>
        <v>FxF</v>
      </c>
      <c r="O61" s="277" t="str">
        <f>IF(B61&gt;0,(VLOOKUP(J61,'Valve Reference'!$A$2:$K$389,11)),"-")</f>
        <v>Globe-Powermite</v>
      </c>
      <c r="P61" s="278" t="str">
        <f>IF(B61&gt;0,(VLOOKUP(I61,'Actuator Reference'!$A$2:$H$54,2)),"-")</f>
        <v>SSC81U</v>
      </c>
      <c r="Q61" s="278" t="str">
        <f>IF(B61&gt;0,(VLOOKUP(I61,'Actuator Reference'!$A$2:$H$54,5)),"-")</f>
        <v>Float</v>
      </c>
      <c r="R61" s="278" t="str">
        <f>IF(B61&gt;0,(VLOOKUP(I61,'Actuator Reference'!$A$2:$H$54,6)),"-")</f>
        <v>NSR</v>
      </c>
      <c r="S61" s="278" t="str">
        <f>IF(B61&gt;0,(VLOOKUP(I61,'Actuator Reference'!$A$2:$H$54,7)),"-")</f>
        <v>24V</v>
      </c>
      <c r="T61" s="279" t="str">
        <f>IF(B61&gt;0,(VLOOKUP(I61,'Actuator Reference'!$A$2:$H$54,8)),"-")</f>
        <v>MT-Series</v>
      </c>
      <c r="AD61" s="38"/>
      <c r="AE61" s="38"/>
      <c r="AF61" s="35">
        <v>1</v>
      </c>
      <c r="AG61" s="35" t="s">
        <v>1097</v>
      </c>
      <c r="AH61" s="38" t="str">
        <f t="shared" si="2"/>
        <v>259-02038</v>
      </c>
      <c r="AI61" s="264" t="e">
        <f t="shared" si="3"/>
        <v>#REF!</v>
      </c>
    </row>
    <row r="62" spans="1:35" ht="14.25">
      <c r="A62" s="275" t="e">
        <f>'Box Schedule'!#REF!</f>
        <v>#REF!</v>
      </c>
      <c r="B62" s="262">
        <v>5</v>
      </c>
      <c r="C62" s="229" t="str">
        <f>IF((B62&gt;0),(VLOOKUP(J62,'Valve Reference'!$A$2:$K$389,3)),"-")</f>
        <v>0.5</v>
      </c>
      <c r="D62" s="230" t="s">
        <v>577</v>
      </c>
      <c r="E62" s="231">
        <f>IF((B62&gt;0),('Vlookup Tables'!$B$37),"-")</f>
        <v>5</v>
      </c>
      <c r="F62" s="51">
        <f t="shared" si="0"/>
        <v>2.2360679774997898</v>
      </c>
      <c r="G62" s="228">
        <f>IF((B62&gt;0),(VLOOKUP($B62,'Vlookup Tables'!$B$23:$F$33,2,TRUE)),"-")</f>
        <v>2.5</v>
      </c>
      <c r="H62" s="52">
        <f t="shared" si="1"/>
        <v>4</v>
      </c>
      <c r="I62" s="50">
        <f>IF((B62&gt;0),('Vlookup Tables'!$B$35),"-")</f>
        <v>259</v>
      </c>
      <c r="J62" s="265" t="str">
        <f>IF(B62&gt;0,(IF(D62="2-Way",VLOOKUP($G62,'Vlookup Tables'!$C$23:$F$33,2,FALSE),VLOOKUP($G62,'Vlookup Tables'!$C$23:$F$33,3,FALSE))),"-")</f>
        <v>02038</v>
      </c>
      <c r="K62" s="276" t="str">
        <f>IF(B62&gt;0,(VLOOKUP(J62,'Valve Reference'!$A$2:$K$389,4)),"-")</f>
        <v>Standard</v>
      </c>
      <c r="L62" s="276" t="str">
        <f>IF(B62&gt;0,(VLOOKUP(J62,'Valve Reference'!$A$2:$K$389,5)),"-")</f>
        <v>BR</v>
      </c>
      <c r="M62" s="276" t="str">
        <f>IF(B62&gt;0,(VLOOKUP(J62,'Valve Reference'!$A$2:$K$389,8)),"-")</f>
        <v>Linear</v>
      </c>
      <c r="N62" s="276" t="str">
        <f>IF(B62&gt;0,(VLOOKUP(J62,'Valve Reference'!$A$2:$K$389,10)),"-")</f>
        <v>FxF</v>
      </c>
      <c r="O62" s="277" t="str">
        <f>IF(B62&gt;0,(VLOOKUP(J62,'Valve Reference'!$A$2:$K$389,11)),"-")</f>
        <v>Globe-Powermite</v>
      </c>
      <c r="P62" s="278" t="str">
        <f>IF(B62&gt;0,(VLOOKUP(I62,'Actuator Reference'!$A$2:$H$54,2)),"-")</f>
        <v>SSC81U</v>
      </c>
      <c r="Q62" s="278" t="str">
        <f>IF(B62&gt;0,(VLOOKUP(I62,'Actuator Reference'!$A$2:$H$54,5)),"-")</f>
        <v>Float</v>
      </c>
      <c r="R62" s="278" t="str">
        <f>IF(B62&gt;0,(VLOOKUP(I62,'Actuator Reference'!$A$2:$H$54,6)),"-")</f>
        <v>NSR</v>
      </c>
      <c r="S62" s="278" t="str">
        <f>IF(B62&gt;0,(VLOOKUP(I62,'Actuator Reference'!$A$2:$H$54,7)),"-")</f>
        <v>24V</v>
      </c>
      <c r="T62" s="279" t="str">
        <f>IF(B62&gt;0,(VLOOKUP(I62,'Actuator Reference'!$A$2:$H$54,8)),"-")</f>
        <v>MT-Series</v>
      </c>
      <c r="AD62" s="38"/>
      <c r="AE62" s="38"/>
      <c r="AF62" s="35">
        <v>1</v>
      </c>
      <c r="AG62" s="35" t="s">
        <v>1097</v>
      </c>
      <c r="AH62" s="38" t="str">
        <f t="shared" si="2"/>
        <v>259-02038</v>
      </c>
      <c r="AI62" s="264" t="e">
        <f t="shared" si="3"/>
        <v>#REF!</v>
      </c>
    </row>
    <row r="63" spans="1:35" ht="14.25">
      <c r="A63" s="275" t="e">
        <f>'Box Schedule'!#REF!</f>
        <v>#REF!</v>
      </c>
      <c r="B63" s="262">
        <v>6</v>
      </c>
      <c r="C63" s="229" t="str">
        <f>IF((B63&gt;0),(VLOOKUP(J63,'Valve Reference'!$A$2:$K$389,3)),"-")</f>
        <v>0.5</v>
      </c>
      <c r="D63" s="230" t="s">
        <v>577</v>
      </c>
      <c r="E63" s="231">
        <f>IF((B63&gt;0),('Vlookup Tables'!$B$37),"-")</f>
        <v>5</v>
      </c>
      <c r="F63" s="51">
        <f t="shared" si="0"/>
        <v>2.6832815729997477</v>
      </c>
      <c r="G63" s="228">
        <f>IF((B63&gt;0),(VLOOKUP($B63,'Vlookup Tables'!$B$23:$F$33,2,TRUE)),"-")</f>
        <v>4</v>
      </c>
      <c r="H63" s="52">
        <f t="shared" si="1"/>
        <v>2.25</v>
      </c>
      <c r="I63" s="50">
        <f>IF((B63&gt;0),('Vlookup Tables'!$B$35),"-")</f>
        <v>259</v>
      </c>
      <c r="J63" s="265" t="str">
        <f>IF(B63&gt;0,(IF(D63="2-Way",VLOOKUP($G63,'Vlookup Tables'!$C$23:$F$33,2,FALSE),VLOOKUP($G63,'Vlookup Tables'!$C$23:$F$33,3,FALSE))),"-")</f>
        <v>02041</v>
      </c>
      <c r="K63" s="276" t="str">
        <f>IF(B63&gt;0,(VLOOKUP(J63,'Valve Reference'!$A$2:$K$389,4)),"-")</f>
        <v>Standard</v>
      </c>
      <c r="L63" s="276" t="str">
        <f>IF(B63&gt;0,(VLOOKUP(J63,'Valve Reference'!$A$2:$K$389,5)),"-")</f>
        <v>BR</v>
      </c>
      <c r="M63" s="276" t="str">
        <f>IF(B63&gt;0,(VLOOKUP(J63,'Valve Reference'!$A$2:$K$389,8)),"-")</f>
        <v>Linear</v>
      </c>
      <c r="N63" s="276" t="str">
        <f>IF(B63&gt;0,(VLOOKUP(J63,'Valve Reference'!$A$2:$K$389,10)),"-")</f>
        <v>FxF</v>
      </c>
      <c r="O63" s="277" t="str">
        <f>IF(B63&gt;0,(VLOOKUP(J63,'Valve Reference'!$A$2:$K$389,11)),"-")</f>
        <v>Globe-Powermite</v>
      </c>
      <c r="P63" s="278" t="str">
        <f>IF(B63&gt;0,(VLOOKUP(I63,'Actuator Reference'!$A$2:$H$54,2)),"-")</f>
        <v>SSC81U</v>
      </c>
      <c r="Q63" s="278" t="str">
        <f>IF(B63&gt;0,(VLOOKUP(I63,'Actuator Reference'!$A$2:$H$54,5)),"-")</f>
        <v>Float</v>
      </c>
      <c r="R63" s="278" t="str">
        <f>IF(B63&gt;0,(VLOOKUP(I63,'Actuator Reference'!$A$2:$H$54,6)),"-")</f>
        <v>NSR</v>
      </c>
      <c r="S63" s="278" t="str">
        <f>IF(B63&gt;0,(VLOOKUP(I63,'Actuator Reference'!$A$2:$H$54,7)),"-")</f>
        <v>24V</v>
      </c>
      <c r="T63" s="279" t="str">
        <f>IF(B63&gt;0,(VLOOKUP(I63,'Actuator Reference'!$A$2:$H$54,8)),"-")</f>
        <v>MT-Series</v>
      </c>
      <c r="AD63" s="38"/>
      <c r="AE63" s="38"/>
      <c r="AF63" s="35">
        <v>1</v>
      </c>
      <c r="AG63" s="35" t="s">
        <v>1097</v>
      </c>
      <c r="AH63" s="38" t="str">
        <f t="shared" si="2"/>
        <v>259-02041</v>
      </c>
      <c r="AI63" s="264" t="e">
        <f t="shared" si="3"/>
        <v>#REF!</v>
      </c>
    </row>
    <row r="64" spans="1:35" ht="14.25">
      <c r="A64" s="275" t="e">
        <f>'Box Schedule'!#REF!</f>
        <v>#REF!</v>
      </c>
      <c r="B64" s="262">
        <v>7</v>
      </c>
      <c r="C64" s="229" t="str">
        <f>IF((B64&gt;0),(VLOOKUP(J64,'Valve Reference'!$A$2:$K$389,3)),"-")</f>
        <v>0.5</v>
      </c>
      <c r="D64" s="230" t="s">
        <v>577</v>
      </c>
      <c r="E64" s="231">
        <f>IF((B64&gt;0),('Vlookup Tables'!$B$37),"-")</f>
        <v>5</v>
      </c>
      <c r="F64" s="51">
        <f t="shared" si="0"/>
        <v>3.1304951684997055</v>
      </c>
      <c r="G64" s="228">
        <f>IF((B64&gt;0),(VLOOKUP($B64,'Vlookup Tables'!$B$23:$F$33,2,TRUE)),"-")</f>
        <v>4</v>
      </c>
      <c r="H64" s="52">
        <f t="shared" si="1"/>
        <v>3.0625000000000004</v>
      </c>
      <c r="I64" s="50">
        <f>IF((B64&gt;0),('Vlookup Tables'!$B$35),"-")</f>
        <v>259</v>
      </c>
      <c r="J64" s="265" t="str">
        <f>IF(B64&gt;0,(IF(D64="2-Way",VLOOKUP($G64,'Vlookup Tables'!$C$23:$F$33,2,FALSE),VLOOKUP($G64,'Vlookup Tables'!$C$23:$F$33,3,FALSE))),"-")</f>
        <v>02041</v>
      </c>
      <c r="K64" s="276" t="str">
        <f>IF(B64&gt;0,(VLOOKUP(J64,'Valve Reference'!$A$2:$K$389,4)),"-")</f>
        <v>Standard</v>
      </c>
      <c r="L64" s="276" t="str">
        <f>IF(B64&gt;0,(VLOOKUP(J64,'Valve Reference'!$A$2:$K$389,5)),"-")</f>
        <v>BR</v>
      </c>
      <c r="M64" s="276" t="str">
        <f>IF(B64&gt;0,(VLOOKUP(J64,'Valve Reference'!$A$2:$K$389,8)),"-")</f>
        <v>Linear</v>
      </c>
      <c r="N64" s="276" t="str">
        <f>IF(B64&gt;0,(VLOOKUP(J64,'Valve Reference'!$A$2:$K$389,10)),"-")</f>
        <v>FxF</v>
      </c>
      <c r="O64" s="277" t="str">
        <f>IF(B64&gt;0,(VLOOKUP(J64,'Valve Reference'!$A$2:$K$389,11)),"-")</f>
        <v>Globe-Powermite</v>
      </c>
      <c r="P64" s="278" t="str">
        <f>IF(B64&gt;0,(VLOOKUP(I64,'Actuator Reference'!$A$2:$H$54,2)),"-")</f>
        <v>SSC81U</v>
      </c>
      <c r="Q64" s="278" t="str">
        <f>IF(B64&gt;0,(VLOOKUP(I64,'Actuator Reference'!$A$2:$H$54,5)),"-")</f>
        <v>Float</v>
      </c>
      <c r="R64" s="278" t="str">
        <f>IF(B64&gt;0,(VLOOKUP(I64,'Actuator Reference'!$A$2:$H$54,6)),"-")</f>
        <v>NSR</v>
      </c>
      <c r="S64" s="278" t="str">
        <f>IF(B64&gt;0,(VLOOKUP(I64,'Actuator Reference'!$A$2:$H$54,7)),"-")</f>
        <v>24V</v>
      </c>
      <c r="T64" s="279" t="str">
        <f>IF(B64&gt;0,(VLOOKUP(I64,'Actuator Reference'!$A$2:$H$54,8)),"-")</f>
        <v>MT-Series</v>
      </c>
      <c r="AD64" s="38"/>
      <c r="AE64" s="38"/>
      <c r="AF64" s="35">
        <v>1</v>
      </c>
      <c r="AG64" s="35" t="s">
        <v>1097</v>
      </c>
      <c r="AH64" s="38" t="str">
        <f t="shared" si="2"/>
        <v>259-02041</v>
      </c>
      <c r="AI64" s="264" t="e">
        <f t="shared" si="3"/>
        <v>#REF!</v>
      </c>
    </row>
    <row r="65" spans="1:35" ht="14.25">
      <c r="A65" s="275" t="e">
        <f>'Box Schedule'!#REF!</f>
        <v>#REF!</v>
      </c>
      <c r="B65" s="262">
        <v>8</v>
      </c>
      <c r="C65" s="229" t="str">
        <f>IF((B65&gt;0),(VLOOKUP(J65,'Valve Reference'!$A$2:$K$389,3)),"-")</f>
        <v>0.5</v>
      </c>
      <c r="D65" s="230" t="s">
        <v>577</v>
      </c>
      <c r="E65" s="231">
        <f>IF((B65&gt;0),('Vlookup Tables'!$B$37),"-")</f>
        <v>5</v>
      </c>
      <c r="F65" s="51">
        <f t="shared" si="0"/>
        <v>3.5777087639996634</v>
      </c>
      <c r="G65" s="228">
        <f>IF((B65&gt;0),(VLOOKUP($B65,'Vlookup Tables'!$B$23:$F$33,2,TRUE)),"-")</f>
        <v>4</v>
      </c>
      <c r="H65" s="52">
        <f t="shared" si="1"/>
        <v>4</v>
      </c>
      <c r="I65" s="50">
        <f>IF((B65&gt;0),('Vlookup Tables'!$B$35),"-")</f>
        <v>259</v>
      </c>
      <c r="J65" s="265" t="str">
        <f>IF(B65&gt;0,(IF(D65="2-Way",VLOOKUP($G65,'Vlookup Tables'!$C$23:$F$33,2,FALSE),VLOOKUP($G65,'Vlookup Tables'!$C$23:$F$33,3,FALSE))),"-")</f>
        <v>02041</v>
      </c>
      <c r="K65" s="276" t="str">
        <f>IF(B65&gt;0,(VLOOKUP(J65,'Valve Reference'!$A$2:$K$389,4)),"-")</f>
        <v>Standard</v>
      </c>
      <c r="L65" s="276" t="str">
        <f>IF(B65&gt;0,(VLOOKUP(J65,'Valve Reference'!$A$2:$K$389,5)),"-")</f>
        <v>BR</v>
      </c>
      <c r="M65" s="276" t="str">
        <f>IF(B65&gt;0,(VLOOKUP(J65,'Valve Reference'!$A$2:$K$389,8)),"-")</f>
        <v>Linear</v>
      </c>
      <c r="N65" s="276" t="str">
        <f>IF(B65&gt;0,(VLOOKUP(J65,'Valve Reference'!$A$2:$K$389,10)),"-")</f>
        <v>FxF</v>
      </c>
      <c r="O65" s="277" t="str">
        <f>IF(B65&gt;0,(VLOOKUP(J65,'Valve Reference'!$A$2:$K$389,11)),"-")</f>
        <v>Globe-Powermite</v>
      </c>
      <c r="P65" s="278" t="str">
        <f>IF(B65&gt;0,(VLOOKUP(I65,'Actuator Reference'!$A$2:$H$54,2)),"-")</f>
        <v>SSC81U</v>
      </c>
      <c r="Q65" s="278" t="str">
        <f>IF(B65&gt;0,(VLOOKUP(I65,'Actuator Reference'!$A$2:$H$54,5)),"-")</f>
        <v>Float</v>
      </c>
      <c r="R65" s="278" t="str">
        <f>IF(B65&gt;0,(VLOOKUP(I65,'Actuator Reference'!$A$2:$H$54,6)),"-")</f>
        <v>NSR</v>
      </c>
      <c r="S65" s="278" t="str">
        <f>IF(B65&gt;0,(VLOOKUP(I65,'Actuator Reference'!$A$2:$H$54,7)),"-")</f>
        <v>24V</v>
      </c>
      <c r="T65" s="279" t="str">
        <f>IF(B65&gt;0,(VLOOKUP(I65,'Actuator Reference'!$A$2:$H$54,8)),"-")</f>
        <v>MT-Series</v>
      </c>
      <c r="AD65" s="38"/>
      <c r="AE65" s="38"/>
      <c r="AF65" s="35">
        <v>1</v>
      </c>
      <c r="AG65" s="35" t="s">
        <v>1097</v>
      </c>
      <c r="AH65" s="38" t="str">
        <f t="shared" si="2"/>
        <v>259-02041</v>
      </c>
      <c r="AI65" s="264" t="e">
        <f t="shared" si="3"/>
        <v>#REF!</v>
      </c>
    </row>
    <row r="66" spans="1:35" ht="14.25">
      <c r="A66" s="275" t="e">
        <f>'Box Schedule'!#REF!</f>
        <v>#REF!</v>
      </c>
      <c r="B66" s="262">
        <v>9</v>
      </c>
      <c r="C66" s="229" t="str">
        <f>IF((B66&gt;0),(VLOOKUP(J66,'Valve Reference'!$A$2:$K$389,3)),"-")</f>
        <v>0.75</v>
      </c>
      <c r="D66" s="230" t="s">
        <v>577</v>
      </c>
      <c r="E66" s="231">
        <f>IF((B66&gt;0),('Vlookup Tables'!$B$37),"-")</f>
        <v>5</v>
      </c>
      <c r="F66" s="51">
        <f t="shared" si="0"/>
        <v>4.0249223594996213</v>
      </c>
      <c r="G66" s="228">
        <f>IF((B66&gt;0),(VLOOKUP($B66,'Vlookup Tables'!$B$23:$F$33,2,TRUE)),"-")</f>
        <v>6.3</v>
      </c>
      <c r="H66" s="52">
        <f t="shared" si="1"/>
        <v>2.0408163265306127</v>
      </c>
      <c r="I66" s="50">
        <f>IF((B66&gt;0),('Vlookup Tables'!$B$35),"-")</f>
        <v>259</v>
      </c>
      <c r="J66" s="265" t="str">
        <f>IF(B66&gt;0,(IF(D66="2-Way",VLOOKUP($G66,'Vlookup Tables'!$C$23:$F$33,2,FALSE),VLOOKUP($G66,'Vlookup Tables'!$C$23:$F$33,3,FALSE))),"-")</f>
        <v>02044</v>
      </c>
      <c r="K66" s="276" t="str">
        <f>IF(B66&gt;0,(VLOOKUP(J66,'Valve Reference'!$A$2:$K$389,4)),"-")</f>
        <v>Standard</v>
      </c>
      <c r="L66" s="276" t="str">
        <f>IF(B66&gt;0,(VLOOKUP(J66,'Valve Reference'!$A$2:$K$389,5)),"-")</f>
        <v>BR</v>
      </c>
      <c r="M66" s="276" t="str">
        <f>IF(B66&gt;0,(VLOOKUP(J66,'Valve Reference'!$A$2:$K$389,8)),"-")</f>
        <v>Linear</v>
      </c>
      <c r="N66" s="276" t="str">
        <f>IF(B66&gt;0,(VLOOKUP(J66,'Valve Reference'!$A$2:$K$389,10)),"-")</f>
        <v>FxF</v>
      </c>
      <c r="O66" s="277" t="str">
        <f>IF(B66&gt;0,(VLOOKUP(J66,'Valve Reference'!$A$2:$K$389,11)),"-")</f>
        <v>Globe-Powermite</v>
      </c>
      <c r="P66" s="278" t="str">
        <f>IF(B66&gt;0,(VLOOKUP(I66,'Actuator Reference'!$A$2:$H$54,2)),"-")</f>
        <v>SSC81U</v>
      </c>
      <c r="Q66" s="278" t="str">
        <f>IF(B66&gt;0,(VLOOKUP(I66,'Actuator Reference'!$A$2:$H$54,5)),"-")</f>
        <v>Float</v>
      </c>
      <c r="R66" s="278" t="str">
        <f>IF(B66&gt;0,(VLOOKUP(I66,'Actuator Reference'!$A$2:$H$54,6)),"-")</f>
        <v>NSR</v>
      </c>
      <c r="S66" s="278" t="str">
        <f>IF(B66&gt;0,(VLOOKUP(I66,'Actuator Reference'!$A$2:$H$54,7)),"-")</f>
        <v>24V</v>
      </c>
      <c r="T66" s="279" t="str">
        <f>IF(B66&gt;0,(VLOOKUP(I66,'Actuator Reference'!$A$2:$H$54,8)),"-")</f>
        <v>MT-Series</v>
      </c>
      <c r="AD66" s="38"/>
      <c r="AE66" s="38"/>
      <c r="AF66" s="35">
        <v>1</v>
      </c>
      <c r="AG66" s="35" t="s">
        <v>1097</v>
      </c>
      <c r="AH66" s="38" t="str">
        <f t="shared" si="2"/>
        <v>259-02044</v>
      </c>
      <c r="AI66" s="264" t="e">
        <f t="shared" si="3"/>
        <v>#REF!</v>
      </c>
    </row>
    <row r="67" spans="1:35" ht="14.25">
      <c r="A67" s="275" t="e">
        <f>'Box Schedule'!#REF!</f>
        <v>#REF!</v>
      </c>
      <c r="B67" s="262">
        <v>1</v>
      </c>
      <c r="C67" s="229" t="str">
        <f>IF((B67&gt;0),(VLOOKUP(J67,'Valve Reference'!$A$2:$K$389,3)),"-")</f>
        <v>0.5</v>
      </c>
      <c r="D67" s="230" t="s">
        <v>577</v>
      </c>
      <c r="E67" s="231">
        <f>IF((B67&gt;0),('Vlookup Tables'!$B$37),"-")</f>
        <v>5</v>
      </c>
      <c r="F67" s="51">
        <f t="shared" si="0"/>
        <v>0.44721359549995793</v>
      </c>
      <c r="G67" s="228">
        <f>IF((B67&gt;0),(VLOOKUP($B67,'Vlookup Tables'!$B$23:$F$33,2,TRUE)),"-")</f>
        <v>0.63</v>
      </c>
      <c r="H67" s="52">
        <f t="shared" si="1"/>
        <v>2.5195263290501382</v>
      </c>
      <c r="I67" s="50">
        <f>IF((B67&gt;0),('Vlookup Tables'!$B$35),"-")</f>
        <v>259</v>
      </c>
      <c r="J67" s="265" t="str">
        <f>IF(B67&gt;0,(IF(D67="2-Way",VLOOKUP($G67,'Vlookup Tables'!$C$23:$F$33,2,FALSE),VLOOKUP($G67,'Vlookup Tables'!$C$23:$F$33,3,FALSE))),"-")</f>
        <v>02032</v>
      </c>
      <c r="K67" s="276" t="str">
        <f>IF(B67&gt;0,(VLOOKUP(J67,'Valve Reference'!$A$2:$K$389,4)),"-")</f>
        <v>Standard</v>
      </c>
      <c r="L67" s="276" t="str">
        <f>IF(B67&gt;0,(VLOOKUP(J67,'Valve Reference'!$A$2:$K$389,5)),"-")</f>
        <v>BR</v>
      </c>
      <c r="M67" s="276" t="str">
        <f>IF(B67&gt;0,(VLOOKUP(J67,'Valve Reference'!$A$2:$K$389,8)),"-")</f>
        <v>Linear</v>
      </c>
      <c r="N67" s="276" t="str">
        <f>IF(B67&gt;0,(VLOOKUP(J67,'Valve Reference'!$A$2:$K$389,10)),"-")</f>
        <v>FxF</v>
      </c>
      <c r="O67" s="277" t="str">
        <f>IF(B67&gt;0,(VLOOKUP(J67,'Valve Reference'!$A$2:$K$389,11)),"-")</f>
        <v>Globe-Powermite</v>
      </c>
      <c r="P67" s="278" t="str">
        <f>IF(B67&gt;0,(VLOOKUP(I67,'Actuator Reference'!$A$2:$H$54,2)),"-")</f>
        <v>SSC81U</v>
      </c>
      <c r="Q67" s="278" t="str">
        <f>IF(B67&gt;0,(VLOOKUP(I67,'Actuator Reference'!$A$2:$H$54,5)),"-")</f>
        <v>Float</v>
      </c>
      <c r="R67" s="278" t="str">
        <f>IF(B67&gt;0,(VLOOKUP(I67,'Actuator Reference'!$A$2:$H$54,6)),"-")</f>
        <v>NSR</v>
      </c>
      <c r="S67" s="278" t="str">
        <f>IF(B67&gt;0,(VLOOKUP(I67,'Actuator Reference'!$A$2:$H$54,7)),"-")</f>
        <v>24V</v>
      </c>
      <c r="T67" s="279" t="str">
        <f>IF(B67&gt;0,(VLOOKUP(I67,'Actuator Reference'!$A$2:$H$54,8)),"-")</f>
        <v>MT-Series</v>
      </c>
      <c r="AD67" s="38"/>
      <c r="AE67" s="38"/>
      <c r="AF67" s="35">
        <v>1</v>
      </c>
      <c r="AG67" s="35" t="s">
        <v>1097</v>
      </c>
      <c r="AH67" s="38" t="str">
        <f t="shared" si="2"/>
        <v>259-02032</v>
      </c>
      <c r="AI67" s="264" t="e">
        <f t="shared" si="3"/>
        <v>#REF!</v>
      </c>
    </row>
    <row r="68" spans="1:35" ht="14.25">
      <c r="A68" s="275" t="e">
        <f>'Box Schedule'!#REF!</f>
        <v>#REF!</v>
      </c>
      <c r="B68" s="262">
        <v>2</v>
      </c>
      <c r="C68" s="229" t="str">
        <f>IF((B68&gt;0),(VLOOKUP(J68,'Valve Reference'!$A$2:$K$389,3)),"-")</f>
        <v>0.5</v>
      </c>
      <c r="D68" s="230" t="s">
        <v>577</v>
      </c>
      <c r="E68" s="231">
        <f>IF((B68&gt;0),('Vlookup Tables'!$B$37),"-")</f>
        <v>5</v>
      </c>
      <c r="F68" s="51">
        <f t="shared" si="0"/>
        <v>0.89442719099991586</v>
      </c>
      <c r="G68" s="228">
        <f>IF((B68&gt;0),(VLOOKUP($B68,'Vlookup Tables'!$B$23:$F$33,2,TRUE)),"-")</f>
        <v>1</v>
      </c>
      <c r="H68" s="52">
        <f t="shared" si="1"/>
        <v>4</v>
      </c>
      <c r="I68" s="50">
        <f>IF((B68&gt;0),('Vlookup Tables'!$B$35),"-")</f>
        <v>259</v>
      </c>
      <c r="J68" s="265" t="str">
        <f>IF(B68&gt;0,(IF(D68="2-Way",VLOOKUP($G68,'Vlookup Tables'!$C$23:$F$33,2,FALSE),VLOOKUP($G68,'Vlookup Tables'!$C$23:$F$33,3,FALSE))),"-")</f>
        <v>02034</v>
      </c>
      <c r="K68" s="276" t="str">
        <f>IF(B68&gt;0,(VLOOKUP(J68,'Valve Reference'!$A$2:$K$389,4)),"-")</f>
        <v>Standard</v>
      </c>
      <c r="L68" s="276" t="str">
        <f>IF(B68&gt;0,(VLOOKUP(J68,'Valve Reference'!$A$2:$K$389,5)),"-")</f>
        <v>BR</v>
      </c>
      <c r="M68" s="276" t="str">
        <f>IF(B68&gt;0,(VLOOKUP(J68,'Valve Reference'!$A$2:$K$389,8)),"-")</f>
        <v>Linear</v>
      </c>
      <c r="N68" s="276" t="str">
        <f>IF(B68&gt;0,(VLOOKUP(J68,'Valve Reference'!$A$2:$K$389,10)),"-")</f>
        <v>FxF</v>
      </c>
      <c r="O68" s="277" t="str">
        <f>IF(B68&gt;0,(VLOOKUP(J68,'Valve Reference'!$A$2:$K$389,11)),"-")</f>
        <v>Globe-Powermite</v>
      </c>
      <c r="P68" s="278" t="str">
        <f>IF(B68&gt;0,(VLOOKUP(I68,'Actuator Reference'!$A$2:$H$54,2)),"-")</f>
        <v>SSC81U</v>
      </c>
      <c r="Q68" s="278" t="str">
        <f>IF(B68&gt;0,(VLOOKUP(I68,'Actuator Reference'!$A$2:$H$54,5)),"-")</f>
        <v>Float</v>
      </c>
      <c r="R68" s="278" t="str">
        <f>IF(B68&gt;0,(VLOOKUP(I68,'Actuator Reference'!$A$2:$H$54,6)),"-")</f>
        <v>NSR</v>
      </c>
      <c r="S68" s="278" t="str">
        <f>IF(B68&gt;0,(VLOOKUP(I68,'Actuator Reference'!$A$2:$H$54,7)),"-")</f>
        <v>24V</v>
      </c>
      <c r="T68" s="279" t="str">
        <f>IF(B68&gt;0,(VLOOKUP(I68,'Actuator Reference'!$A$2:$H$54,8)),"-")</f>
        <v>MT-Series</v>
      </c>
      <c r="AD68" s="38"/>
      <c r="AE68" s="38"/>
      <c r="AF68" s="35">
        <v>1</v>
      </c>
      <c r="AG68" s="35" t="s">
        <v>1097</v>
      </c>
      <c r="AH68" s="38" t="str">
        <f t="shared" si="2"/>
        <v>259-02034</v>
      </c>
      <c r="AI68" s="264" t="e">
        <f t="shared" si="3"/>
        <v>#REF!</v>
      </c>
    </row>
    <row r="69" spans="1:35" ht="14.25">
      <c r="A69" s="275" t="e">
        <f>'Box Schedule'!#REF!</f>
        <v>#REF!</v>
      </c>
      <c r="B69" s="262">
        <v>3</v>
      </c>
      <c r="C69" s="229" t="str">
        <f>IF((B69&gt;0),(VLOOKUP(J69,'Valve Reference'!$A$2:$K$389,3)),"-")</f>
        <v>0.5</v>
      </c>
      <c r="D69" s="230" t="s">
        <v>577</v>
      </c>
      <c r="E69" s="231">
        <f>IF((B69&gt;0),('Vlookup Tables'!$B$37),"-")</f>
        <v>5</v>
      </c>
      <c r="F69" s="51">
        <f t="shared" ref="F69:F132" si="4">IF((B69&gt;0),(B69/SQRT(E69)),"-")</f>
        <v>1.3416407864998738</v>
      </c>
      <c r="G69" s="228">
        <f>IF((B69&gt;0),(VLOOKUP($B69,'Vlookup Tables'!$B$23:$F$33,2,TRUE)),"-")</f>
        <v>1.6</v>
      </c>
      <c r="H69" s="52">
        <f t="shared" ref="H69:H132" si="5">IF((B69&gt;0),(1/((G69/B69)^2)),"-")</f>
        <v>3.515625</v>
      </c>
      <c r="I69" s="50">
        <f>IF((B69&gt;0),('Vlookup Tables'!$B$35),"-")</f>
        <v>259</v>
      </c>
      <c r="J69" s="265" t="str">
        <f>IF(B69&gt;0,(IF(D69="2-Way",VLOOKUP($G69,'Vlookup Tables'!$C$23:$F$33,2,FALSE),VLOOKUP($G69,'Vlookup Tables'!$C$23:$F$33,3,FALSE))),"-")</f>
        <v>02036</v>
      </c>
      <c r="K69" s="276" t="str">
        <f>IF(B69&gt;0,(VLOOKUP(J69,'Valve Reference'!$A$2:$K$389,4)),"-")</f>
        <v>Standard</v>
      </c>
      <c r="L69" s="276" t="str">
        <f>IF(B69&gt;0,(VLOOKUP(J69,'Valve Reference'!$A$2:$K$389,5)),"-")</f>
        <v>BR</v>
      </c>
      <c r="M69" s="276" t="str">
        <f>IF(B69&gt;0,(VLOOKUP(J69,'Valve Reference'!$A$2:$K$389,8)),"-")</f>
        <v>Linear</v>
      </c>
      <c r="N69" s="276" t="str">
        <f>IF(B69&gt;0,(VLOOKUP(J69,'Valve Reference'!$A$2:$K$389,10)),"-")</f>
        <v>FxF</v>
      </c>
      <c r="O69" s="277" t="str">
        <f>IF(B69&gt;0,(VLOOKUP(J69,'Valve Reference'!$A$2:$K$389,11)),"-")</f>
        <v>Globe-Powermite</v>
      </c>
      <c r="P69" s="278" t="str">
        <f>IF(B69&gt;0,(VLOOKUP(I69,'Actuator Reference'!$A$2:$H$54,2)),"-")</f>
        <v>SSC81U</v>
      </c>
      <c r="Q69" s="278" t="str">
        <f>IF(B69&gt;0,(VLOOKUP(I69,'Actuator Reference'!$A$2:$H$54,5)),"-")</f>
        <v>Float</v>
      </c>
      <c r="R69" s="278" t="str">
        <f>IF(B69&gt;0,(VLOOKUP(I69,'Actuator Reference'!$A$2:$H$54,6)),"-")</f>
        <v>NSR</v>
      </c>
      <c r="S69" s="278" t="str">
        <f>IF(B69&gt;0,(VLOOKUP(I69,'Actuator Reference'!$A$2:$H$54,7)),"-")</f>
        <v>24V</v>
      </c>
      <c r="T69" s="279" t="str">
        <f>IF(B69&gt;0,(VLOOKUP(I69,'Actuator Reference'!$A$2:$H$54,8)),"-")</f>
        <v>MT-Series</v>
      </c>
      <c r="AD69" s="38"/>
      <c r="AE69" s="38"/>
      <c r="AF69" s="35">
        <v>1</v>
      </c>
      <c r="AG69" s="35" t="s">
        <v>1097</v>
      </c>
      <c r="AH69" s="38" t="str">
        <f t="shared" ref="AH69:AH132" si="6">CONCATENATE(I69,"-",J69)</f>
        <v>259-02036</v>
      </c>
      <c r="AI69" s="264" t="e">
        <f t="shared" ref="AI69:AI132" si="7">A69</f>
        <v>#REF!</v>
      </c>
    </row>
    <row r="70" spans="1:35" ht="14.25">
      <c r="A70" s="275" t="e">
        <f>'Box Schedule'!#REF!</f>
        <v>#REF!</v>
      </c>
      <c r="B70" s="262">
        <v>4</v>
      </c>
      <c r="C70" s="229" t="str">
        <f>IF((B70&gt;0),(VLOOKUP(J70,'Valve Reference'!$A$2:$K$389,3)),"-")</f>
        <v>0.5</v>
      </c>
      <c r="D70" s="230" t="s">
        <v>577</v>
      </c>
      <c r="E70" s="231">
        <f>IF((B70&gt;0),('Vlookup Tables'!$B$37),"-")</f>
        <v>5</v>
      </c>
      <c r="F70" s="51">
        <f t="shared" si="4"/>
        <v>1.7888543819998317</v>
      </c>
      <c r="G70" s="228">
        <f>IF((B70&gt;0),(VLOOKUP($B70,'Vlookup Tables'!$B$23:$F$33,2,TRUE)),"-")</f>
        <v>2.5</v>
      </c>
      <c r="H70" s="52">
        <f t="shared" si="5"/>
        <v>2.56</v>
      </c>
      <c r="I70" s="50">
        <f>IF((B70&gt;0),('Vlookup Tables'!$B$35),"-")</f>
        <v>259</v>
      </c>
      <c r="J70" s="265" t="str">
        <f>IF(B70&gt;0,(IF(D70="2-Way",VLOOKUP($G70,'Vlookup Tables'!$C$23:$F$33,2,FALSE),VLOOKUP($G70,'Vlookup Tables'!$C$23:$F$33,3,FALSE))),"-")</f>
        <v>02038</v>
      </c>
      <c r="K70" s="276" t="str">
        <f>IF(B70&gt;0,(VLOOKUP(J70,'Valve Reference'!$A$2:$K$389,4)),"-")</f>
        <v>Standard</v>
      </c>
      <c r="L70" s="276" t="str">
        <f>IF(B70&gt;0,(VLOOKUP(J70,'Valve Reference'!$A$2:$K$389,5)),"-")</f>
        <v>BR</v>
      </c>
      <c r="M70" s="276" t="str">
        <f>IF(B70&gt;0,(VLOOKUP(J70,'Valve Reference'!$A$2:$K$389,8)),"-")</f>
        <v>Linear</v>
      </c>
      <c r="N70" s="276" t="str">
        <f>IF(B70&gt;0,(VLOOKUP(J70,'Valve Reference'!$A$2:$K$389,10)),"-")</f>
        <v>FxF</v>
      </c>
      <c r="O70" s="277" t="str">
        <f>IF(B70&gt;0,(VLOOKUP(J70,'Valve Reference'!$A$2:$K$389,11)),"-")</f>
        <v>Globe-Powermite</v>
      </c>
      <c r="P70" s="278" t="str">
        <f>IF(B70&gt;0,(VLOOKUP(I70,'Actuator Reference'!$A$2:$H$54,2)),"-")</f>
        <v>SSC81U</v>
      </c>
      <c r="Q70" s="278" t="str">
        <f>IF(B70&gt;0,(VLOOKUP(I70,'Actuator Reference'!$A$2:$H$54,5)),"-")</f>
        <v>Float</v>
      </c>
      <c r="R70" s="278" t="str">
        <f>IF(B70&gt;0,(VLOOKUP(I70,'Actuator Reference'!$A$2:$H$54,6)),"-")</f>
        <v>NSR</v>
      </c>
      <c r="S70" s="278" t="str">
        <f>IF(B70&gt;0,(VLOOKUP(I70,'Actuator Reference'!$A$2:$H$54,7)),"-")</f>
        <v>24V</v>
      </c>
      <c r="T70" s="279" t="str">
        <f>IF(B70&gt;0,(VLOOKUP(I70,'Actuator Reference'!$A$2:$H$54,8)),"-")</f>
        <v>MT-Series</v>
      </c>
      <c r="AD70" s="38"/>
      <c r="AE70" s="38"/>
      <c r="AF70" s="35">
        <v>1</v>
      </c>
      <c r="AG70" s="35" t="s">
        <v>1097</v>
      </c>
      <c r="AH70" s="38" t="str">
        <f t="shared" si="6"/>
        <v>259-02038</v>
      </c>
      <c r="AI70" s="264" t="e">
        <f t="shared" si="7"/>
        <v>#REF!</v>
      </c>
    </row>
    <row r="71" spans="1:35" ht="14.25">
      <c r="A71" s="275" t="e">
        <f>'Box Schedule'!#REF!</f>
        <v>#REF!</v>
      </c>
      <c r="B71" s="262">
        <v>5</v>
      </c>
      <c r="C71" s="229" t="str">
        <f>IF((B71&gt;0),(VLOOKUP(J71,'Valve Reference'!$A$2:$K$389,3)),"-")</f>
        <v>0.5</v>
      </c>
      <c r="D71" s="230" t="s">
        <v>577</v>
      </c>
      <c r="E71" s="231">
        <f>IF((B71&gt;0),('Vlookup Tables'!$B$37),"-")</f>
        <v>5</v>
      </c>
      <c r="F71" s="51">
        <f t="shared" si="4"/>
        <v>2.2360679774997898</v>
      </c>
      <c r="G71" s="228">
        <f>IF((B71&gt;0),(VLOOKUP($B71,'Vlookup Tables'!$B$23:$F$33,2,TRUE)),"-")</f>
        <v>2.5</v>
      </c>
      <c r="H71" s="52">
        <f t="shared" si="5"/>
        <v>4</v>
      </c>
      <c r="I71" s="50">
        <f>IF((B71&gt;0),('Vlookup Tables'!$B$35),"-")</f>
        <v>259</v>
      </c>
      <c r="J71" s="265" t="str">
        <f>IF(B71&gt;0,(IF(D71="2-Way",VLOOKUP($G71,'Vlookup Tables'!$C$23:$F$33,2,FALSE),VLOOKUP($G71,'Vlookup Tables'!$C$23:$F$33,3,FALSE))),"-")</f>
        <v>02038</v>
      </c>
      <c r="K71" s="276" t="str">
        <f>IF(B71&gt;0,(VLOOKUP(J71,'Valve Reference'!$A$2:$K$389,4)),"-")</f>
        <v>Standard</v>
      </c>
      <c r="L71" s="276" t="str">
        <f>IF(B71&gt;0,(VLOOKUP(J71,'Valve Reference'!$A$2:$K$389,5)),"-")</f>
        <v>BR</v>
      </c>
      <c r="M71" s="276" t="str">
        <f>IF(B71&gt;0,(VLOOKUP(J71,'Valve Reference'!$A$2:$K$389,8)),"-")</f>
        <v>Linear</v>
      </c>
      <c r="N71" s="276" t="str">
        <f>IF(B71&gt;0,(VLOOKUP(J71,'Valve Reference'!$A$2:$K$389,10)),"-")</f>
        <v>FxF</v>
      </c>
      <c r="O71" s="277" t="str">
        <f>IF(B71&gt;0,(VLOOKUP(J71,'Valve Reference'!$A$2:$K$389,11)),"-")</f>
        <v>Globe-Powermite</v>
      </c>
      <c r="P71" s="278" t="str">
        <f>IF(B71&gt;0,(VLOOKUP(I71,'Actuator Reference'!$A$2:$H$54,2)),"-")</f>
        <v>SSC81U</v>
      </c>
      <c r="Q71" s="278" t="str">
        <f>IF(B71&gt;0,(VLOOKUP(I71,'Actuator Reference'!$A$2:$H$54,5)),"-")</f>
        <v>Float</v>
      </c>
      <c r="R71" s="278" t="str">
        <f>IF(B71&gt;0,(VLOOKUP(I71,'Actuator Reference'!$A$2:$H$54,6)),"-")</f>
        <v>NSR</v>
      </c>
      <c r="S71" s="278" t="str">
        <f>IF(B71&gt;0,(VLOOKUP(I71,'Actuator Reference'!$A$2:$H$54,7)),"-")</f>
        <v>24V</v>
      </c>
      <c r="T71" s="279" t="str">
        <f>IF(B71&gt;0,(VLOOKUP(I71,'Actuator Reference'!$A$2:$H$54,8)),"-")</f>
        <v>MT-Series</v>
      </c>
      <c r="AD71" s="38"/>
      <c r="AE71" s="38"/>
      <c r="AF71" s="35">
        <v>1</v>
      </c>
      <c r="AG71" s="35" t="s">
        <v>1097</v>
      </c>
      <c r="AH71" s="38" t="str">
        <f t="shared" si="6"/>
        <v>259-02038</v>
      </c>
      <c r="AI71" s="264" t="e">
        <f t="shared" si="7"/>
        <v>#REF!</v>
      </c>
    </row>
    <row r="72" spans="1:35" ht="14.25">
      <c r="A72" s="275" t="e">
        <f>'Box Schedule'!#REF!</f>
        <v>#REF!</v>
      </c>
      <c r="B72" s="262">
        <v>6</v>
      </c>
      <c r="C72" s="229" t="str">
        <f>IF((B72&gt;0),(VLOOKUP(J72,'Valve Reference'!$A$2:$K$389,3)),"-")</f>
        <v>0.5</v>
      </c>
      <c r="D72" s="230" t="s">
        <v>577</v>
      </c>
      <c r="E72" s="231">
        <f>IF((B72&gt;0),('Vlookup Tables'!$B$37),"-")</f>
        <v>5</v>
      </c>
      <c r="F72" s="51">
        <f t="shared" si="4"/>
        <v>2.6832815729997477</v>
      </c>
      <c r="G72" s="228">
        <f>IF((B72&gt;0),(VLOOKUP($B72,'Vlookup Tables'!$B$23:$F$33,2,TRUE)),"-")</f>
        <v>4</v>
      </c>
      <c r="H72" s="52">
        <f t="shared" si="5"/>
        <v>2.25</v>
      </c>
      <c r="I72" s="50">
        <f>IF((B72&gt;0),('Vlookup Tables'!$B$35),"-")</f>
        <v>259</v>
      </c>
      <c r="J72" s="265" t="str">
        <f>IF(B72&gt;0,(IF(D72="2-Way",VLOOKUP($G72,'Vlookup Tables'!$C$23:$F$33,2,FALSE),VLOOKUP($G72,'Vlookup Tables'!$C$23:$F$33,3,FALSE))),"-")</f>
        <v>02041</v>
      </c>
      <c r="K72" s="276" t="str">
        <f>IF(B72&gt;0,(VLOOKUP(J72,'Valve Reference'!$A$2:$K$389,4)),"-")</f>
        <v>Standard</v>
      </c>
      <c r="L72" s="276" t="str">
        <f>IF(B72&gt;0,(VLOOKUP(J72,'Valve Reference'!$A$2:$K$389,5)),"-")</f>
        <v>BR</v>
      </c>
      <c r="M72" s="276" t="str">
        <f>IF(B72&gt;0,(VLOOKUP(J72,'Valve Reference'!$A$2:$K$389,8)),"-")</f>
        <v>Linear</v>
      </c>
      <c r="N72" s="276" t="str">
        <f>IF(B72&gt;0,(VLOOKUP(J72,'Valve Reference'!$A$2:$K$389,10)),"-")</f>
        <v>FxF</v>
      </c>
      <c r="O72" s="277" t="str">
        <f>IF(B72&gt;0,(VLOOKUP(J72,'Valve Reference'!$A$2:$K$389,11)),"-")</f>
        <v>Globe-Powermite</v>
      </c>
      <c r="P72" s="278" t="str">
        <f>IF(B72&gt;0,(VLOOKUP(I72,'Actuator Reference'!$A$2:$H$54,2)),"-")</f>
        <v>SSC81U</v>
      </c>
      <c r="Q72" s="278" t="str">
        <f>IF(B72&gt;0,(VLOOKUP(I72,'Actuator Reference'!$A$2:$H$54,5)),"-")</f>
        <v>Float</v>
      </c>
      <c r="R72" s="278" t="str">
        <f>IF(B72&gt;0,(VLOOKUP(I72,'Actuator Reference'!$A$2:$H$54,6)),"-")</f>
        <v>NSR</v>
      </c>
      <c r="S72" s="278" t="str">
        <f>IF(B72&gt;0,(VLOOKUP(I72,'Actuator Reference'!$A$2:$H$54,7)),"-")</f>
        <v>24V</v>
      </c>
      <c r="T72" s="279" t="str">
        <f>IF(B72&gt;0,(VLOOKUP(I72,'Actuator Reference'!$A$2:$H$54,8)),"-")</f>
        <v>MT-Series</v>
      </c>
      <c r="AD72" s="38"/>
      <c r="AE72" s="38"/>
      <c r="AF72" s="35">
        <v>1</v>
      </c>
      <c r="AG72" s="35" t="s">
        <v>1097</v>
      </c>
      <c r="AH72" s="38" t="str">
        <f t="shared" si="6"/>
        <v>259-02041</v>
      </c>
      <c r="AI72" s="264" t="e">
        <f t="shared" si="7"/>
        <v>#REF!</v>
      </c>
    </row>
    <row r="73" spans="1:35" ht="14.25">
      <c r="A73" s="275" t="e">
        <f>'Box Schedule'!#REF!</f>
        <v>#REF!</v>
      </c>
      <c r="B73" s="262">
        <v>7</v>
      </c>
      <c r="C73" s="229" t="str">
        <f>IF((B73&gt;0),(VLOOKUP(J73,'Valve Reference'!$A$2:$K$389,3)),"-")</f>
        <v>0.5</v>
      </c>
      <c r="D73" s="230" t="s">
        <v>577</v>
      </c>
      <c r="E73" s="231">
        <f>IF((B73&gt;0),('Vlookup Tables'!$B$37),"-")</f>
        <v>5</v>
      </c>
      <c r="F73" s="51">
        <f t="shared" si="4"/>
        <v>3.1304951684997055</v>
      </c>
      <c r="G73" s="228">
        <f>IF((B73&gt;0),(VLOOKUP($B73,'Vlookup Tables'!$B$23:$F$33,2,TRUE)),"-")</f>
        <v>4</v>
      </c>
      <c r="H73" s="52">
        <f t="shared" si="5"/>
        <v>3.0625000000000004</v>
      </c>
      <c r="I73" s="50">
        <f>IF((B73&gt;0),('Vlookup Tables'!$B$35),"-")</f>
        <v>259</v>
      </c>
      <c r="J73" s="265" t="str">
        <f>IF(B73&gt;0,(IF(D73="2-Way",VLOOKUP($G73,'Vlookup Tables'!$C$23:$F$33,2,FALSE),VLOOKUP($G73,'Vlookup Tables'!$C$23:$F$33,3,FALSE))),"-")</f>
        <v>02041</v>
      </c>
      <c r="K73" s="276" t="str">
        <f>IF(B73&gt;0,(VLOOKUP(J73,'Valve Reference'!$A$2:$K$389,4)),"-")</f>
        <v>Standard</v>
      </c>
      <c r="L73" s="276" t="str">
        <f>IF(B73&gt;0,(VLOOKUP(J73,'Valve Reference'!$A$2:$K$389,5)),"-")</f>
        <v>BR</v>
      </c>
      <c r="M73" s="276" t="str">
        <f>IF(B73&gt;0,(VLOOKUP(J73,'Valve Reference'!$A$2:$K$389,8)),"-")</f>
        <v>Linear</v>
      </c>
      <c r="N73" s="276" t="str">
        <f>IF(B73&gt;0,(VLOOKUP(J73,'Valve Reference'!$A$2:$K$389,10)),"-")</f>
        <v>FxF</v>
      </c>
      <c r="O73" s="277" t="str">
        <f>IF(B73&gt;0,(VLOOKUP(J73,'Valve Reference'!$A$2:$K$389,11)),"-")</f>
        <v>Globe-Powermite</v>
      </c>
      <c r="P73" s="278" t="str">
        <f>IF(B73&gt;0,(VLOOKUP(I73,'Actuator Reference'!$A$2:$H$54,2)),"-")</f>
        <v>SSC81U</v>
      </c>
      <c r="Q73" s="278" t="str">
        <f>IF(B73&gt;0,(VLOOKUP(I73,'Actuator Reference'!$A$2:$H$54,5)),"-")</f>
        <v>Float</v>
      </c>
      <c r="R73" s="278" t="str">
        <f>IF(B73&gt;0,(VLOOKUP(I73,'Actuator Reference'!$A$2:$H$54,6)),"-")</f>
        <v>NSR</v>
      </c>
      <c r="S73" s="278" t="str">
        <f>IF(B73&gt;0,(VLOOKUP(I73,'Actuator Reference'!$A$2:$H$54,7)),"-")</f>
        <v>24V</v>
      </c>
      <c r="T73" s="279" t="str">
        <f>IF(B73&gt;0,(VLOOKUP(I73,'Actuator Reference'!$A$2:$H$54,8)),"-")</f>
        <v>MT-Series</v>
      </c>
      <c r="AD73" s="38"/>
      <c r="AE73" s="38"/>
      <c r="AF73" s="35">
        <v>1</v>
      </c>
      <c r="AG73" s="35" t="s">
        <v>1097</v>
      </c>
      <c r="AH73" s="38" t="str">
        <f t="shared" si="6"/>
        <v>259-02041</v>
      </c>
      <c r="AI73" s="264" t="e">
        <f t="shared" si="7"/>
        <v>#REF!</v>
      </c>
    </row>
    <row r="74" spans="1:35" ht="14.25">
      <c r="A74" s="275" t="e">
        <f>'Box Schedule'!#REF!</f>
        <v>#REF!</v>
      </c>
      <c r="B74" s="262">
        <v>8</v>
      </c>
      <c r="C74" s="229" t="str">
        <f>IF((B74&gt;0),(VLOOKUP(J74,'Valve Reference'!$A$2:$K$389,3)),"-")</f>
        <v>0.5</v>
      </c>
      <c r="D74" s="230" t="s">
        <v>577</v>
      </c>
      <c r="E74" s="231">
        <f>IF((B74&gt;0),('Vlookup Tables'!$B$37),"-")</f>
        <v>5</v>
      </c>
      <c r="F74" s="51">
        <f t="shared" si="4"/>
        <v>3.5777087639996634</v>
      </c>
      <c r="G74" s="228">
        <f>IF((B74&gt;0),(VLOOKUP($B74,'Vlookup Tables'!$B$23:$F$33,2,TRUE)),"-")</f>
        <v>4</v>
      </c>
      <c r="H74" s="52">
        <f t="shared" si="5"/>
        <v>4</v>
      </c>
      <c r="I74" s="50">
        <f>IF((B74&gt;0),('Vlookup Tables'!$B$35),"-")</f>
        <v>259</v>
      </c>
      <c r="J74" s="265" t="str">
        <f>IF(B74&gt;0,(IF(D74="2-Way",VLOOKUP($G74,'Vlookup Tables'!$C$23:$F$33,2,FALSE),VLOOKUP($G74,'Vlookup Tables'!$C$23:$F$33,3,FALSE))),"-")</f>
        <v>02041</v>
      </c>
      <c r="K74" s="276" t="str">
        <f>IF(B74&gt;0,(VLOOKUP(J74,'Valve Reference'!$A$2:$K$389,4)),"-")</f>
        <v>Standard</v>
      </c>
      <c r="L74" s="276" t="str">
        <f>IF(B74&gt;0,(VLOOKUP(J74,'Valve Reference'!$A$2:$K$389,5)),"-")</f>
        <v>BR</v>
      </c>
      <c r="M74" s="276" t="str">
        <f>IF(B74&gt;0,(VLOOKUP(J74,'Valve Reference'!$A$2:$K$389,8)),"-")</f>
        <v>Linear</v>
      </c>
      <c r="N74" s="276" t="str">
        <f>IF(B74&gt;0,(VLOOKUP(J74,'Valve Reference'!$A$2:$K$389,10)),"-")</f>
        <v>FxF</v>
      </c>
      <c r="O74" s="277" t="str">
        <f>IF(B74&gt;0,(VLOOKUP(J74,'Valve Reference'!$A$2:$K$389,11)),"-")</f>
        <v>Globe-Powermite</v>
      </c>
      <c r="P74" s="278" t="str">
        <f>IF(B74&gt;0,(VLOOKUP(I74,'Actuator Reference'!$A$2:$H$54,2)),"-")</f>
        <v>SSC81U</v>
      </c>
      <c r="Q74" s="278" t="str">
        <f>IF(B74&gt;0,(VLOOKUP(I74,'Actuator Reference'!$A$2:$H$54,5)),"-")</f>
        <v>Float</v>
      </c>
      <c r="R74" s="278" t="str">
        <f>IF(B74&gt;0,(VLOOKUP(I74,'Actuator Reference'!$A$2:$H$54,6)),"-")</f>
        <v>NSR</v>
      </c>
      <c r="S74" s="278" t="str">
        <f>IF(B74&gt;0,(VLOOKUP(I74,'Actuator Reference'!$A$2:$H$54,7)),"-")</f>
        <v>24V</v>
      </c>
      <c r="T74" s="279" t="str">
        <f>IF(B74&gt;0,(VLOOKUP(I74,'Actuator Reference'!$A$2:$H$54,8)),"-")</f>
        <v>MT-Series</v>
      </c>
      <c r="AD74" s="38"/>
      <c r="AE74" s="38"/>
      <c r="AF74" s="35">
        <v>1</v>
      </c>
      <c r="AG74" s="35" t="s">
        <v>1097</v>
      </c>
      <c r="AH74" s="38" t="str">
        <f t="shared" si="6"/>
        <v>259-02041</v>
      </c>
      <c r="AI74" s="264" t="e">
        <f t="shared" si="7"/>
        <v>#REF!</v>
      </c>
    </row>
    <row r="75" spans="1:35" ht="14.25">
      <c r="A75" s="275" t="e">
        <f>'Box Schedule'!#REF!</f>
        <v>#REF!</v>
      </c>
      <c r="B75" s="262">
        <v>9</v>
      </c>
      <c r="C75" s="229" t="str">
        <f>IF((B75&gt;0),(VLOOKUP(J75,'Valve Reference'!$A$2:$K$389,3)),"-")</f>
        <v>0.75</v>
      </c>
      <c r="D75" s="230" t="s">
        <v>577</v>
      </c>
      <c r="E75" s="231">
        <f>IF((B75&gt;0),('Vlookup Tables'!$B$37),"-")</f>
        <v>5</v>
      </c>
      <c r="F75" s="51">
        <f t="shared" si="4"/>
        <v>4.0249223594996213</v>
      </c>
      <c r="G75" s="228">
        <f>IF((B75&gt;0),(VLOOKUP($B75,'Vlookup Tables'!$B$23:$F$33,2,TRUE)),"-")</f>
        <v>6.3</v>
      </c>
      <c r="H75" s="52">
        <f t="shared" si="5"/>
        <v>2.0408163265306127</v>
      </c>
      <c r="I75" s="50">
        <f>IF((B75&gt;0),('Vlookup Tables'!$B$35),"-")</f>
        <v>259</v>
      </c>
      <c r="J75" s="265" t="str">
        <f>IF(B75&gt;0,(IF(D75="2-Way",VLOOKUP($G75,'Vlookup Tables'!$C$23:$F$33,2,FALSE),VLOOKUP($G75,'Vlookup Tables'!$C$23:$F$33,3,FALSE))),"-")</f>
        <v>02044</v>
      </c>
      <c r="K75" s="276" t="str">
        <f>IF(B75&gt;0,(VLOOKUP(J75,'Valve Reference'!$A$2:$K$389,4)),"-")</f>
        <v>Standard</v>
      </c>
      <c r="L75" s="276" t="str">
        <f>IF(B75&gt;0,(VLOOKUP(J75,'Valve Reference'!$A$2:$K$389,5)),"-")</f>
        <v>BR</v>
      </c>
      <c r="M75" s="276" t="str">
        <f>IF(B75&gt;0,(VLOOKUP(J75,'Valve Reference'!$A$2:$K$389,8)),"-")</f>
        <v>Linear</v>
      </c>
      <c r="N75" s="276" t="str">
        <f>IF(B75&gt;0,(VLOOKUP(J75,'Valve Reference'!$A$2:$K$389,10)),"-")</f>
        <v>FxF</v>
      </c>
      <c r="O75" s="277" t="str">
        <f>IF(B75&gt;0,(VLOOKUP(J75,'Valve Reference'!$A$2:$K$389,11)),"-")</f>
        <v>Globe-Powermite</v>
      </c>
      <c r="P75" s="278" t="str">
        <f>IF(B75&gt;0,(VLOOKUP(I75,'Actuator Reference'!$A$2:$H$54,2)),"-")</f>
        <v>SSC81U</v>
      </c>
      <c r="Q75" s="278" t="str">
        <f>IF(B75&gt;0,(VLOOKUP(I75,'Actuator Reference'!$A$2:$H$54,5)),"-")</f>
        <v>Float</v>
      </c>
      <c r="R75" s="278" t="str">
        <f>IF(B75&gt;0,(VLOOKUP(I75,'Actuator Reference'!$A$2:$H$54,6)),"-")</f>
        <v>NSR</v>
      </c>
      <c r="S75" s="278" t="str">
        <f>IF(B75&gt;0,(VLOOKUP(I75,'Actuator Reference'!$A$2:$H$54,7)),"-")</f>
        <v>24V</v>
      </c>
      <c r="T75" s="279" t="str">
        <f>IF(B75&gt;0,(VLOOKUP(I75,'Actuator Reference'!$A$2:$H$54,8)),"-")</f>
        <v>MT-Series</v>
      </c>
      <c r="AD75" s="38"/>
      <c r="AE75" s="38"/>
      <c r="AF75" s="35">
        <v>1</v>
      </c>
      <c r="AG75" s="35" t="s">
        <v>1097</v>
      </c>
      <c r="AH75" s="38" t="str">
        <f t="shared" si="6"/>
        <v>259-02044</v>
      </c>
      <c r="AI75" s="264" t="e">
        <f t="shared" si="7"/>
        <v>#REF!</v>
      </c>
    </row>
    <row r="76" spans="1:35" ht="14.25">
      <c r="A76" s="275" t="e">
        <f>'Box Schedule'!#REF!</f>
        <v>#REF!</v>
      </c>
      <c r="B76" s="262">
        <v>1</v>
      </c>
      <c r="C76" s="229" t="str">
        <f>IF((B76&gt;0),(VLOOKUP(J76,'Valve Reference'!$A$2:$K$389,3)),"-")</f>
        <v>0.5</v>
      </c>
      <c r="D76" s="230" t="s">
        <v>577</v>
      </c>
      <c r="E76" s="231">
        <f>IF((B76&gt;0),('Vlookup Tables'!$B$37),"-")</f>
        <v>5</v>
      </c>
      <c r="F76" s="51">
        <f t="shared" si="4"/>
        <v>0.44721359549995793</v>
      </c>
      <c r="G76" s="228">
        <f>IF((B76&gt;0),(VLOOKUP($B76,'Vlookup Tables'!$B$23:$F$33,2,TRUE)),"-")</f>
        <v>0.63</v>
      </c>
      <c r="H76" s="52">
        <f t="shared" si="5"/>
        <v>2.5195263290501382</v>
      </c>
      <c r="I76" s="50">
        <f>IF((B76&gt;0),('Vlookup Tables'!$B$35),"-")</f>
        <v>259</v>
      </c>
      <c r="J76" s="265" t="str">
        <f>IF(B76&gt;0,(IF(D76="2-Way",VLOOKUP($G76,'Vlookup Tables'!$C$23:$F$33,2,FALSE),VLOOKUP($G76,'Vlookup Tables'!$C$23:$F$33,3,FALSE))),"-")</f>
        <v>02032</v>
      </c>
      <c r="K76" s="276" t="str">
        <f>IF(B76&gt;0,(VLOOKUP(J76,'Valve Reference'!$A$2:$K$389,4)),"-")</f>
        <v>Standard</v>
      </c>
      <c r="L76" s="276" t="str">
        <f>IF(B76&gt;0,(VLOOKUP(J76,'Valve Reference'!$A$2:$K$389,5)),"-")</f>
        <v>BR</v>
      </c>
      <c r="M76" s="276" t="str">
        <f>IF(B76&gt;0,(VLOOKUP(J76,'Valve Reference'!$A$2:$K$389,8)),"-")</f>
        <v>Linear</v>
      </c>
      <c r="N76" s="276" t="str">
        <f>IF(B76&gt;0,(VLOOKUP(J76,'Valve Reference'!$A$2:$K$389,10)),"-")</f>
        <v>FxF</v>
      </c>
      <c r="O76" s="277" t="str">
        <f>IF(B76&gt;0,(VLOOKUP(J76,'Valve Reference'!$A$2:$K$389,11)),"-")</f>
        <v>Globe-Powermite</v>
      </c>
      <c r="P76" s="278" t="str">
        <f>IF(B76&gt;0,(VLOOKUP(I76,'Actuator Reference'!$A$2:$H$54,2)),"-")</f>
        <v>SSC81U</v>
      </c>
      <c r="Q76" s="278" t="str">
        <f>IF(B76&gt;0,(VLOOKUP(I76,'Actuator Reference'!$A$2:$H$54,5)),"-")</f>
        <v>Float</v>
      </c>
      <c r="R76" s="278" t="str">
        <f>IF(B76&gt;0,(VLOOKUP(I76,'Actuator Reference'!$A$2:$H$54,6)),"-")</f>
        <v>NSR</v>
      </c>
      <c r="S76" s="278" t="str">
        <f>IF(B76&gt;0,(VLOOKUP(I76,'Actuator Reference'!$A$2:$H$54,7)),"-")</f>
        <v>24V</v>
      </c>
      <c r="T76" s="279" t="str">
        <f>IF(B76&gt;0,(VLOOKUP(I76,'Actuator Reference'!$A$2:$H$54,8)),"-")</f>
        <v>MT-Series</v>
      </c>
      <c r="AD76" s="38"/>
      <c r="AE76" s="38"/>
      <c r="AF76" s="35">
        <v>1</v>
      </c>
      <c r="AG76" s="35" t="s">
        <v>1097</v>
      </c>
      <c r="AH76" s="38" t="str">
        <f t="shared" si="6"/>
        <v>259-02032</v>
      </c>
      <c r="AI76" s="264" t="e">
        <f t="shared" si="7"/>
        <v>#REF!</v>
      </c>
    </row>
    <row r="77" spans="1:35" ht="14.25">
      <c r="A77" s="275" t="e">
        <f>'Box Schedule'!#REF!</f>
        <v>#REF!</v>
      </c>
      <c r="B77" s="262">
        <v>2</v>
      </c>
      <c r="C77" s="229" t="str">
        <f>IF((B77&gt;0),(VLOOKUP(J77,'Valve Reference'!$A$2:$K$389,3)),"-")</f>
        <v>0.5</v>
      </c>
      <c r="D77" s="230" t="s">
        <v>577</v>
      </c>
      <c r="E77" s="231">
        <f>IF((B77&gt;0),('Vlookup Tables'!$B$37),"-")</f>
        <v>5</v>
      </c>
      <c r="F77" s="51">
        <f t="shared" si="4"/>
        <v>0.89442719099991586</v>
      </c>
      <c r="G77" s="228">
        <f>IF((B77&gt;0),(VLOOKUP($B77,'Vlookup Tables'!$B$23:$F$33,2,TRUE)),"-")</f>
        <v>1</v>
      </c>
      <c r="H77" s="52">
        <f t="shared" si="5"/>
        <v>4</v>
      </c>
      <c r="I77" s="50">
        <f>IF((B77&gt;0),('Vlookup Tables'!$B$35),"-")</f>
        <v>259</v>
      </c>
      <c r="J77" s="265" t="str">
        <f>IF(B77&gt;0,(IF(D77="2-Way",VLOOKUP($G77,'Vlookup Tables'!$C$23:$F$33,2,FALSE),VLOOKUP($G77,'Vlookup Tables'!$C$23:$F$33,3,FALSE))),"-")</f>
        <v>02034</v>
      </c>
      <c r="K77" s="276" t="str">
        <f>IF(B77&gt;0,(VLOOKUP(J77,'Valve Reference'!$A$2:$K$389,4)),"-")</f>
        <v>Standard</v>
      </c>
      <c r="L77" s="276" t="str">
        <f>IF(B77&gt;0,(VLOOKUP(J77,'Valve Reference'!$A$2:$K$389,5)),"-")</f>
        <v>BR</v>
      </c>
      <c r="M77" s="276" t="str">
        <f>IF(B77&gt;0,(VLOOKUP(J77,'Valve Reference'!$A$2:$K$389,8)),"-")</f>
        <v>Linear</v>
      </c>
      <c r="N77" s="276" t="str">
        <f>IF(B77&gt;0,(VLOOKUP(J77,'Valve Reference'!$A$2:$K$389,10)),"-")</f>
        <v>FxF</v>
      </c>
      <c r="O77" s="277" t="str">
        <f>IF(B77&gt;0,(VLOOKUP(J77,'Valve Reference'!$A$2:$K$389,11)),"-")</f>
        <v>Globe-Powermite</v>
      </c>
      <c r="P77" s="278" t="str">
        <f>IF(B77&gt;0,(VLOOKUP(I77,'Actuator Reference'!$A$2:$H$54,2)),"-")</f>
        <v>SSC81U</v>
      </c>
      <c r="Q77" s="278" t="str">
        <f>IF(B77&gt;0,(VLOOKUP(I77,'Actuator Reference'!$A$2:$H$54,5)),"-")</f>
        <v>Float</v>
      </c>
      <c r="R77" s="278" t="str">
        <f>IF(B77&gt;0,(VLOOKUP(I77,'Actuator Reference'!$A$2:$H$54,6)),"-")</f>
        <v>NSR</v>
      </c>
      <c r="S77" s="278" t="str">
        <f>IF(B77&gt;0,(VLOOKUP(I77,'Actuator Reference'!$A$2:$H$54,7)),"-")</f>
        <v>24V</v>
      </c>
      <c r="T77" s="279" t="str">
        <f>IF(B77&gt;0,(VLOOKUP(I77,'Actuator Reference'!$A$2:$H$54,8)),"-")</f>
        <v>MT-Series</v>
      </c>
      <c r="AD77" s="38"/>
      <c r="AE77" s="38"/>
      <c r="AF77" s="35">
        <v>1</v>
      </c>
      <c r="AG77" s="35" t="s">
        <v>1097</v>
      </c>
      <c r="AH77" s="38" t="str">
        <f t="shared" si="6"/>
        <v>259-02034</v>
      </c>
      <c r="AI77" s="264" t="e">
        <f t="shared" si="7"/>
        <v>#REF!</v>
      </c>
    </row>
    <row r="78" spans="1:35" ht="14.25">
      <c r="A78" s="275" t="e">
        <f>'Box Schedule'!#REF!</f>
        <v>#REF!</v>
      </c>
      <c r="B78" s="262">
        <v>3</v>
      </c>
      <c r="C78" s="229" t="str">
        <f>IF((B78&gt;0),(VLOOKUP(J78,'Valve Reference'!$A$2:$K$389,3)),"-")</f>
        <v>0.5</v>
      </c>
      <c r="D78" s="230" t="s">
        <v>577</v>
      </c>
      <c r="E78" s="231">
        <f>IF((B78&gt;0),('Vlookup Tables'!$B$37),"-")</f>
        <v>5</v>
      </c>
      <c r="F78" s="51">
        <f t="shared" si="4"/>
        <v>1.3416407864998738</v>
      </c>
      <c r="G78" s="228">
        <f>IF((B78&gt;0),(VLOOKUP($B78,'Vlookup Tables'!$B$23:$F$33,2,TRUE)),"-")</f>
        <v>1.6</v>
      </c>
      <c r="H78" s="52">
        <f t="shared" si="5"/>
        <v>3.515625</v>
      </c>
      <c r="I78" s="50">
        <f>IF((B78&gt;0),('Vlookup Tables'!$B$35),"-")</f>
        <v>259</v>
      </c>
      <c r="J78" s="265" t="str">
        <f>IF(B78&gt;0,(IF(D78="2-Way",VLOOKUP($G78,'Vlookup Tables'!$C$23:$F$33,2,FALSE),VLOOKUP($G78,'Vlookup Tables'!$C$23:$F$33,3,FALSE))),"-")</f>
        <v>02036</v>
      </c>
      <c r="K78" s="276" t="str">
        <f>IF(B78&gt;0,(VLOOKUP(J78,'Valve Reference'!$A$2:$K$389,4)),"-")</f>
        <v>Standard</v>
      </c>
      <c r="L78" s="276" t="str">
        <f>IF(B78&gt;0,(VLOOKUP(J78,'Valve Reference'!$A$2:$K$389,5)),"-")</f>
        <v>BR</v>
      </c>
      <c r="M78" s="276" t="str">
        <f>IF(B78&gt;0,(VLOOKUP(J78,'Valve Reference'!$A$2:$K$389,8)),"-")</f>
        <v>Linear</v>
      </c>
      <c r="N78" s="276" t="str">
        <f>IF(B78&gt;0,(VLOOKUP(J78,'Valve Reference'!$A$2:$K$389,10)),"-")</f>
        <v>FxF</v>
      </c>
      <c r="O78" s="277" t="str">
        <f>IF(B78&gt;0,(VLOOKUP(J78,'Valve Reference'!$A$2:$K$389,11)),"-")</f>
        <v>Globe-Powermite</v>
      </c>
      <c r="P78" s="278" t="str">
        <f>IF(B78&gt;0,(VLOOKUP(I78,'Actuator Reference'!$A$2:$H$54,2)),"-")</f>
        <v>SSC81U</v>
      </c>
      <c r="Q78" s="278" t="str">
        <f>IF(B78&gt;0,(VLOOKUP(I78,'Actuator Reference'!$A$2:$H$54,5)),"-")</f>
        <v>Float</v>
      </c>
      <c r="R78" s="278" t="str">
        <f>IF(B78&gt;0,(VLOOKUP(I78,'Actuator Reference'!$A$2:$H$54,6)),"-")</f>
        <v>NSR</v>
      </c>
      <c r="S78" s="278" t="str">
        <f>IF(B78&gt;0,(VLOOKUP(I78,'Actuator Reference'!$A$2:$H$54,7)),"-")</f>
        <v>24V</v>
      </c>
      <c r="T78" s="279" t="str">
        <f>IF(B78&gt;0,(VLOOKUP(I78,'Actuator Reference'!$A$2:$H$54,8)),"-")</f>
        <v>MT-Series</v>
      </c>
      <c r="AD78" s="38"/>
      <c r="AE78" s="38"/>
      <c r="AF78" s="35">
        <v>1</v>
      </c>
      <c r="AG78" s="35" t="s">
        <v>1097</v>
      </c>
      <c r="AH78" s="38" t="str">
        <f t="shared" si="6"/>
        <v>259-02036</v>
      </c>
      <c r="AI78" s="264" t="e">
        <f t="shared" si="7"/>
        <v>#REF!</v>
      </c>
    </row>
    <row r="79" spans="1:35" ht="14.25">
      <c r="A79" s="275" t="e">
        <f>'Box Schedule'!#REF!</f>
        <v>#REF!</v>
      </c>
      <c r="B79" s="262">
        <v>4</v>
      </c>
      <c r="C79" s="229" t="str">
        <f>IF((B79&gt;0),(VLOOKUP(J79,'Valve Reference'!$A$2:$K$389,3)),"-")</f>
        <v>0.5</v>
      </c>
      <c r="D79" s="230" t="s">
        <v>577</v>
      </c>
      <c r="E79" s="231">
        <f>IF((B79&gt;0),('Vlookup Tables'!$B$37),"-")</f>
        <v>5</v>
      </c>
      <c r="F79" s="51">
        <f t="shared" si="4"/>
        <v>1.7888543819998317</v>
      </c>
      <c r="G79" s="228">
        <f>IF((B79&gt;0),(VLOOKUP($B79,'Vlookup Tables'!$B$23:$F$33,2,TRUE)),"-")</f>
        <v>2.5</v>
      </c>
      <c r="H79" s="52">
        <f t="shared" si="5"/>
        <v>2.56</v>
      </c>
      <c r="I79" s="50">
        <f>IF((B79&gt;0),('Vlookup Tables'!$B$35),"-")</f>
        <v>259</v>
      </c>
      <c r="J79" s="265" t="str">
        <f>IF(B79&gt;0,(IF(D79="2-Way",VLOOKUP($G79,'Vlookup Tables'!$C$23:$F$33,2,FALSE),VLOOKUP($G79,'Vlookup Tables'!$C$23:$F$33,3,FALSE))),"-")</f>
        <v>02038</v>
      </c>
      <c r="K79" s="276" t="str">
        <f>IF(B79&gt;0,(VLOOKUP(J79,'Valve Reference'!$A$2:$K$389,4)),"-")</f>
        <v>Standard</v>
      </c>
      <c r="L79" s="276" t="str">
        <f>IF(B79&gt;0,(VLOOKUP(J79,'Valve Reference'!$A$2:$K$389,5)),"-")</f>
        <v>BR</v>
      </c>
      <c r="M79" s="276" t="str">
        <f>IF(B79&gt;0,(VLOOKUP(J79,'Valve Reference'!$A$2:$K$389,8)),"-")</f>
        <v>Linear</v>
      </c>
      <c r="N79" s="276" t="str">
        <f>IF(B79&gt;0,(VLOOKUP(J79,'Valve Reference'!$A$2:$K$389,10)),"-")</f>
        <v>FxF</v>
      </c>
      <c r="O79" s="277" t="str">
        <f>IF(B79&gt;0,(VLOOKUP(J79,'Valve Reference'!$A$2:$K$389,11)),"-")</f>
        <v>Globe-Powermite</v>
      </c>
      <c r="P79" s="278" t="str">
        <f>IF(B79&gt;0,(VLOOKUP(I79,'Actuator Reference'!$A$2:$H$54,2)),"-")</f>
        <v>SSC81U</v>
      </c>
      <c r="Q79" s="278" t="str">
        <f>IF(B79&gt;0,(VLOOKUP(I79,'Actuator Reference'!$A$2:$H$54,5)),"-")</f>
        <v>Float</v>
      </c>
      <c r="R79" s="278" t="str">
        <f>IF(B79&gt;0,(VLOOKUP(I79,'Actuator Reference'!$A$2:$H$54,6)),"-")</f>
        <v>NSR</v>
      </c>
      <c r="S79" s="278" t="str">
        <f>IF(B79&gt;0,(VLOOKUP(I79,'Actuator Reference'!$A$2:$H$54,7)),"-")</f>
        <v>24V</v>
      </c>
      <c r="T79" s="279" t="str">
        <f>IF(B79&gt;0,(VLOOKUP(I79,'Actuator Reference'!$A$2:$H$54,8)),"-")</f>
        <v>MT-Series</v>
      </c>
      <c r="AD79" s="38"/>
      <c r="AE79" s="38"/>
      <c r="AF79" s="35">
        <v>1</v>
      </c>
      <c r="AG79" s="35" t="s">
        <v>1097</v>
      </c>
      <c r="AH79" s="38" t="str">
        <f t="shared" si="6"/>
        <v>259-02038</v>
      </c>
      <c r="AI79" s="264" t="e">
        <f t="shared" si="7"/>
        <v>#REF!</v>
      </c>
    </row>
    <row r="80" spans="1:35" ht="14.25">
      <c r="A80" s="275" t="e">
        <f>'Box Schedule'!#REF!</f>
        <v>#REF!</v>
      </c>
      <c r="B80" s="262">
        <v>5</v>
      </c>
      <c r="C80" s="229" t="str">
        <f>IF((B80&gt;0),(VLOOKUP(J80,'Valve Reference'!$A$2:$K$389,3)),"-")</f>
        <v>0.5</v>
      </c>
      <c r="D80" s="230" t="s">
        <v>577</v>
      </c>
      <c r="E80" s="231">
        <f>IF((B80&gt;0),('Vlookup Tables'!$B$37),"-")</f>
        <v>5</v>
      </c>
      <c r="F80" s="51">
        <f t="shared" si="4"/>
        <v>2.2360679774997898</v>
      </c>
      <c r="G80" s="228">
        <f>IF((B80&gt;0),(VLOOKUP($B80,'Vlookup Tables'!$B$23:$F$33,2,TRUE)),"-")</f>
        <v>2.5</v>
      </c>
      <c r="H80" s="52">
        <f t="shared" si="5"/>
        <v>4</v>
      </c>
      <c r="I80" s="50">
        <f>IF((B80&gt;0),('Vlookup Tables'!$B$35),"-")</f>
        <v>259</v>
      </c>
      <c r="J80" s="265" t="str">
        <f>IF(B80&gt;0,(IF(D80="2-Way",VLOOKUP($G80,'Vlookup Tables'!$C$23:$F$33,2,FALSE),VLOOKUP($G80,'Vlookup Tables'!$C$23:$F$33,3,FALSE))),"-")</f>
        <v>02038</v>
      </c>
      <c r="K80" s="276" t="str">
        <f>IF(B80&gt;0,(VLOOKUP(J80,'Valve Reference'!$A$2:$K$389,4)),"-")</f>
        <v>Standard</v>
      </c>
      <c r="L80" s="276" t="str">
        <f>IF(B80&gt;0,(VLOOKUP(J80,'Valve Reference'!$A$2:$K$389,5)),"-")</f>
        <v>BR</v>
      </c>
      <c r="M80" s="276" t="str">
        <f>IF(B80&gt;0,(VLOOKUP(J80,'Valve Reference'!$A$2:$K$389,8)),"-")</f>
        <v>Linear</v>
      </c>
      <c r="N80" s="276" t="str">
        <f>IF(B80&gt;0,(VLOOKUP(J80,'Valve Reference'!$A$2:$K$389,10)),"-")</f>
        <v>FxF</v>
      </c>
      <c r="O80" s="277" t="str">
        <f>IF(B80&gt;0,(VLOOKUP(J80,'Valve Reference'!$A$2:$K$389,11)),"-")</f>
        <v>Globe-Powermite</v>
      </c>
      <c r="P80" s="278" t="str">
        <f>IF(B80&gt;0,(VLOOKUP(I80,'Actuator Reference'!$A$2:$H$54,2)),"-")</f>
        <v>SSC81U</v>
      </c>
      <c r="Q80" s="278" t="str">
        <f>IF(B80&gt;0,(VLOOKUP(I80,'Actuator Reference'!$A$2:$H$54,5)),"-")</f>
        <v>Float</v>
      </c>
      <c r="R80" s="278" t="str">
        <f>IF(B80&gt;0,(VLOOKUP(I80,'Actuator Reference'!$A$2:$H$54,6)),"-")</f>
        <v>NSR</v>
      </c>
      <c r="S80" s="278" t="str">
        <f>IF(B80&gt;0,(VLOOKUP(I80,'Actuator Reference'!$A$2:$H$54,7)),"-")</f>
        <v>24V</v>
      </c>
      <c r="T80" s="279" t="str">
        <f>IF(B80&gt;0,(VLOOKUP(I80,'Actuator Reference'!$A$2:$H$54,8)),"-")</f>
        <v>MT-Series</v>
      </c>
      <c r="AD80" s="38"/>
      <c r="AE80" s="38"/>
      <c r="AF80" s="35">
        <v>1</v>
      </c>
      <c r="AG80" s="35" t="s">
        <v>1097</v>
      </c>
      <c r="AH80" s="38" t="str">
        <f t="shared" si="6"/>
        <v>259-02038</v>
      </c>
      <c r="AI80" s="264" t="e">
        <f t="shared" si="7"/>
        <v>#REF!</v>
      </c>
    </row>
    <row r="81" spans="1:35" ht="14.25">
      <c r="A81" s="275" t="e">
        <f>'Box Schedule'!#REF!</f>
        <v>#REF!</v>
      </c>
      <c r="B81" s="262">
        <v>6</v>
      </c>
      <c r="C81" s="229" t="str">
        <f>IF((B81&gt;0),(VLOOKUP(J81,'Valve Reference'!$A$2:$K$389,3)),"-")</f>
        <v>0.5</v>
      </c>
      <c r="D81" s="230" t="s">
        <v>577</v>
      </c>
      <c r="E81" s="231">
        <f>IF((B81&gt;0),('Vlookup Tables'!$B$37),"-")</f>
        <v>5</v>
      </c>
      <c r="F81" s="51">
        <f t="shared" si="4"/>
        <v>2.6832815729997477</v>
      </c>
      <c r="G81" s="228">
        <f>IF((B81&gt;0),(VLOOKUP($B81,'Vlookup Tables'!$B$23:$F$33,2,TRUE)),"-")</f>
        <v>4</v>
      </c>
      <c r="H81" s="52">
        <f t="shared" si="5"/>
        <v>2.25</v>
      </c>
      <c r="I81" s="50">
        <f>IF((B81&gt;0),('Vlookup Tables'!$B$35),"-")</f>
        <v>259</v>
      </c>
      <c r="J81" s="265" t="str">
        <f>IF(B81&gt;0,(IF(D81="2-Way",VLOOKUP($G81,'Vlookup Tables'!$C$23:$F$33,2,FALSE),VLOOKUP($G81,'Vlookup Tables'!$C$23:$F$33,3,FALSE))),"-")</f>
        <v>02041</v>
      </c>
      <c r="K81" s="276" t="str">
        <f>IF(B81&gt;0,(VLOOKUP(J81,'Valve Reference'!$A$2:$K$389,4)),"-")</f>
        <v>Standard</v>
      </c>
      <c r="L81" s="276" t="str">
        <f>IF(B81&gt;0,(VLOOKUP(J81,'Valve Reference'!$A$2:$K$389,5)),"-")</f>
        <v>BR</v>
      </c>
      <c r="M81" s="276" t="str">
        <f>IF(B81&gt;0,(VLOOKUP(J81,'Valve Reference'!$A$2:$K$389,8)),"-")</f>
        <v>Linear</v>
      </c>
      <c r="N81" s="276" t="str">
        <f>IF(B81&gt;0,(VLOOKUP(J81,'Valve Reference'!$A$2:$K$389,10)),"-")</f>
        <v>FxF</v>
      </c>
      <c r="O81" s="277" t="str">
        <f>IF(B81&gt;0,(VLOOKUP(J81,'Valve Reference'!$A$2:$K$389,11)),"-")</f>
        <v>Globe-Powermite</v>
      </c>
      <c r="P81" s="278" t="str">
        <f>IF(B81&gt;0,(VLOOKUP(I81,'Actuator Reference'!$A$2:$H$54,2)),"-")</f>
        <v>SSC81U</v>
      </c>
      <c r="Q81" s="278" t="str">
        <f>IF(B81&gt;0,(VLOOKUP(I81,'Actuator Reference'!$A$2:$H$54,5)),"-")</f>
        <v>Float</v>
      </c>
      <c r="R81" s="278" t="str">
        <f>IF(B81&gt;0,(VLOOKUP(I81,'Actuator Reference'!$A$2:$H$54,6)),"-")</f>
        <v>NSR</v>
      </c>
      <c r="S81" s="278" t="str">
        <f>IF(B81&gt;0,(VLOOKUP(I81,'Actuator Reference'!$A$2:$H$54,7)),"-")</f>
        <v>24V</v>
      </c>
      <c r="T81" s="279" t="str">
        <f>IF(B81&gt;0,(VLOOKUP(I81,'Actuator Reference'!$A$2:$H$54,8)),"-")</f>
        <v>MT-Series</v>
      </c>
      <c r="AD81" s="38"/>
      <c r="AE81" s="38"/>
      <c r="AF81" s="35">
        <v>1</v>
      </c>
      <c r="AG81" s="35" t="s">
        <v>1097</v>
      </c>
      <c r="AH81" s="38" t="str">
        <f t="shared" si="6"/>
        <v>259-02041</v>
      </c>
      <c r="AI81" s="264" t="e">
        <f t="shared" si="7"/>
        <v>#REF!</v>
      </c>
    </row>
    <row r="82" spans="1:35" ht="14.25">
      <c r="A82" s="275" t="e">
        <f>'Box Schedule'!#REF!</f>
        <v>#REF!</v>
      </c>
      <c r="B82" s="262">
        <v>7</v>
      </c>
      <c r="C82" s="229" t="str">
        <f>IF((B82&gt;0),(VLOOKUP(J82,'Valve Reference'!$A$2:$K$389,3)),"-")</f>
        <v>0.5</v>
      </c>
      <c r="D82" s="230" t="s">
        <v>577</v>
      </c>
      <c r="E82" s="231">
        <f>IF((B82&gt;0),('Vlookup Tables'!$B$37),"-")</f>
        <v>5</v>
      </c>
      <c r="F82" s="51">
        <f t="shared" si="4"/>
        <v>3.1304951684997055</v>
      </c>
      <c r="G82" s="228">
        <f>IF((B82&gt;0),(VLOOKUP($B82,'Vlookup Tables'!$B$23:$F$33,2,TRUE)),"-")</f>
        <v>4</v>
      </c>
      <c r="H82" s="52">
        <f t="shared" si="5"/>
        <v>3.0625000000000004</v>
      </c>
      <c r="I82" s="50">
        <f>IF((B82&gt;0),('Vlookup Tables'!$B$35),"-")</f>
        <v>259</v>
      </c>
      <c r="J82" s="265" t="str">
        <f>IF(B82&gt;0,(IF(D82="2-Way",VLOOKUP($G82,'Vlookup Tables'!$C$23:$F$33,2,FALSE),VLOOKUP($G82,'Vlookup Tables'!$C$23:$F$33,3,FALSE))),"-")</f>
        <v>02041</v>
      </c>
      <c r="K82" s="276" t="str">
        <f>IF(B82&gt;0,(VLOOKUP(J82,'Valve Reference'!$A$2:$K$389,4)),"-")</f>
        <v>Standard</v>
      </c>
      <c r="L82" s="276" t="str">
        <f>IF(B82&gt;0,(VLOOKUP(J82,'Valve Reference'!$A$2:$K$389,5)),"-")</f>
        <v>BR</v>
      </c>
      <c r="M82" s="276" t="str">
        <f>IF(B82&gt;0,(VLOOKUP(J82,'Valve Reference'!$A$2:$K$389,8)),"-")</f>
        <v>Linear</v>
      </c>
      <c r="N82" s="276" t="str">
        <f>IF(B82&gt;0,(VLOOKUP(J82,'Valve Reference'!$A$2:$K$389,10)),"-")</f>
        <v>FxF</v>
      </c>
      <c r="O82" s="277" t="str">
        <f>IF(B82&gt;0,(VLOOKUP(J82,'Valve Reference'!$A$2:$K$389,11)),"-")</f>
        <v>Globe-Powermite</v>
      </c>
      <c r="P82" s="278" t="str">
        <f>IF(B82&gt;0,(VLOOKUP(I82,'Actuator Reference'!$A$2:$H$54,2)),"-")</f>
        <v>SSC81U</v>
      </c>
      <c r="Q82" s="278" t="str">
        <f>IF(B82&gt;0,(VLOOKUP(I82,'Actuator Reference'!$A$2:$H$54,5)),"-")</f>
        <v>Float</v>
      </c>
      <c r="R82" s="278" t="str">
        <f>IF(B82&gt;0,(VLOOKUP(I82,'Actuator Reference'!$A$2:$H$54,6)),"-")</f>
        <v>NSR</v>
      </c>
      <c r="S82" s="278" t="str">
        <f>IF(B82&gt;0,(VLOOKUP(I82,'Actuator Reference'!$A$2:$H$54,7)),"-")</f>
        <v>24V</v>
      </c>
      <c r="T82" s="279" t="str">
        <f>IF(B82&gt;0,(VLOOKUP(I82,'Actuator Reference'!$A$2:$H$54,8)),"-")</f>
        <v>MT-Series</v>
      </c>
      <c r="AD82" s="38"/>
      <c r="AE82" s="38"/>
      <c r="AF82" s="35">
        <v>1</v>
      </c>
      <c r="AG82" s="35" t="s">
        <v>1097</v>
      </c>
      <c r="AH82" s="38" t="str">
        <f t="shared" si="6"/>
        <v>259-02041</v>
      </c>
      <c r="AI82" s="264" t="e">
        <f t="shared" si="7"/>
        <v>#REF!</v>
      </c>
    </row>
    <row r="83" spans="1:35" ht="14.25">
      <c r="A83" s="275" t="e">
        <f>'Box Schedule'!#REF!</f>
        <v>#REF!</v>
      </c>
      <c r="B83" s="262">
        <v>8</v>
      </c>
      <c r="C83" s="229" t="str">
        <f>IF((B83&gt;0),(VLOOKUP(J83,'Valve Reference'!$A$2:$K$389,3)),"-")</f>
        <v>0.5</v>
      </c>
      <c r="D83" s="230" t="s">
        <v>577</v>
      </c>
      <c r="E83" s="231">
        <f>IF((B83&gt;0),('Vlookup Tables'!$B$37),"-")</f>
        <v>5</v>
      </c>
      <c r="F83" s="51">
        <f t="shared" si="4"/>
        <v>3.5777087639996634</v>
      </c>
      <c r="G83" s="228">
        <f>IF((B83&gt;0),(VLOOKUP($B83,'Vlookup Tables'!$B$23:$F$33,2,TRUE)),"-")</f>
        <v>4</v>
      </c>
      <c r="H83" s="52">
        <f t="shared" si="5"/>
        <v>4</v>
      </c>
      <c r="I83" s="50">
        <f>IF((B83&gt;0),('Vlookup Tables'!$B$35),"-")</f>
        <v>259</v>
      </c>
      <c r="J83" s="265" t="str">
        <f>IF(B83&gt;0,(IF(D83="2-Way",VLOOKUP($G83,'Vlookup Tables'!$C$23:$F$33,2,FALSE),VLOOKUP($G83,'Vlookup Tables'!$C$23:$F$33,3,FALSE))),"-")</f>
        <v>02041</v>
      </c>
      <c r="K83" s="276" t="str">
        <f>IF(B83&gt;0,(VLOOKUP(J83,'Valve Reference'!$A$2:$K$389,4)),"-")</f>
        <v>Standard</v>
      </c>
      <c r="L83" s="276" t="str">
        <f>IF(B83&gt;0,(VLOOKUP(J83,'Valve Reference'!$A$2:$K$389,5)),"-")</f>
        <v>BR</v>
      </c>
      <c r="M83" s="276" t="str">
        <f>IF(B83&gt;0,(VLOOKUP(J83,'Valve Reference'!$A$2:$K$389,8)),"-")</f>
        <v>Linear</v>
      </c>
      <c r="N83" s="276" t="str">
        <f>IF(B83&gt;0,(VLOOKUP(J83,'Valve Reference'!$A$2:$K$389,10)),"-")</f>
        <v>FxF</v>
      </c>
      <c r="O83" s="277" t="str">
        <f>IF(B83&gt;0,(VLOOKUP(J83,'Valve Reference'!$A$2:$K$389,11)),"-")</f>
        <v>Globe-Powermite</v>
      </c>
      <c r="P83" s="278" t="str">
        <f>IF(B83&gt;0,(VLOOKUP(I83,'Actuator Reference'!$A$2:$H$54,2)),"-")</f>
        <v>SSC81U</v>
      </c>
      <c r="Q83" s="278" t="str">
        <f>IF(B83&gt;0,(VLOOKUP(I83,'Actuator Reference'!$A$2:$H$54,5)),"-")</f>
        <v>Float</v>
      </c>
      <c r="R83" s="278" t="str">
        <f>IF(B83&gt;0,(VLOOKUP(I83,'Actuator Reference'!$A$2:$H$54,6)),"-")</f>
        <v>NSR</v>
      </c>
      <c r="S83" s="278" t="str">
        <f>IF(B83&gt;0,(VLOOKUP(I83,'Actuator Reference'!$A$2:$H$54,7)),"-")</f>
        <v>24V</v>
      </c>
      <c r="T83" s="279" t="str">
        <f>IF(B83&gt;0,(VLOOKUP(I83,'Actuator Reference'!$A$2:$H$54,8)),"-")</f>
        <v>MT-Series</v>
      </c>
      <c r="AD83" s="38"/>
      <c r="AE83" s="38"/>
      <c r="AF83" s="35">
        <v>1</v>
      </c>
      <c r="AG83" s="35" t="s">
        <v>1097</v>
      </c>
      <c r="AH83" s="38" t="str">
        <f t="shared" si="6"/>
        <v>259-02041</v>
      </c>
      <c r="AI83" s="264" t="e">
        <f t="shared" si="7"/>
        <v>#REF!</v>
      </c>
    </row>
    <row r="84" spans="1:35" ht="14.25">
      <c r="A84" s="275" t="e">
        <f>'Box Schedule'!#REF!</f>
        <v>#REF!</v>
      </c>
      <c r="B84" s="262">
        <v>9</v>
      </c>
      <c r="C84" s="229" t="str">
        <f>IF((B84&gt;0),(VLOOKUP(J84,'Valve Reference'!$A$2:$K$389,3)),"-")</f>
        <v>0.75</v>
      </c>
      <c r="D84" s="230" t="s">
        <v>577</v>
      </c>
      <c r="E84" s="231">
        <f>IF((B84&gt;0),('Vlookup Tables'!$B$37),"-")</f>
        <v>5</v>
      </c>
      <c r="F84" s="51">
        <f t="shared" si="4"/>
        <v>4.0249223594996213</v>
      </c>
      <c r="G84" s="228">
        <f>IF((B84&gt;0),(VLOOKUP($B84,'Vlookup Tables'!$B$23:$F$33,2,TRUE)),"-")</f>
        <v>6.3</v>
      </c>
      <c r="H84" s="52">
        <f t="shared" si="5"/>
        <v>2.0408163265306127</v>
      </c>
      <c r="I84" s="50">
        <f>IF((B84&gt;0),('Vlookup Tables'!$B$35),"-")</f>
        <v>259</v>
      </c>
      <c r="J84" s="265" t="str">
        <f>IF(B84&gt;0,(IF(D84="2-Way",VLOOKUP($G84,'Vlookup Tables'!$C$23:$F$33,2,FALSE),VLOOKUP($G84,'Vlookup Tables'!$C$23:$F$33,3,FALSE))),"-")</f>
        <v>02044</v>
      </c>
      <c r="K84" s="276" t="str">
        <f>IF(B84&gt;0,(VLOOKUP(J84,'Valve Reference'!$A$2:$K$389,4)),"-")</f>
        <v>Standard</v>
      </c>
      <c r="L84" s="276" t="str">
        <f>IF(B84&gt;0,(VLOOKUP(J84,'Valve Reference'!$A$2:$K$389,5)),"-")</f>
        <v>BR</v>
      </c>
      <c r="M84" s="276" t="str">
        <f>IF(B84&gt;0,(VLOOKUP(J84,'Valve Reference'!$A$2:$K$389,8)),"-")</f>
        <v>Linear</v>
      </c>
      <c r="N84" s="276" t="str">
        <f>IF(B84&gt;0,(VLOOKUP(J84,'Valve Reference'!$A$2:$K$389,10)),"-")</f>
        <v>FxF</v>
      </c>
      <c r="O84" s="277" t="str">
        <f>IF(B84&gt;0,(VLOOKUP(J84,'Valve Reference'!$A$2:$K$389,11)),"-")</f>
        <v>Globe-Powermite</v>
      </c>
      <c r="P84" s="278" t="str">
        <f>IF(B84&gt;0,(VLOOKUP(I84,'Actuator Reference'!$A$2:$H$54,2)),"-")</f>
        <v>SSC81U</v>
      </c>
      <c r="Q84" s="278" t="str">
        <f>IF(B84&gt;0,(VLOOKUP(I84,'Actuator Reference'!$A$2:$H$54,5)),"-")</f>
        <v>Float</v>
      </c>
      <c r="R84" s="278" t="str">
        <f>IF(B84&gt;0,(VLOOKUP(I84,'Actuator Reference'!$A$2:$H$54,6)),"-")</f>
        <v>NSR</v>
      </c>
      <c r="S84" s="278" t="str">
        <f>IF(B84&gt;0,(VLOOKUP(I84,'Actuator Reference'!$A$2:$H$54,7)),"-")</f>
        <v>24V</v>
      </c>
      <c r="T84" s="279" t="str">
        <f>IF(B84&gt;0,(VLOOKUP(I84,'Actuator Reference'!$A$2:$H$54,8)),"-")</f>
        <v>MT-Series</v>
      </c>
      <c r="AD84" s="38"/>
      <c r="AE84" s="38"/>
      <c r="AF84" s="35">
        <v>1</v>
      </c>
      <c r="AG84" s="35" t="s">
        <v>1097</v>
      </c>
      <c r="AH84" s="38" t="str">
        <f t="shared" si="6"/>
        <v>259-02044</v>
      </c>
      <c r="AI84" s="264" t="e">
        <f t="shared" si="7"/>
        <v>#REF!</v>
      </c>
    </row>
    <row r="85" spans="1:35" ht="14.25">
      <c r="A85" s="275" t="e">
        <f>'Box Schedule'!#REF!</f>
        <v>#REF!</v>
      </c>
      <c r="B85" s="262">
        <v>1</v>
      </c>
      <c r="C85" s="229" t="str">
        <f>IF((B85&gt;0),(VLOOKUP(J85,'Valve Reference'!$A$2:$K$389,3)),"-")</f>
        <v>0.5</v>
      </c>
      <c r="D85" s="230" t="s">
        <v>577</v>
      </c>
      <c r="E85" s="231">
        <f>IF((B85&gt;0),('Vlookup Tables'!$B$37),"-")</f>
        <v>5</v>
      </c>
      <c r="F85" s="51">
        <f t="shared" si="4"/>
        <v>0.44721359549995793</v>
      </c>
      <c r="G85" s="228">
        <f>IF((B85&gt;0),(VLOOKUP($B85,'Vlookup Tables'!$B$23:$F$33,2,TRUE)),"-")</f>
        <v>0.63</v>
      </c>
      <c r="H85" s="52">
        <f t="shared" si="5"/>
        <v>2.5195263290501382</v>
      </c>
      <c r="I85" s="50">
        <f>IF((B85&gt;0),('Vlookup Tables'!$B$35),"-")</f>
        <v>259</v>
      </c>
      <c r="J85" s="265" t="str">
        <f>IF(B85&gt;0,(IF(D85="2-Way",VLOOKUP($G85,'Vlookup Tables'!$C$23:$F$33,2,FALSE),VLOOKUP($G85,'Vlookup Tables'!$C$23:$F$33,3,FALSE))),"-")</f>
        <v>02032</v>
      </c>
      <c r="K85" s="276" t="str">
        <f>IF(B85&gt;0,(VLOOKUP(J85,'Valve Reference'!$A$2:$K$389,4)),"-")</f>
        <v>Standard</v>
      </c>
      <c r="L85" s="276" t="str">
        <f>IF(B85&gt;0,(VLOOKUP(J85,'Valve Reference'!$A$2:$K$389,5)),"-")</f>
        <v>BR</v>
      </c>
      <c r="M85" s="276" t="str">
        <f>IF(B85&gt;0,(VLOOKUP(J85,'Valve Reference'!$A$2:$K$389,8)),"-")</f>
        <v>Linear</v>
      </c>
      <c r="N85" s="276" t="str">
        <f>IF(B85&gt;0,(VLOOKUP(J85,'Valve Reference'!$A$2:$K$389,10)),"-")</f>
        <v>FxF</v>
      </c>
      <c r="O85" s="277" t="str">
        <f>IF(B85&gt;0,(VLOOKUP(J85,'Valve Reference'!$A$2:$K$389,11)),"-")</f>
        <v>Globe-Powermite</v>
      </c>
      <c r="P85" s="278" t="str">
        <f>IF(B85&gt;0,(VLOOKUP(I85,'Actuator Reference'!$A$2:$H$54,2)),"-")</f>
        <v>SSC81U</v>
      </c>
      <c r="Q85" s="278" t="str">
        <f>IF(B85&gt;0,(VLOOKUP(I85,'Actuator Reference'!$A$2:$H$54,5)),"-")</f>
        <v>Float</v>
      </c>
      <c r="R85" s="278" t="str">
        <f>IF(B85&gt;0,(VLOOKUP(I85,'Actuator Reference'!$A$2:$H$54,6)),"-")</f>
        <v>NSR</v>
      </c>
      <c r="S85" s="278" t="str">
        <f>IF(B85&gt;0,(VLOOKUP(I85,'Actuator Reference'!$A$2:$H$54,7)),"-")</f>
        <v>24V</v>
      </c>
      <c r="T85" s="279" t="str">
        <f>IF(B85&gt;0,(VLOOKUP(I85,'Actuator Reference'!$A$2:$H$54,8)),"-")</f>
        <v>MT-Series</v>
      </c>
      <c r="AD85" s="38"/>
      <c r="AE85" s="38"/>
      <c r="AF85" s="35">
        <v>1</v>
      </c>
      <c r="AG85" s="35" t="s">
        <v>1097</v>
      </c>
      <c r="AH85" s="38" t="str">
        <f t="shared" si="6"/>
        <v>259-02032</v>
      </c>
      <c r="AI85" s="264" t="e">
        <f t="shared" si="7"/>
        <v>#REF!</v>
      </c>
    </row>
    <row r="86" spans="1:35" ht="14.25">
      <c r="A86" s="275" t="e">
        <f>'Box Schedule'!#REF!</f>
        <v>#REF!</v>
      </c>
      <c r="B86" s="262">
        <v>2</v>
      </c>
      <c r="C86" s="229" t="str">
        <f>IF((B86&gt;0),(VLOOKUP(J86,'Valve Reference'!$A$2:$K$389,3)),"-")</f>
        <v>0.5</v>
      </c>
      <c r="D86" s="230" t="s">
        <v>577</v>
      </c>
      <c r="E86" s="231">
        <f>IF((B86&gt;0),('Vlookup Tables'!$B$37),"-")</f>
        <v>5</v>
      </c>
      <c r="F86" s="51">
        <f t="shared" si="4"/>
        <v>0.89442719099991586</v>
      </c>
      <c r="G86" s="228">
        <f>IF((B86&gt;0),(VLOOKUP($B86,'Vlookup Tables'!$B$23:$F$33,2,TRUE)),"-")</f>
        <v>1</v>
      </c>
      <c r="H86" s="52">
        <f t="shared" si="5"/>
        <v>4</v>
      </c>
      <c r="I86" s="50">
        <f>IF((B86&gt;0),('Vlookup Tables'!$B$35),"-")</f>
        <v>259</v>
      </c>
      <c r="J86" s="265" t="str">
        <f>IF(B86&gt;0,(IF(D86="2-Way",VLOOKUP($G86,'Vlookup Tables'!$C$23:$F$33,2,FALSE),VLOOKUP($G86,'Vlookup Tables'!$C$23:$F$33,3,FALSE))),"-")</f>
        <v>02034</v>
      </c>
      <c r="K86" s="276" t="str">
        <f>IF(B86&gt;0,(VLOOKUP(J86,'Valve Reference'!$A$2:$K$389,4)),"-")</f>
        <v>Standard</v>
      </c>
      <c r="L86" s="276" t="str">
        <f>IF(B86&gt;0,(VLOOKUP(J86,'Valve Reference'!$A$2:$K$389,5)),"-")</f>
        <v>BR</v>
      </c>
      <c r="M86" s="276" t="str">
        <f>IF(B86&gt;0,(VLOOKUP(J86,'Valve Reference'!$A$2:$K$389,8)),"-")</f>
        <v>Linear</v>
      </c>
      <c r="N86" s="276" t="str">
        <f>IF(B86&gt;0,(VLOOKUP(J86,'Valve Reference'!$A$2:$K$389,10)),"-")</f>
        <v>FxF</v>
      </c>
      <c r="O86" s="277" t="str">
        <f>IF(B86&gt;0,(VLOOKUP(J86,'Valve Reference'!$A$2:$K$389,11)),"-")</f>
        <v>Globe-Powermite</v>
      </c>
      <c r="P86" s="278" t="str">
        <f>IF(B86&gt;0,(VLOOKUP(I86,'Actuator Reference'!$A$2:$H$54,2)),"-")</f>
        <v>SSC81U</v>
      </c>
      <c r="Q86" s="278" t="str">
        <f>IF(B86&gt;0,(VLOOKUP(I86,'Actuator Reference'!$A$2:$H$54,5)),"-")</f>
        <v>Float</v>
      </c>
      <c r="R86" s="278" t="str">
        <f>IF(B86&gt;0,(VLOOKUP(I86,'Actuator Reference'!$A$2:$H$54,6)),"-")</f>
        <v>NSR</v>
      </c>
      <c r="S86" s="278" t="str">
        <f>IF(B86&gt;0,(VLOOKUP(I86,'Actuator Reference'!$A$2:$H$54,7)),"-")</f>
        <v>24V</v>
      </c>
      <c r="T86" s="279" t="str">
        <f>IF(B86&gt;0,(VLOOKUP(I86,'Actuator Reference'!$A$2:$H$54,8)),"-")</f>
        <v>MT-Series</v>
      </c>
      <c r="AD86" s="38"/>
      <c r="AE86" s="38"/>
      <c r="AF86" s="35">
        <v>1</v>
      </c>
      <c r="AG86" s="35" t="s">
        <v>1097</v>
      </c>
      <c r="AH86" s="38" t="str">
        <f t="shared" si="6"/>
        <v>259-02034</v>
      </c>
      <c r="AI86" s="264" t="e">
        <f t="shared" si="7"/>
        <v>#REF!</v>
      </c>
    </row>
    <row r="87" spans="1:35" ht="14.25">
      <c r="A87" s="275" t="e">
        <f>'Box Schedule'!#REF!</f>
        <v>#REF!</v>
      </c>
      <c r="B87" s="262">
        <v>3</v>
      </c>
      <c r="C87" s="229" t="str">
        <f>IF((B87&gt;0),(VLOOKUP(J87,'Valve Reference'!$A$2:$K$389,3)),"-")</f>
        <v>0.5</v>
      </c>
      <c r="D87" s="230" t="s">
        <v>577</v>
      </c>
      <c r="E87" s="231">
        <f>IF((B87&gt;0),('Vlookup Tables'!$B$37),"-")</f>
        <v>5</v>
      </c>
      <c r="F87" s="51">
        <f t="shared" si="4"/>
        <v>1.3416407864998738</v>
      </c>
      <c r="G87" s="228">
        <f>IF((B87&gt;0),(VLOOKUP($B87,'Vlookup Tables'!$B$23:$F$33,2,TRUE)),"-")</f>
        <v>1.6</v>
      </c>
      <c r="H87" s="52">
        <f t="shared" si="5"/>
        <v>3.515625</v>
      </c>
      <c r="I87" s="50">
        <f>IF((B87&gt;0),('Vlookup Tables'!$B$35),"-")</f>
        <v>259</v>
      </c>
      <c r="J87" s="265" t="str">
        <f>IF(B87&gt;0,(IF(D87="2-Way",VLOOKUP($G87,'Vlookup Tables'!$C$23:$F$33,2,FALSE),VLOOKUP($G87,'Vlookup Tables'!$C$23:$F$33,3,FALSE))),"-")</f>
        <v>02036</v>
      </c>
      <c r="K87" s="276" t="str">
        <f>IF(B87&gt;0,(VLOOKUP(J87,'Valve Reference'!$A$2:$K$389,4)),"-")</f>
        <v>Standard</v>
      </c>
      <c r="L87" s="276" t="str">
        <f>IF(B87&gt;0,(VLOOKUP(J87,'Valve Reference'!$A$2:$K$389,5)),"-")</f>
        <v>BR</v>
      </c>
      <c r="M87" s="276" t="str">
        <f>IF(B87&gt;0,(VLOOKUP(J87,'Valve Reference'!$A$2:$K$389,8)),"-")</f>
        <v>Linear</v>
      </c>
      <c r="N87" s="276" t="str">
        <f>IF(B87&gt;0,(VLOOKUP(J87,'Valve Reference'!$A$2:$K$389,10)),"-")</f>
        <v>FxF</v>
      </c>
      <c r="O87" s="277" t="str">
        <f>IF(B87&gt;0,(VLOOKUP(J87,'Valve Reference'!$A$2:$K$389,11)),"-")</f>
        <v>Globe-Powermite</v>
      </c>
      <c r="P87" s="278" t="str">
        <f>IF(B87&gt;0,(VLOOKUP(I87,'Actuator Reference'!$A$2:$H$54,2)),"-")</f>
        <v>SSC81U</v>
      </c>
      <c r="Q87" s="278" t="str">
        <f>IF(B87&gt;0,(VLOOKUP(I87,'Actuator Reference'!$A$2:$H$54,5)),"-")</f>
        <v>Float</v>
      </c>
      <c r="R87" s="278" t="str">
        <f>IF(B87&gt;0,(VLOOKUP(I87,'Actuator Reference'!$A$2:$H$54,6)),"-")</f>
        <v>NSR</v>
      </c>
      <c r="S87" s="278" t="str">
        <f>IF(B87&gt;0,(VLOOKUP(I87,'Actuator Reference'!$A$2:$H$54,7)),"-")</f>
        <v>24V</v>
      </c>
      <c r="T87" s="279" t="str">
        <f>IF(B87&gt;0,(VLOOKUP(I87,'Actuator Reference'!$A$2:$H$54,8)),"-")</f>
        <v>MT-Series</v>
      </c>
      <c r="AD87" s="38"/>
      <c r="AE87" s="38"/>
      <c r="AF87" s="35">
        <v>1</v>
      </c>
      <c r="AG87" s="35" t="s">
        <v>1097</v>
      </c>
      <c r="AH87" s="38" t="str">
        <f t="shared" si="6"/>
        <v>259-02036</v>
      </c>
      <c r="AI87" s="264" t="e">
        <f t="shared" si="7"/>
        <v>#REF!</v>
      </c>
    </row>
    <row r="88" spans="1:35" ht="14.25">
      <c r="A88" s="275" t="e">
        <f>'Box Schedule'!#REF!</f>
        <v>#REF!</v>
      </c>
      <c r="B88" s="262">
        <v>4</v>
      </c>
      <c r="C88" s="229" t="str">
        <f>IF((B88&gt;0),(VLOOKUP(J88,'Valve Reference'!$A$2:$K$389,3)),"-")</f>
        <v>0.5</v>
      </c>
      <c r="D88" s="230" t="s">
        <v>577</v>
      </c>
      <c r="E88" s="231">
        <f>IF((B88&gt;0),('Vlookup Tables'!$B$37),"-")</f>
        <v>5</v>
      </c>
      <c r="F88" s="51">
        <f t="shared" si="4"/>
        <v>1.7888543819998317</v>
      </c>
      <c r="G88" s="228">
        <f>IF((B88&gt;0),(VLOOKUP($B88,'Vlookup Tables'!$B$23:$F$33,2,TRUE)),"-")</f>
        <v>2.5</v>
      </c>
      <c r="H88" s="52">
        <f t="shared" si="5"/>
        <v>2.56</v>
      </c>
      <c r="I88" s="50">
        <f>IF((B88&gt;0),('Vlookup Tables'!$B$35),"-")</f>
        <v>259</v>
      </c>
      <c r="J88" s="265" t="str">
        <f>IF(B88&gt;0,(IF(D88="2-Way",VLOOKUP($G88,'Vlookup Tables'!$C$23:$F$33,2,FALSE),VLOOKUP($G88,'Vlookup Tables'!$C$23:$F$33,3,FALSE))),"-")</f>
        <v>02038</v>
      </c>
      <c r="K88" s="276" t="str">
        <f>IF(B88&gt;0,(VLOOKUP(J88,'Valve Reference'!$A$2:$K$389,4)),"-")</f>
        <v>Standard</v>
      </c>
      <c r="L88" s="276" t="str">
        <f>IF(B88&gt;0,(VLOOKUP(J88,'Valve Reference'!$A$2:$K$389,5)),"-")</f>
        <v>BR</v>
      </c>
      <c r="M88" s="276" t="str">
        <f>IF(B88&gt;0,(VLOOKUP(J88,'Valve Reference'!$A$2:$K$389,8)),"-")</f>
        <v>Linear</v>
      </c>
      <c r="N88" s="276" t="str">
        <f>IF(B88&gt;0,(VLOOKUP(J88,'Valve Reference'!$A$2:$K$389,10)),"-")</f>
        <v>FxF</v>
      </c>
      <c r="O88" s="277" t="str">
        <f>IF(B88&gt;0,(VLOOKUP(J88,'Valve Reference'!$A$2:$K$389,11)),"-")</f>
        <v>Globe-Powermite</v>
      </c>
      <c r="P88" s="278" t="str">
        <f>IF(B88&gt;0,(VLOOKUP(I88,'Actuator Reference'!$A$2:$H$54,2)),"-")</f>
        <v>SSC81U</v>
      </c>
      <c r="Q88" s="278" t="str">
        <f>IF(B88&gt;0,(VLOOKUP(I88,'Actuator Reference'!$A$2:$H$54,5)),"-")</f>
        <v>Float</v>
      </c>
      <c r="R88" s="278" t="str">
        <f>IF(B88&gt;0,(VLOOKUP(I88,'Actuator Reference'!$A$2:$H$54,6)),"-")</f>
        <v>NSR</v>
      </c>
      <c r="S88" s="278" t="str">
        <f>IF(B88&gt;0,(VLOOKUP(I88,'Actuator Reference'!$A$2:$H$54,7)),"-")</f>
        <v>24V</v>
      </c>
      <c r="T88" s="279" t="str">
        <f>IF(B88&gt;0,(VLOOKUP(I88,'Actuator Reference'!$A$2:$H$54,8)),"-")</f>
        <v>MT-Series</v>
      </c>
      <c r="AD88" s="38"/>
      <c r="AE88" s="38"/>
      <c r="AF88" s="35">
        <v>1</v>
      </c>
      <c r="AG88" s="35" t="s">
        <v>1097</v>
      </c>
      <c r="AH88" s="38" t="str">
        <f t="shared" si="6"/>
        <v>259-02038</v>
      </c>
      <c r="AI88" s="264" t="e">
        <f t="shared" si="7"/>
        <v>#REF!</v>
      </c>
    </row>
    <row r="89" spans="1:35" ht="14.25">
      <c r="A89" s="275" t="e">
        <f>'Box Schedule'!#REF!</f>
        <v>#REF!</v>
      </c>
      <c r="B89" s="262">
        <v>5</v>
      </c>
      <c r="C89" s="229" t="str">
        <f>IF((B89&gt;0),(VLOOKUP(J89,'Valve Reference'!$A$2:$K$389,3)),"-")</f>
        <v>0.5</v>
      </c>
      <c r="D89" s="230" t="s">
        <v>577</v>
      </c>
      <c r="E89" s="231">
        <f>IF((B89&gt;0),('Vlookup Tables'!$B$37),"-")</f>
        <v>5</v>
      </c>
      <c r="F89" s="51">
        <f t="shared" si="4"/>
        <v>2.2360679774997898</v>
      </c>
      <c r="G89" s="228">
        <f>IF((B89&gt;0),(VLOOKUP($B89,'Vlookup Tables'!$B$23:$F$33,2,TRUE)),"-")</f>
        <v>2.5</v>
      </c>
      <c r="H89" s="52">
        <f t="shared" si="5"/>
        <v>4</v>
      </c>
      <c r="I89" s="50">
        <f>IF((B89&gt;0),('Vlookup Tables'!$B$35),"-")</f>
        <v>259</v>
      </c>
      <c r="J89" s="265" t="str">
        <f>IF(B89&gt;0,(IF(D89="2-Way",VLOOKUP($G89,'Vlookup Tables'!$C$23:$F$33,2,FALSE),VLOOKUP($G89,'Vlookup Tables'!$C$23:$F$33,3,FALSE))),"-")</f>
        <v>02038</v>
      </c>
      <c r="K89" s="276" t="str">
        <f>IF(B89&gt;0,(VLOOKUP(J89,'Valve Reference'!$A$2:$K$389,4)),"-")</f>
        <v>Standard</v>
      </c>
      <c r="L89" s="276" t="str">
        <f>IF(B89&gt;0,(VLOOKUP(J89,'Valve Reference'!$A$2:$K$389,5)),"-")</f>
        <v>BR</v>
      </c>
      <c r="M89" s="276" t="str">
        <f>IF(B89&gt;0,(VLOOKUP(J89,'Valve Reference'!$A$2:$K$389,8)),"-")</f>
        <v>Linear</v>
      </c>
      <c r="N89" s="276" t="str">
        <f>IF(B89&gt;0,(VLOOKUP(J89,'Valve Reference'!$A$2:$K$389,10)),"-")</f>
        <v>FxF</v>
      </c>
      <c r="O89" s="277" t="str">
        <f>IF(B89&gt;0,(VLOOKUP(J89,'Valve Reference'!$A$2:$K$389,11)),"-")</f>
        <v>Globe-Powermite</v>
      </c>
      <c r="P89" s="278" t="str">
        <f>IF(B89&gt;0,(VLOOKUP(I89,'Actuator Reference'!$A$2:$H$54,2)),"-")</f>
        <v>SSC81U</v>
      </c>
      <c r="Q89" s="278" t="str">
        <f>IF(B89&gt;0,(VLOOKUP(I89,'Actuator Reference'!$A$2:$H$54,5)),"-")</f>
        <v>Float</v>
      </c>
      <c r="R89" s="278" t="str">
        <f>IF(B89&gt;0,(VLOOKUP(I89,'Actuator Reference'!$A$2:$H$54,6)),"-")</f>
        <v>NSR</v>
      </c>
      <c r="S89" s="278" t="str">
        <f>IF(B89&gt;0,(VLOOKUP(I89,'Actuator Reference'!$A$2:$H$54,7)),"-")</f>
        <v>24V</v>
      </c>
      <c r="T89" s="279" t="str">
        <f>IF(B89&gt;0,(VLOOKUP(I89,'Actuator Reference'!$A$2:$H$54,8)),"-")</f>
        <v>MT-Series</v>
      </c>
      <c r="AD89" s="38"/>
      <c r="AE89" s="38"/>
      <c r="AF89" s="35">
        <v>1</v>
      </c>
      <c r="AG89" s="35" t="s">
        <v>1097</v>
      </c>
      <c r="AH89" s="38" t="str">
        <f t="shared" si="6"/>
        <v>259-02038</v>
      </c>
      <c r="AI89" s="264" t="e">
        <f t="shared" si="7"/>
        <v>#REF!</v>
      </c>
    </row>
    <row r="90" spans="1:35" ht="14.25">
      <c r="A90" s="275" t="e">
        <f>'Box Schedule'!#REF!</f>
        <v>#REF!</v>
      </c>
      <c r="B90" s="262">
        <v>6</v>
      </c>
      <c r="C90" s="229" t="str">
        <f>IF((B90&gt;0),(VLOOKUP(J90,'Valve Reference'!$A$2:$K$389,3)),"-")</f>
        <v>0.5</v>
      </c>
      <c r="D90" s="230" t="s">
        <v>577</v>
      </c>
      <c r="E90" s="231">
        <f>IF((B90&gt;0),('Vlookup Tables'!$B$37),"-")</f>
        <v>5</v>
      </c>
      <c r="F90" s="51">
        <f t="shared" si="4"/>
        <v>2.6832815729997477</v>
      </c>
      <c r="G90" s="228">
        <f>IF((B90&gt;0),(VLOOKUP($B90,'Vlookup Tables'!$B$23:$F$33,2,TRUE)),"-")</f>
        <v>4</v>
      </c>
      <c r="H90" s="52">
        <f t="shared" si="5"/>
        <v>2.25</v>
      </c>
      <c r="I90" s="50">
        <f>IF((B90&gt;0),('Vlookup Tables'!$B$35),"-")</f>
        <v>259</v>
      </c>
      <c r="J90" s="265" t="str">
        <f>IF(B90&gt;0,(IF(D90="2-Way",VLOOKUP($G90,'Vlookup Tables'!$C$23:$F$33,2,FALSE),VLOOKUP($G90,'Vlookup Tables'!$C$23:$F$33,3,FALSE))),"-")</f>
        <v>02041</v>
      </c>
      <c r="K90" s="276" t="str">
        <f>IF(B90&gt;0,(VLOOKUP(J90,'Valve Reference'!$A$2:$K$389,4)),"-")</f>
        <v>Standard</v>
      </c>
      <c r="L90" s="276" t="str">
        <f>IF(B90&gt;0,(VLOOKUP(J90,'Valve Reference'!$A$2:$K$389,5)),"-")</f>
        <v>BR</v>
      </c>
      <c r="M90" s="276" t="str">
        <f>IF(B90&gt;0,(VLOOKUP(J90,'Valve Reference'!$A$2:$K$389,8)),"-")</f>
        <v>Linear</v>
      </c>
      <c r="N90" s="276" t="str">
        <f>IF(B90&gt;0,(VLOOKUP(J90,'Valve Reference'!$A$2:$K$389,10)),"-")</f>
        <v>FxF</v>
      </c>
      <c r="O90" s="277" t="str">
        <f>IF(B90&gt;0,(VLOOKUP(J90,'Valve Reference'!$A$2:$K$389,11)),"-")</f>
        <v>Globe-Powermite</v>
      </c>
      <c r="P90" s="278" t="str">
        <f>IF(B90&gt;0,(VLOOKUP(I90,'Actuator Reference'!$A$2:$H$54,2)),"-")</f>
        <v>SSC81U</v>
      </c>
      <c r="Q90" s="278" t="str">
        <f>IF(B90&gt;0,(VLOOKUP(I90,'Actuator Reference'!$A$2:$H$54,5)),"-")</f>
        <v>Float</v>
      </c>
      <c r="R90" s="278" t="str">
        <f>IF(B90&gt;0,(VLOOKUP(I90,'Actuator Reference'!$A$2:$H$54,6)),"-")</f>
        <v>NSR</v>
      </c>
      <c r="S90" s="278" t="str">
        <f>IF(B90&gt;0,(VLOOKUP(I90,'Actuator Reference'!$A$2:$H$54,7)),"-")</f>
        <v>24V</v>
      </c>
      <c r="T90" s="279" t="str">
        <f>IF(B90&gt;0,(VLOOKUP(I90,'Actuator Reference'!$A$2:$H$54,8)),"-")</f>
        <v>MT-Series</v>
      </c>
      <c r="AD90" s="38"/>
      <c r="AE90" s="38"/>
      <c r="AF90" s="35">
        <v>1</v>
      </c>
      <c r="AG90" s="35" t="s">
        <v>1097</v>
      </c>
      <c r="AH90" s="38" t="str">
        <f t="shared" si="6"/>
        <v>259-02041</v>
      </c>
      <c r="AI90" s="264" t="e">
        <f t="shared" si="7"/>
        <v>#REF!</v>
      </c>
    </row>
    <row r="91" spans="1:35" ht="14.25">
      <c r="A91" s="275" t="e">
        <f>'Box Schedule'!#REF!</f>
        <v>#REF!</v>
      </c>
      <c r="B91" s="262">
        <v>7</v>
      </c>
      <c r="C91" s="229" t="str">
        <f>IF((B91&gt;0),(VLOOKUP(J91,'Valve Reference'!$A$2:$K$389,3)),"-")</f>
        <v>0.5</v>
      </c>
      <c r="D91" s="230" t="s">
        <v>577</v>
      </c>
      <c r="E91" s="231">
        <f>IF((B91&gt;0),('Vlookup Tables'!$B$37),"-")</f>
        <v>5</v>
      </c>
      <c r="F91" s="51">
        <f t="shared" si="4"/>
        <v>3.1304951684997055</v>
      </c>
      <c r="G91" s="228">
        <f>IF((B91&gt;0),(VLOOKUP($B91,'Vlookup Tables'!$B$23:$F$33,2,TRUE)),"-")</f>
        <v>4</v>
      </c>
      <c r="H91" s="52">
        <f t="shared" si="5"/>
        <v>3.0625000000000004</v>
      </c>
      <c r="I91" s="50">
        <f>IF((B91&gt;0),('Vlookup Tables'!$B$35),"-")</f>
        <v>259</v>
      </c>
      <c r="J91" s="265" t="str">
        <f>IF(B91&gt;0,(IF(D91="2-Way",VLOOKUP($G91,'Vlookup Tables'!$C$23:$F$33,2,FALSE),VLOOKUP($G91,'Vlookup Tables'!$C$23:$F$33,3,FALSE))),"-")</f>
        <v>02041</v>
      </c>
      <c r="K91" s="276" t="str">
        <f>IF(B91&gt;0,(VLOOKUP(J91,'Valve Reference'!$A$2:$K$389,4)),"-")</f>
        <v>Standard</v>
      </c>
      <c r="L91" s="276" t="str">
        <f>IF(B91&gt;0,(VLOOKUP(J91,'Valve Reference'!$A$2:$K$389,5)),"-")</f>
        <v>BR</v>
      </c>
      <c r="M91" s="276" t="str">
        <f>IF(B91&gt;0,(VLOOKUP(J91,'Valve Reference'!$A$2:$K$389,8)),"-")</f>
        <v>Linear</v>
      </c>
      <c r="N91" s="276" t="str">
        <f>IF(B91&gt;0,(VLOOKUP(J91,'Valve Reference'!$A$2:$K$389,10)),"-")</f>
        <v>FxF</v>
      </c>
      <c r="O91" s="277" t="str">
        <f>IF(B91&gt;0,(VLOOKUP(J91,'Valve Reference'!$A$2:$K$389,11)),"-")</f>
        <v>Globe-Powermite</v>
      </c>
      <c r="P91" s="278" t="str">
        <f>IF(B91&gt;0,(VLOOKUP(I91,'Actuator Reference'!$A$2:$H$54,2)),"-")</f>
        <v>SSC81U</v>
      </c>
      <c r="Q91" s="278" t="str">
        <f>IF(B91&gt;0,(VLOOKUP(I91,'Actuator Reference'!$A$2:$H$54,5)),"-")</f>
        <v>Float</v>
      </c>
      <c r="R91" s="278" t="str">
        <f>IF(B91&gt;0,(VLOOKUP(I91,'Actuator Reference'!$A$2:$H$54,6)),"-")</f>
        <v>NSR</v>
      </c>
      <c r="S91" s="278" t="str">
        <f>IF(B91&gt;0,(VLOOKUP(I91,'Actuator Reference'!$A$2:$H$54,7)),"-")</f>
        <v>24V</v>
      </c>
      <c r="T91" s="279" t="str">
        <f>IF(B91&gt;0,(VLOOKUP(I91,'Actuator Reference'!$A$2:$H$54,8)),"-")</f>
        <v>MT-Series</v>
      </c>
      <c r="AD91" s="38"/>
      <c r="AE91" s="38"/>
      <c r="AF91" s="35">
        <v>1</v>
      </c>
      <c r="AG91" s="35" t="s">
        <v>1097</v>
      </c>
      <c r="AH91" s="38" t="str">
        <f t="shared" si="6"/>
        <v>259-02041</v>
      </c>
      <c r="AI91" s="264" t="e">
        <f t="shared" si="7"/>
        <v>#REF!</v>
      </c>
    </row>
    <row r="92" spans="1:35" ht="14.25">
      <c r="A92" s="275" t="e">
        <f>'Box Schedule'!#REF!</f>
        <v>#REF!</v>
      </c>
      <c r="B92" s="262">
        <v>8</v>
      </c>
      <c r="C92" s="229" t="str">
        <f>IF((B92&gt;0),(VLOOKUP(J92,'Valve Reference'!$A$2:$K$389,3)),"-")</f>
        <v>0.5</v>
      </c>
      <c r="D92" s="230" t="s">
        <v>577</v>
      </c>
      <c r="E92" s="231">
        <f>IF((B92&gt;0),('Vlookup Tables'!$B$37),"-")</f>
        <v>5</v>
      </c>
      <c r="F92" s="51">
        <f t="shared" si="4"/>
        <v>3.5777087639996634</v>
      </c>
      <c r="G92" s="228">
        <f>IF((B92&gt;0),(VLOOKUP($B92,'Vlookup Tables'!$B$23:$F$33,2,TRUE)),"-")</f>
        <v>4</v>
      </c>
      <c r="H92" s="52">
        <f t="shared" si="5"/>
        <v>4</v>
      </c>
      <c r="I92" s="50">
        <f>IF((B92&gt;0),('Vlookup Tables'!$B$35),"-")</f>
        <v>259</v>
      </c>
      <c r="J92" s="265" t="str">
        <f>IF(B92&gt;0,(IF(D92="2-Way",VLOOKUP($G92,'Vlookup Tables'!$C$23:$F$33,2,FALSE),VLOOKUP($G92,'Vlookup Tables'!$C$23:$F$33,3,FALSE))),"-")</f>
        <v>02041</v>
      </c>
      <c r="K92" s="276" t="str">
        <f>IF(B92&gt;0,(VLOOKUP(J92,'Valve Reference'!$A$2:$K$389,4)),"-")</f>
        <v>Standard</v>
      </c>
      <c r="L92" s="276" t="str">
        <f>IF(B92&gt;0,(VLOOKUP(J92,'Valve Reference'!$A$2:$K$389,5)),"-")</f>
        <v>BR</v>
      </c>
      <c r="M92" s="276" t="str">
        <f>IF(B92&gt;0,(VLOOKUP(J92,'Valve Reference'!$A$2:$K$389,8)),"-")</f>
        <v>Linear</v>
      </c>
      <c r="N92" s="276" t="str">
        <f>IF(B92&gt;0,(VLOOKUP(J92,'Valve Reference'!$A$2:$K$389,10)),"-")</f>
        <v>FxF</v>
      </c>
      <c r="O92" s="277" t="str">
        <f>IF(B92&gt;0,(VLOOKUP(J92,'Valve Reference'!$A$2:$K$389,11)),"-")</f>
        <v>Globe-Powermite</v>
      </c>
      <c r="P92" s="278" t="str">
        <f>IF(B92&gt;0,(VLOOKUP(I92,'Actuator Reference'!$A$2:$H$54,2)),"-")</f>
        <v>SSC81U</v>
      </c>
      <c r="Q92" s="278" t="str">
        <f>IF(B92&gt;0,(VLOOKUP(I92,'Actuator Reference'!$A$2:$H$54,5)),"-")</f>
        <v>Float</v>
      </c>
      <c r="R92" s="278" t="str">
        <f>IF(B92&gt;0,(VLOOKUP(I92,'Actuator Reference'!$A$2:$H$54,6)),"-")</f>
        <v>NSR</v>
      </c>
      <c r="S92" s="278" t="str">
        <f>IF(B92&gt;0,(VLOOKUP(I92,'Actuator Reference'!$A$2:$H$54,7)),"-")</f>
        <v>24V</v>
      </c>
      <c r="T92" s="279" t="str">
        <f>IF(B92&gt;0,(VLOOKUP(I92,'Actuator Reference'!$A$2:$H$54,8)),"-")</f>
        <v>MT-Series</v>
      </c>
      <c r="AD92" s="38"/>
      <c r="AE92" s="38"/>
      <c r="AF92" s="35">
        <v>1</v>
      </c>
      <c r="AG92" s="35" t="s">
        <v>1097</v>
      </c>
      <c r="AH92" s="38" t="str">
        <f t="shared" si="6"/>
        <v>259-02041</v>
      </c>
      <c r="AI92" s="264" t="e">
        <f t="shared" si="7"/>
        <v>#REF!</v>
      </c>
    </row>
    <row r="93" spans="1:35" ht="14.25">
      <c r="A93" s="275" t="e">
        <f>'Box Schedule'!#REF!</f>
        <v>#REF!</v>
      </c>
      <c r="B93" s="262">
        <v>9</v>
      </c>
      <c r="C93" s="229" t="str">
        <f>IF((B93&gt;0),(VLOOKUP(J93,'Valve Reference'!$A$2:$K$389,3)),"-")</f>
        <v>0.75</v>
      </c>
      <c r="D93" s="230" t="s">
        <v>577</v>
      </c>
      <c r="E93" s="231">
        <f>IF((B93&gt;0),('Vlookup Tables'!$B$37),"-")</f>
        <v>5</v>
      </c>
      <c r="F93" s="51">
        <f t="shared" si="4"/>
        <v>4.0249223594996213</v>
      </c>
      <c r="G93" s="228">
        <f>IF((B93&gt;0),(VLOOKUP($B93,'Vlookup Tables'!$B$23:$F$33,2,TRUE)),"-")</f>
        <v>6.3</v>
      </c>
      <c r="H93" s="52">
        <f t="shared" si="5"/>
        <v>2.0408163265306127</v>
      </c>
      <c r="I93" s="50">
        <f>IF((B93&gt;0),('Vlookup Tables'!$B$35),"-")</f>
        <v>259</v>
      </c>
      <c r="J93" s="265" t="str">
        <f>IF(B93&gt;0,(IF(D93="2-Way",VLOOKUP($G93,'Vlookup Tables'!$C$23:$F$33,2,FALSE),VLOOKUP($G93,'Vlookup Tables'!$C$23:$F$33,3,FALSE))),"-")</f>
        <v>02044</v>
      </c>
      <c r="K93" s="276" t="str">
        <f>IF(B93&gt;0,(VLOOKUP(J93,'Valve Reference'!$A$2:$K$389,4)),"-")</f>
        <v>Standard</v>
      </c>
      <c r="L93" s="276" t="str">
        <f>IF(B93&gt;0,(VLOOKUP(J93,'Valve Reference'!$A$2:$K$389,5)),"-")</f>
        <v>BR</v>
      </c>
      <c r="M93" s="276" t="str">
        <f>IF(B93&gt;0,(VLOOKUP(J93,'Valve Reference'!$A$2:$K$389,8)),"-")</f>
        <v>Linear</v>
      </c>
      <c r="N93" s="276" t="str">
        <f>IF(B93&gt;0,(VLOOKUP(J93,'Valve Reference'!$A$2:$K$389,10)),"-")</f>
        <v>FxF</v>
      </c>
      <c r="O93" s="277" t="str">
        <f>IF(B93&gt;0,(VLOOKUP(J93,'Valve Reference'!$A$2:$K$389,11)),"-")</f>
        <v>Globe-Powermite</v>
      </c>
      <c r="P93" s="278" t="str">
        <f>IF(B93&gt;0,(VLOOKUP(I93,'Actuator Reference'!$A$2:$H$54,2)),"-")</f>
        <v>SSC81U</v>
      </c>
      <c r="Q93" s="278" t="str">
        <f>IF(B93&gt;0,(VLOOKUP(I93,'Actuator Reference'!$A$2:$H$54,5)),"-")</f>
        <v>Float</v>
      </c>
      <c r="R93" s="278" t="str">
        <f>IF(B93&gt;0,(VLOOKUP(I93,'Actuator Reference'!$A$2:$H$54,6)),"-")</f>
        <v>NSR</v>
      </c>
      <c r="S93" s="278" t="str">
        <f>IF(B93&gt;0,(VLOOKUP(I93,'Actuator Reference'!$A$2:$H$54,7)),"-")</f>
        <v>24V</v>
      </c>
      <c r="T93" s="279" t="str">
        <f>IF(B93&gt;0,(VLOOKUP(I93,'Actuator Reference'!$A$2:$H$54,8)),"-")</f>
        <v>MT-Series</v>
      </c>
      <c r="AD93" s="38"/>
      <c r="AE93" s="38"/>
      <c r="AF93" s="35">
        <v>1</v>
      </c>
      <c r="AG93" s="35" t="s">
        <v>1097</v>
      </c>
      <c r="AH93" s="38" t="str">
        <f t="shared" si="6"/>
        <v>259-02044</v>
      </c>
      <c r="AI93" s="264" t="e">
        <f t="shared" si="7"/>
        <v>#REF!</v>
      </c>
    </row>
    <row r="94" spans="1:35" ht="14.25">
      <c r="A94" s="275" t="e">
        <f>'Box Schedule'!#REF!</f>
        <v>#REF!</v>
      </c>
      <c r="B94" s="262">
        <v>1</v>
      </c>
      <c r="C94" s="229" t="str">
        <f>IF((B94&gt;0),(VLOOKUP(J94,'Valve Reference'!$A$2:$K$389,3)),"-")</f>
        <v>0.5</v>
      </c>
      <c r="D94" s="230" t="s">
        <v>577</v>
      </c>
      <c r="E94" s="231">
        <f>IF((B94&gt;0),('Vlookup Tables'!$B$37),"-")</f>
        <v>5</v>
      </c>
      <c r="F94" s="51">
        <f t="shared" si="4"/>
        <v>0.44721359549995793</v>
      </c>
      <c r="G94" s="228">
        <f>IF((B94&gt;0),(VLOOKUP($B94,'Vlookup Tables'!$B$23:$F$33,2,TRUE)),"-")</f>
        <v>0.63</v>
      </c>
      <c r="H94" s="52">
        <f t="shared" si="5"/>
        <v>2.5195263290501382</v>
      </c>
      <c r="I94" s="50">
        <f>IF((B94&gt;0),('Vlookup Tables'!$B$35),"-")</f>
        <v>259</v>
      </c>
      <c r="J94" s="265" t="str">
        <f>IF(B94&gt;0,(IF(D94="2-Way",VLOOKUP($G94,'Vlookup Tables'!$C$23:$F$33,2,FALSE),VLOOKUP($G94,'Vlookup Tables'!$C$23:$F$33,3,FALSE))),"-")</f>
        <v>02032</v>
      </c>
      <c r="K94" s="276" t="str">
        <f>IF(B94&gt;0,(VLOOKUP(J94,'Valve Reference'!$A$2:$K$389,4)),"-")</f>
        <v>Standard</v>
      </c>
      <c r="L94" s="276" t="str">
        <f>IF(B94&gt;0,(VLOOKUP(J94,'Valve Reference'!$A$2:$K$389,5)),"-")</f>
        <v>BR</v>
      </c>
      <c r="M94" s="276" t="str">
        <f>IF(B94&gt;0,(VLOOKUP(J94,'Valve Reference'!$A$2:$K$389,8)),"-")</f>
        <v>Linear</v>
      </c>
      <c r="N94" s="276" t="str">
        <f>IF(B94&gt;0,(VLOOKUP(J94,'Valve Reference'!$A$2:$K$389,10)),"-")</f>
        <v>FxF</v>
      </c>
      <c r="O94" s="277" t="str">
        <f>IF(B94&gt;0,(VLOOKUP(J94,'Valve Reference'!$A$2:$K$389,11)),"-")</f>
        <v>Globe-Powermite</v>
      </c>
      <c r="P94" s="278" t="str">
        <f>IF(B94&gt;0,(VLOOKUP(I94,'Actuator Reference'!$A$2:$H$54,2)),"-")</f>
        <v>SSC81U</v>
      </c>
      <c r="Q94" s="278" t="str">
        <f>IF(B94&gt;0,(VLOOKUP(I94,'Actuator Reference'!$A$2:$H$54,5)),"-")</f>
        <v>Float</v>
      </c>
      <c r="R94" s="278" t="str">
        <f>IF(B94&gt;0,(VLOOKUP(I94,'Actuator Reference'!$A$2:$H$54,6)),"-")</f>
        <v>NSR</v>
      </c>
      <c r="S94" s="278" t="str">
        <f>IF(B94&gt;0,(VLOOKUP(I94,'Actuator Reference'!$A$2:$H$54,7)),"-")</f>
        <v>24V</v>
      </c>
      <c r="T94" s="279" t="str">
        <f>IF(B94&gt;0,(VLOOKUP(I94,'Actuator Reference'!$A$2:$H$54,8)),"-")</f>
        <v>MT-Series</v>
      </c>
      <c r="AD94" s="38"/>
      <c r="AE94" s="38"/>
      <c r="AF94" s="35">
        <v>1</v>
      </c>
      <c r="AG94" s="35" t="s">
        <v>1097</v>
      </c>
      <c r="AH94" s="38" t="str">
        <f t="shared" si="6"/>
        <v>259-02032</v>
      </c>
      <c r="AI94" s="264" t="e">
        <f t="shared" si="7"/>
        <v>#REF!</v>
      </c>
    </row>
    <row r="95" spans="1:35" ht="14.25">
      <c r="A95" s="275" t="e">
        <f>'Box Schedule'!#REF!</f>
        <v>#REF!</v>
      </c>
      <c r="B95" s="262">
        <v>2</v>
      </c>
      <c r="C95" s="229" t="str">
        <f>IF((B95&gt;0),(VLOOKUP(J95,'Valve Reference'!$A$2:$K$389,3)),"-")</f>
        <v>0.5</v>
      </c>
      <c r="D95" s="230" t="s">
        <v>577</v>
      </c>
      <c r="E95" s="231">
        <f>IF((B95&gt;0),('Vlookup Tables'!$B$37),"-")</f>
        <v>5</v>
      </c>
      <c r="F95" s="51">
        <f t="shared" si="4"/>
        <v>0.89442719099991586</v>
      </c>
      <c r="G95" s="228">
        <f>IF((B95&gt;0),(VLOOKUP($B95,'Vlookup Tables'!$B$23:$F$33,2,TRUE)),"-")</f>
        <v>1</v>
      </c>
      <c r="H95" s="52">
        <f t="shared" si="5"/>
        <v>4</v>
      </c>
      <c r="I95" s="50">
        <f>IF((B95&gt;0),('Vlookup Tables'!$B$35),"-")</f>
        <v>259</v>
      </c>
      <c r="J95" s="265" t="str">
        <f>IF(B95&gt;0,(IF(D95="2-Way",VLOOKUP($G95,'Vlookup Tables'!$C$23:$F$33,2,FALSE),VLOOKUP($G95,'Vlookup Tables'!$C$23:$F$33,3,FALSE))),"-")</f>
        <v>02034</v>
      </c>
      <c r="K95" s="276" t="str">
        <f>IF(B95&gt;0,(VLOOKUP(J95,'Valve Reference'!$A$2:$K$389,4)),"-")</f>
        <v>Standard</v>
      </c>
      <c r="L95" s="276" t="str">
        <f>IF(B95&gt;0,(VLOOKUP(J95,'Valve Reference'!$A$2:$K$389,5)),"-")</f>
        <v>BR</v>
      </c>
      <c r="M95" s="276" t="str">
        <f>IF(B95&gt;0,(VLOOKUP(J95,'Valve Reference'!$A$2:$K$389,8)),"-")</f>
        <v>Linear</v>
      </c>
      <c r="N95" s="276" t="str">
        <f>IF(B95&gt;0,(VLOOKUP(J95,'Valve Reference'!$A$2:$K$389,10)),"-")</f>
        <v>FxF</v>
      </c>
      <c r="O95" s="277" t="str">
        <f>IF(B95&gt;0,(VLOOKUP(J95,'Valve Reference'!$A$2:$K$389,11)),"-")</f>
        <v>Globe-Powermite</v>
      </c>
      <c r="P95" s="278" t="str">
        <f>IF(B95&gt;0,(VLOOKUP(I95,'Actuator Reference'!$A$2:$H$54,2)),"-")</f>
        <v>SSC81U</v>
      </c>
      <c r="Q95" s="278" t="str">
        <f>IF(B95&gt;0,(VLOOKUP(I95,'Actuator Reference'!$A$2:$H$54,5)),"-")</f>
        <v>Float</v>
      </c>
      <c r="R95" s="278" t="str">
        <f>IF(B95&gt;0,(VLOOKUP(I95,'Actuator Reference'!$A$2:$H$54,6)),"-")</f>
        <v>NSR</v>
      </c>
      <c r="S95" s="278" t="str">
        <f>IF(B95&gt;0,(VLOOKUP(I95,'Actuator Reference'!$A$2:$H$54,7)),"-")</f>
        <v>24V</v>
      </c>
      <c r="T95" s="279" t="str">
        <f>IF(B95&gt;0,(VLOOKUP(I95,'Actuator Reference'!$A$2:$H$54,8)),"-")</f>
        <v>MT-Series</v>
      </c>
      <c r="AD95" s="38"/>
      <c r="AE95" s="38"/>
      <c r="AF95" s="35">
        <v>1</v>
      </c>
      <c r="AG95" s="35" t="s">
        <v>1097</v>
      </c>
      <c r="AH95" s="38" t="str">
        <f t="shared" si="6"/>
        <v>259-02034</v>
      </c>
      <c r="AI95" s="264" t="e">
        <f t="shared" si="7"/>
        <v>#REF!</v>
      </c>
    </row>
    <row r="96" spans="1:35" ht="14.25">
      <c r="A96" s="275" t="e">
        <f>'Box Schedule'!#REF!</f>
        <v>#REF!</v>
      </c>
      <c r="B96" s="262">
        <v>3</v>
      </c>
      <c r="C96" s="229" t="str">
        <f>IF((B96&gt;0),(VLOOKUP(J96,'Valve Reference'!$A$2:$K$389,3)),"-")</f>
        <v>0.5</v>
      </c>
      <c r="D96" s="230" t="s">
        <v>577</v>
      </c>
      <c r="E96" s="231">
        <f>IF((B96&gt;0),('Vlookup Tables'!$B$37),"-")</f>
        <v>5</v>
      </c>
      <c r="F96" s="51">
        <f t="shared" si="4"/>
        <v>1.3416407864998738</v>
      </c>
      <c r="G96" s="228">
        <f>IF((B96&gt;0),(VLOOKUP($B96,'Vlookup Tables'!$B$23:$F$33,2,TRUE)),"-")</f>
        <v>1.6</v>
      </c>
      <c r="H96" s="52">
        <f t="shared" si="5"/>
        <v>3.515625</v>
      </c>
      <c r="I96" s="50">
        <f>IF((B96&gt;0),('Vlookup Tables'!$B$35),"-")</f>
        <v>259</v>
      </c>
      <c r="J96" s="265" t="str">
        <f>IF(B96&gt;0,(IF(D96="2-Way",VLOOKUP($G96,'Vlookup Tables'!$C$23:$F$33,2,FALSE),VLOOKUP($G96,'Vlookup Tables'!$C$23:$F$33,3,FALSE))),"-")</f>
        <v>02036</v>
      </c>
      <c r="K96" s="276" t="str">
        <f>IF(B96&gt;0,(VLOOKUP(J96,'Valve Reference'!$A$2:$K$389,4)),"-")</f>
        <v>Standard</v>
      </c>
      <c r="L96" s="276" t="str">
        <f>IF(B96&gt;0,(VLOOKUP(J96,'Valve Reference'!$A$2:$K$389,5)),"-")</f>
        <v>BR</v>
      </c>
      <c r="M96" s="276" t="str">
        <f>IF(B96&gt;0,(VLOOKUP(J96,'Valve Reference'!$A$2:$K$389,8)),"-")</f>
        <v>Linear</v>
      </c>
      <c r="N96" s="276" t="str">
        <f>IF(B96&gt;0,(VLOOKUP(J96,'Valve Reference'!$A$2:$K$389,10)),"-")</f>
        <v>FxF</v>
      </c>
      <c r="O96" s="277" t="str">
        <f>IF(B96&gt;0,(VLOOKUP(J96,'Valve Reference'!$A$2:$K$389,11)),"-")</f>
        <v>Globe-Powermite</v>
      </c>
      <c r="P96" s="278" t="str">
        <f>IF(B96&gt;0,(VLOOKUP(I96,'Actuator Reference'!$A$2:$H$54,2)),"-")</f>
        <v>SSC81U</v>
      </c>
      <c r="Q96" s="278" t="str">
        <f>IF(B96&gt;0,(VLOOKUP(I96,'Actuator Reference'!$A$2:$H$54,5)),"-")</f>
        <v>Float</v>
      </c>
      <c r="R96" s="278" t="str">
        <f>IF(B96&gt;0,(VLOOKUP(I96,'Actuator Reference'!$A$2:$H$54,6)),"-")</f>
        <v>NSR</v>
      </c>
      <c r="S96" s="278" t="str">
        <f>IF(B96&gt;0,(VLOOKUP(I96,'Actuator Reference'!$A$2:$H$54,7)),"-")</f>
        <v>24V</v>
      </c>
      <c r="T96" s="279" t="str">
        <f>IF(B96&gt;0,(VLOOKUP(I96,'Actuator Reference'!$A$2:$H$54,8)),"-")</f>
        <v>MT-Series</v>
      </c>
      <c r="AD96" s="38"/>
      <c r="AE96" s="38"/>
      <c r="AF96" s="35">
        <v>1</v>
      </c>
      <c r="AG96" s="35" t="s">
        <v>1097</v>
      </c>
      <c r="AH96" s="38" t="str">
        <f t="shared" si="6"/>
        <v>259-02036</v>
      </c>
      <c r="AI96" s="264" t="e">
        <f t="shared" si="7"/>
        <v>#REF!</v>
      </c>
    </row>
    <row r="97" spans="1:35" ht="14.25">
      <c r="A97" s="275" t="e">
        <f>'Box Schedule'!#REF!</f>
        <v>#REF!</v>
      </c>
      <c r="B97" s="262">
        <v>4</v>
      </c>
      <c r="C97" s="229" t="str">
        <f>IF((B97&gt;0),(VLOOKUP(J97,'Valve Reference'!$A$2:$K$389,3)),"-")</f>
        <v>0.5</v>
      </c>
      <c r="D97" s="230" t="s">
        <v>577</v>
      </c>
      <c r="E97" s="231">
        <f>IF((B97&gt;0),('Vlookup Tables'!$B$37),"-")</f>
        <v>5</v>
      </c>
      <c r="F97" s="51">
        <f t="shared" si="4"/>
        <v>1.7888543819998317</v>
      </c>
      <c r="G97" s="228">
        <f>IF((B97&gt;0),(VLOOKUP($B97,'Vlookup Tables'!$B$23:$F$33,2,TRUE)),"-")</f>
        <v>2.5</v>
      </c>
      <c r="H97" s="52">
        <f t="shared" si="5"/>
        <v>2.56</v>
      </c>
      <c r="I97" s="50">
        <f>IF((B97&gt;0),('Vlookup Tables'!$B$35),"-")</f>
        <v>259</v>
      </c>
      <c r="J97" s="265" t="str">
        <f>IF(B97&gt;0,(IF(D97="2-Way",VLOOKUP($G97,'Vlookup Tables'!$C$23:$F$33,2,FALSE),VLOOKUP($G97,'Vlookup Tables'!$C$23:$F$33,3,FALSE))),"-")</f>
        <v>02038</v>
      </c>
      <c r="K97" s="276" t="str">
        <f>IF(B97&gt;0,(VLOOKUP(J97,'Valve Reference'!$A$2:$K$389,4)),"-")</f>
        <v>Standard</v>
      </c>
      <c r="L97" s="276" t="str">
        <f>IF(B97&gt;0,(VLOOKUP(J97,'Valve Reference'!$A$2:$K$389,5)),"-")</f>
        <v>BR</v>
      </c>
      <c r="M97" s="276" t="str">
        <f>IF(B97&gt;0,(VLOOKUP(J97,'Valve Reference'!$A$2:$K$389,8)),"-")</f>
        <v>Linear</v>
      </c>
      <c r="N97" s="276" t="str">
        <f>IF(B97&gt;0,(VLOOKUP(J97,'Valve Reference'!$A$2:$K$389,10)),"-")</f>
        <v>FxF</v>
      </c>
      <c r="O97" s="277" t="str">
        <f>IF(B97&gt;0,(VLOOKUP(J97,'Valve Reference'!$A$2:$K$389,11)),"-")</f>
        <v>Globe-Powermite</v>
      </c>
      <c r="P97" s="278" t="str">
        <f>IF(B97&gt;0,(VLOOKUP(I97,'Actuator Reference'!$A$2:$H$54,2)),"-")</f>
        <v>SSC81U</v>
      </c>
      <c r="Q97" s="278" t="str">
        <f>IF(B97&gt;0,(VLOOKUP(I97,'Actuator Reference'!$A$2:$H$54,5)),"-")</f>
        <v>Float</v>
      </c>
      <c r="R97" s="278" t="str">
        <f>IF(B97&gt;0,(VLOOKUP(I97,'Actuator Reference'!$A$2:$H$54,6)),"-")</f>
        <v>NSR</v>
      </c>
      <c r="S97" s="278" t="str">
        <f>IF(B97&gt;0,(VLOOKUP(I97,'Actuator Reference'!$A$2:$H$54,7)),"-")</f>
        <v>24V</v>
      </c>
      <c r="T97" s="279" t="str">
        <f>IF(B97&gt;0,(VLOOKUP(I97,'Actuator Reference'!$A$2:$H$54,8)),"-")</f>
        <v>MT-Series</v>
      </c>
      <c r="AD97" s="38"/>
      <c r="AE97" s="38"/>
      <c r="AF97" s="35">
        <v>1</v>
      </c>
      <c r="AG97" s="35" t="s">
        <v>1097</v>
      </c>
      <c r="AH97" s="38" t="str">
        <f t="shared" si="6"/>
        <v>259-02038</v>
      </c>
      <c r="AI97" s="264" t="e">
        <f t="shared" si="7"/>
        <v>#REF!</v>
      </c>
    </row>
    <row r="98" spans="1:35" ht="14.25">
      <c r="A98" s="275" t="e">
        <f>'Box Schedule'!#REF!</f>
        <v>#REF!</v>
      </c>
      <c r="B98" s="262">
        <v>5</v>
      </c>
      <c r="C98" s="229" t="str">
        <f>IF((B98&gt;0),(VLOOKUP(J98,'Valve Reference'!$A$2:$K$389,3)),"-")</f>
        <v>0.5</v>
      </c>
      <c r="D98" s="230" t="s">
        <v>577</v>
      </c>
      <c r="E98" s="231">
        <f>IF((B98&gt;0),('Vlookup Tables'!$B$37),"-")</f>
        <v>5</v>
      </c>
      <c r="F98" s="51">
        <f t="shared" si="4"/>
        <v>2.2360679774997898</v>
      </c>
      <c r="G98" s="228">
        <f>IF((B98&gt;0),(VLOOKUP($B98,'Vlookup Tables'!$B$23:$F$33,2,TRUE)),"-")</f>
        <v>2.5</v>
      </c>
      <c r="H98" s="52">
        <f t="shared" si="5"/>
        <v>4</v>
      </c>
      <c r="I98" s="50">
        <f>IF((B98&gt;0),('Vlookup Tables'!$B$35),"-")</f>
        <v>259</v>
      </c>
      <c r="J98" s="265" t="str">
        <f>IF(B98&gt;0,(IF(D98="2-Way",VLOOKUP($G98,'Vlookup Tables'!$C$23:$F$33,2,FALSE),VLOOKUP($G98,'Vlookup Tables'!$C$23:$F$33,3,FALSE))),"-")</f>
        <v>02038</v>
      </c>
      <c r="K98" s="276" t="str">
        <f>IF(B98&gt;0,(VLOOKUP(J98,'Valve Reference'!$A$2:$K$389,4)),"-")</f>
        <v>Standard</v>
      </c>
      <c r="L98" s="276" t="str">
        <f>IF(B98&gt;0,(VLOOKUP(J98,'Valve Reference'!$A$2:$K$389,5)),"-")</f>
        <v>BR</v>
      </c>
      <c r="M98" s="276" t="str">
        <f>IF(B98&gt;0,(VLOOKUP(J98,'Valve Reference'!$A$2:$K$389,8)),"-")</f>
        <v>Linear</v>
      </c>
      <c r="N98" s="276" t="str">
        <f>IF(B98&gt;0,(VLOOKUP(J98,'Valve Reference'!$A$2:$K$389,10)),"-")</f>
        <v>FxF</v>
      </c>
      <c r="O98" s="277" t="str">
        <f>IF(B98&gt;0,(VLOOKUP(J98,'Valve Reference'!$A$2:$K$389,11)),"-")</f>
        <v>Globe-Powermite</v>
      </c>
      <c r="P98" s="278" t="str">
        <f>IF(B98&gt;0,(VLOOKUP(I98,'Actuator Reference'!$A$2:$H$54,2)),"-")</f>
        <v>SSC81U</v>
      </c>
      <c r="Q98" s="278" t="str">
        <f>IF(B98&gt;0,(VLOOKUP(I98,'Actuator Reference'!$A$2:$H$54,5)),"-")</f>
        <v>Float</v>
      </c>
      <c r="R98" s="278" t="str">
        <f>IF(B98&gt;0,(VLOOKUP(I98,'Actuator Reference'!$A$2:$H$54,6)),"-")</f>
        <v>NSR</v>
      </c>
      <c r="S98" s="278" t="str">
        <f>IF(B98&gt;0,(VLOOKUP(I98,'Actuator Reference'!$A$2:$H$54,7)),"-")</f>
        <v>24V</v>
      </c>
      <c r="T98" s="279" t="str">
        <f>IF(B98&gt;0,(VLOOKUP(I98,'Actuator Reference'!$A$2:$H$54,8)),"-")</f>
        <v>MT-Series</v>
      </c>
      <c r="AD98" s="38"/>
      <c r="AE98" s="38"/>
      <c r="AF98" s="35">
        <v>1</v>
      </c>
      <c r="AG98" s="35" t="s">
        <v>1097</v>
      </c>
      <c r="AH98" s="38" t="str">
        <f t="shared" si="6"/>
        <v>259-02038</v>
      </c>
      <c r="AI98" s="264" t="e">
        <f t="shared" si="7"/>
        <v>#REF!</v>
      </c>
    </row>
    <row r="99" spans="1:35" ht="14.25">
      <c r="A99" s="275" t="e">
        <f>'Box Schedule'!#REF!</f>
        <v>#REF!</v>
      </c>
      <c r="B99" s="262">
        <v>6</v>
      </c>
      <c r="C99" s="229" t="str">
        <f>IF((B99&gt;0),(VLOOKUP(J99,'Valve Reference'!$A$2:$K$389,3)),"-")</f>
        <v>0.5</v>
      </c>
      <c r="D99" s="230" t="s">
        <v>577</v>
      </c>
      <c r="E99" s="231">
        <f>IF((B99&gt;0),('Vlookup Tables'!$B$37),"-")</f>
        <v>5</v>
      </c>
      <c r="F99" s="51">
        <f t="shared" si="4"/>
        <v>2.6832815729997477</v>
      </c>
      <c r="G99" s="228">
        <f>IF((B99&gt;0),(VLOOKUP($B99,'Vlookup Tables'!$B$23:$F$33,2,TRUE)),"-")</f>
        <v>4</v>
      </c>
      <c r="H99" s="52">
        <f t="shared" si="5"/>
        <v>2.25</v>
      </c>
      <c r="I99" s="50">
        <f>IF((B99&gt;0),('Vlookup Tables'!$B$35),"-")</f>
        <v>259</v>
      </c>
      <c r="J99" s="265" t="str">
        <f>IF(B99&gt;0,(IF(D99="2-Way",VLOOKUP($G99,'Vlookup Tables'!$C$23:$F$33,2,FALSE),VLOOKUP($G99,'Vlookup Tables'!$C$23:$F$33,3,FALSE))),"-")</f>
        <v>02041</v>
      </c>
      <c r="K99" s="276" t="str">
        <f>IF(B99&gt;0,(VLOOKUP(J99,'Valve Reference'!$A$2:$K$389,4)),"-")</f>
        <v>Standard</v>
      </c>
      <c r="L99" s="276" t="str">
        <f>IF(B99&gt;0,(VLOOKUP(J99,'Valve Reference'!$A$2:$K$389,5)),"-")</f>
        <v>BR</v>
      </c>
      <c r="M99" s="276" t="str">
        <f>IF(B99&gt;0,(VLOOKUP(J99,'Valve Reference'!$A$2:$K$389,8)),"-")</f>
        <v>Linear</v>
      </c>
      <c r="N99" s="276" t="str">
        <f>IF(B99&gt;0,(VLOOKUP(J99,'Valve Reference'!$A$2:$K$389,10)),"-")</f>
        <v>FxF</v>
      </c>
      <c r="O99" s="277" t="str">
        <f>IF(B99&gt;0,(VLOOKUP(J99,'Valve Reference'!$A$2:$K$389,11)),"-")</f>
        <v>Globe-Powermite</v>
      </c>
      <c r="P99" s="278" t="str">
        <f>IF(B99&gt;0,(VLOOKUP(I99,'Actuator Reference'!$A$2:$H$54,2)),"-")</f>
        <v>SSC81U</v>
      </c>
      <c r="Q99" s="278" t="str">
        <f>IF(B99&gt;0,(VLOOKUP(I99,'Actuator Reference'!$A$2:$H$54,5)),"-")</f>
        <v>Float</v>
      </c>
      <c r="R99" s="278" t="str">
        <f>IF(B99&gt;0,(VLOOKUP(I99,'Actuator Reference'!$A$2:$H$54,6)),"-")</f>
        <v>NSR</v>
      </c>
      <c r="S99" s="278" t="str">
        <f>IF(B99&gt;0,(VLOOKUP(I99,'Actuator Reference'!$A$2:$H$54,7)),"-")</f>
        <v>24V</v>
      </c>
      <c r="T99" s="279" t="str">
        <f>IF(B99&gt;0,(VLOOKUP(I99,'Actuator Reference'!$A$2:$H$54,8)),"-")</f>
        <v>MT-Series</v>
      </c>
      <c r="AD99" s="38"/>
      <c r="AE99" s="38"/>
      <c r="AF99" s="35">
        <v>1</v>
      </c>
      <c r="AG99" s="35" t="s">
        <v>1097</v>
      </c>
      <c r="AH99" s="38" t="str">
        <f t="shared" si="6"/>
        <v>259-02041</v>
      </c>
      <c r="AI99" s="264" t="e">
        <f t="shared" si="7"/>
        <v>#REF!</v>
      </c>
    </row>
    <row r="100" spans="1:35" ht="14.25">
      <c r="A100" s="275" t="e">
        <f>'Box Schedule'!#REF!</f>
        <v>#REF!</v>
      </c>
      <c r="B100" s="262">
        <v>7</v>
      </c>
      <c r="C100" s="229" t="str">
        <f>IF((B100&gt;0),(VLOOKUP(J100,'Valve Reference'!$A$2:$K$389,3)),"-")</f>
        <v>0.5</v>
      </c>
      <c r="D100" s="230" t="s">
        <v>577</v>
      </c>
      <c r="E100" s="231">
        <f>IF((B100&gt;0),('Vlookup Tables'!$B$37),"-")</f>
        <v>5</v>
      </c>
      <c r="F100" s="51">
        <f t="shared" si="4"/>
        <v>3.1304951684997055</v>
      </c>
      <c r="G100" s="228">
        <f>IF((B100&gt;0),(VLOOKUP($B100,'Vlookup Tables'!$B$23:$F$33,2,TRUE)),"-")</f>
        <v>4</v>
      </c>
      <c r="H100" s="52">
        <f t="shared" si="5"/>
        <v>3.0625000000000004</v>
      </c>
      <c r="I100" s="50">
        <f>IF((B100&gt;0),('Vlookup Tables'!$B$35),"-")</f>
        <v>259</v>
      </c>
      <c r="J100" s="265" t="str">
        <f>IF(B100&gt;0,(IF(D100="2-Way",VLOOKUP($G100,'Vlookup Tables'!$C$23:$F$33,2,FALSE),VLOOKUP($G100,'Vlookup Tables'!$C$23:$F$33,3,FALSE))),"-")</f>
        <v>02041</v>
      </c>
      <c r="K100" s="276" t="str">
        <f>IF(B100&gt;0,(VLOOKUP(J100,'Valve Reference'!$A$2:$K$389,4)),"-")</f>
        <v>Standard</v>
      </c>
      <c r="L100" s="276" t="str">
        <f>IF(B100&gt;0,(VLOOKUP(J100,'Valve Reference'!$A$2:$K$389,5)),"-")</f>
        <v>BR</v>
      </c>
      <c r="M100" s="276" t="str">
        <f>IF(B100&gt;0,(VLOOKUP(J100,'Valve Reference'!$A$2:$K$389,8)),"-")</f>
        <v>Linear</v>
      </c>
      <c r="N100" s="276" t="str">
        <f>IF(B100&gt;0,(VLOOKUP(J100,'Valve Reference'!$A$2:$K$389,10)),"-")</f>
        <v>FxF</v>
      </c>
      <c r="O100" s="277" t="str">
        <f>IF(B100&gt;0,(VLOOKUP(J100,'Valve Reference'!$A$2:$K$389,11)),"-")</f>
        <v>Globe-Powermite</v>
      </c>
      <c r="P100" s="278" t="str">
        <f>IF(B100&gt;0,(VLOOKUP(I100,'Actuator Reference'!$A$2:$H$54,2)),"-")</f>
        <v>SSC81U</v>
      </c>
      <c r="Q100" s="278" t="str">
        <f>IF(B100&gt;0,(VLOOKUP(I100,'Actuator Reference'!$A$2:$H$54,5)),"-")</f>
        <v>Float</v>
      </c>
      <c r="R100" s="278" t="str">
        <f>IF(B100&gt;0,(VLOOKUP(I100,'Actuator Reference'!$A$2:$H$54,6)),"-")</f>
        <v>NSR</v>
      </c>
      <c r="S100" s="278" t="str">
        <f>IF(B100&gt;0,(VLOOKUP(I100,'Actuator Reference'!$A$2:$H$54,7)),"-")</f>
        <v>24V</v>
      </c>
      <c r="T100" s="279" t="str">
        <f>IF(B100&gt;0,(VLOOKUP(I100,'Actuator Reference'!$A$2:$H$54,8)),"-")</f>
        <v>MT-Series</v>
      </c>
      <c r="AD100" s="38"/>
      <c r="AE100" s="38"/>
      <c r="AF100" s="35">
        <v>1</v>
      </c>
      <c r="AG100" s="35" t="s">
        <v>1097</v>
      </c>
      <c r="AH100" s="38" t="str">
        <f t="shared" si="6"/>
        <v>259-02041</v>
      </c>
      <c r="AI100" s="264" t="e">
        <f t="shared" si="7"/>
        <v>#REF!</v>
      </c>
    </row>
    <row r="101" spans="1:35" ht="14.25">
      <c r="A101" s="275" t="e">
        <f>'Box Schedule'!#REF!</f>
        <v>#REF!</v>
      </c>
      <c r="B101" s="262">
        <v>8</v>
      </c>
      <c r="C101" s="229" t="str">
        <f>IF((B101&gt;0),(VLOOKUP(J101,'Valve Reference'!$A$2:$K$389,3)),"-")</f>
        <v>0.5</v>
      </c>
      <c r="D101" s="230" t="s">
        <v>577</v>
      </c>
      <c r="E101" s="231">
        <f>IF((B101&gt;0),('Vlookup Tables'!$B$37),"-")</f>
        <v>5</v>
      </c>
      <c r="F101" s="51">
        <f t="shared" si="4"/>
        <v>3.5777087639996634</v>
      </c>
      <c r="G101" s="228">
        <f>IF((B101&gt;0),(VLOOKUP($B101,'Vlookup Tables'!$B$23:$F$33,2,TRUE)),"-")</f>
        <v>4</v>
      </c>
      <c r="H101" s="52">
        <f t="shared" si="5"/>
        <v>4</v>
      </c>
      <c r="I101" s="50">
        <f>IF((B101&gt;0),('Vlookup Tables'!$B$35),"-")</f>
        <v>259</v>
      </c>
      <c r="J101" s="265" t="str">
        <f>IF(B101&gt;0,(IF(D101="2-Way",VLOOKUP($G101,'Vlookup Tables'!$C$23:$F$33,2,FALSE),VLOOKUP($G101,'Vlookup Tables'!$C$23:$F$33,3,FALSE))),"-")</f>
        <v>02041</v>
      </c>
      <c r="K101" s="276" t="str">
        <f>IF(B101&gt;0,(VLOOKUP(J101,'Valve Reference'!$A$2:$K$389,4)),"-")</f>
        <v>Standard</v>
      </c>
      <c r="L101" s="276" t="str">
        <f>IF(B101&gt;0,(VLOOKUP(J101,'Valve Reference'!$A$2:$K$389,5)),"-")</f>
        <v>BR</v>
      </c>
      <c r="M101" s="276" t="str">
        <f>IF(B101&gt;0,(VLOOKUP(J101,'Valve Reference'!$A$2:$K$389,8)),"-")</f>
        <v>Linear</v>
      </c>
      <c r="N101" s="276" t="str">
        <f>IF(B101&gt;0,(VLOOKUP(J101,'Valve Reference'!$A$2:$K$389,10)),"-")</f>
        <v>FxF</v>
      </c>
      <c r="O101" s="277" t="str">
        <f>IF(B101&gt;0,(VLOOKUP(J101,'Valve Reference'!$A$2:$K$389,11)),"-")</f>
        <v>Globe-Powermite</v>
      </c>
      <c r="P101" s="278" t="str">
        <f>IF(B101&gt;0,(VLOOKUP(I101,'Actuator Reference'!$A$2:$H$54,2)),"-")</f>
        <v>SSC81U</v>
      </c>
      <c r="Q101" s="278" t="str">
        <f>IF(B101&gt;0,(VLOOKUP(I101,'Actuator Reference'!$A$2:$H$54,5)),"-")</f>
        <v>Float</v>
      </c>
      <c r="R101" s="278" t="str">
        <f>IF(B101&gt;0,(VLOOKUP(I101,'Actuator Reference'!$A$2:$H$54,6)),"-")</f>
        <v>NSR</v>
      </c>
      <c r="S101" s="278" t="str">
        <f>IF(B101&gt;0,(VLOOKUP(I101,'Actuator Reference'!$A$2:$H$54,7)),"-")</f>
        <v>24V</v>
      </c>
      <c r="T101" s="279" t="str">
        <f>IF(B101&gt;0,(VLOOKUP(I101,'Actuator Reference'!$A$2:$H$54,8)),"-")</f>
        <v>MT-Series</v>
      </c>
      <c r="AD101" s="41"/>
      <c r="AE101" s="41"/>
      <c r="AF101" s="35">
        <v>1</v>
      </c>
      <c r="AG101" s="35" t="s">
        <v>1097</v>
      </c>
      <c r="AH101" s="38" t="str">
        <f t="shared" si="6"/>
        <v>259-02041</v>
      </c>
      <c r="AI101" s="264" t="e">
        <f t="shared" si="7"/>
        <v>#REF!</v>
      </c>
    </row>
    <row r="102" spans="1:35" ht="14.25">
      <c r="A102" s="275" t="e">
        <f>'Box Schedule'!#REF!</f>
        <v>#REF!</v>
      </c>
      <c r="B102" s="262">
        <v>9</v>
      </c>
      <c r="C102" s="229" t="str">
        <f>IF((B102&gt;0),(VLOOKUP(J102,'Valve Reference'!$A$2:$K$389,3)),"-")</f>
        <v>0.75</v>
      </c>
      <c r="D102" s="230" t="s">
        <v>577</v>
      </c>
      <c r="E102" s="231">
        <f>IF((B102&gt;0),('Vlookup Tables'!$B$37),"-")</f>
        <v>5</v>
      </c>
      <c r="F102" s="51">
        <f t="shared" si="4"/>
        <v>4.0249223594996213</v>
      </c>
      <c r="G102" s="228">
        <f>IF((B102&gt;0),(VLOOKUP($B102,'Vlookup Tables'!$B$23:$F$33,2,TRUE)),"-")</f>
        <v>6.3</v>
      </c>
      <c r="H102" s="52">
        <f t="shared" si="5"/>
        <v>2.0408163265306127</v>
      </c>
      <c r="I102" s="50">
        <f>IF((B102&gt;0),('Vlookup Tables'!$B$35),"-")</f>
        <v>259</v>
      </c>
      <c r="J102" s="265" t="str">
        <f>IF(B102&gt;0,(IF(D102="2-Way",VLOOKUP($G102,'Vlookup Tables'!$C$23:$F$33,2,FALSE),VLOOKUP($G102,'Vlookup Tables'!$C$23:$F$33,3,FALSE))),"-")</f>
        <v>02044</v>
      </c>
      <c r="K102" s="276" t="str">
        <f>IF(B102&gt;0,(VLOOKUP(J102,'Valve Reference'!$A$2:$K$389,4)),"-")</f>
        <v>Standard</v>
      </c>
      <c r="L102" s="276" t="str">
        <f>IF(B102&gt;0,(VLOOKUP(J102,'Valve Reference'!$A$2:$K$389,5)),"-")</f>
        <v>BR</v>
      </c>
      <c r="M102" s="276" t="str">
        <f>IF(B102&gt;0,(VLOOKUP(J102,'Valve Reference'!$A$2:$K$389,8)),"-")</f>
        <v>Linear</v>
      </c>
      <c r="N102" s="276" t="str">
        <f>IF(B102&gt;0,(VLOOKUP(J102,'Valve Reference'!$A$2:$K$389,10)),"-")</f>
        <v>FxF</v>
      </c>
      <c r="O102" s="277" t="str">
        <f>IF(B102&gt;0,(VLOOKUP(J102,'Valve Reference'!$A$2:$K$389,11)),"-")</f>
        <v>Globe-Powermite</v>
      </c>
      <c r="P102" s="278" t="str">
        <f>IF(B102&gt;0,(VLOOKUP(I102,'Actuator Reference'!$A$2:$H$54,2)),"-")</f>
        <v>SSC81U</v>
      </c>
      <c r="Q102" s="278" t="str">
        <f>IF(B102&gt;0,(VLOOKUP(I102,'Actuator Reference'!$A$2:$H$54,5)),"-")</f>
        <v>Float</v>
      </c>
      <c r="R102" s="278" t="str">
        <f>IF(B102&gt;0,(VLOOKUP(I102,'Actuator Reference'!$A$2:$H$54,6)),"-")</f>
        <v>NSR</v>
      </c>
      <c r="S102" s="278" t="str">
        <f>IF(B102&gt;0,(VLOOKUP(I102,'Actuator Reference'!$A$2:$H$54,7)),"-")</f>
        <v>24V</v>
      </c>
      <c r="T102" s="279" t="str">
        <f>IF(B102&gt;0,(VLOOKUP(I102,'Actuator Reference'!$A$2:$H$54,8)),"-")</f>
        <v>MT-Series</v>
      </c>
      <c r="AD102" s="41"/>
      <c r="AE102" s="41"/>
      <c r="AF102" s="35">
        <v>1</v>
      </c>
      <c r="AG102" s="35" t="s">
        <v>1097</v>
      </c>
      <c r="AH102" s="38" t="str">
        <f t="shared" si="6"/>
        <v>259-02044</v>
      </c>
      <c r="AI102" s="264" t="e">
        <f t="shared" si="7"/>
        <v>#REF!</v>
      </c>
    </row>
    <row r="103" spans="1:35" ht="14.25">
      <c r="A103" s="275" t="e">
        <f>'Box Schedule'!#REF!</f>
        <v>#REF!</v>
      </c>
      <c r="B103" s="262">
        <v>1</v>
      </c>
      <c r="C103" s="229" t="str">
        <f>IF((B103&gt;0),(VLOOKUP(J103,'Valve Reference'!$A$2:$K$389,3)),"-")</f>
        <v>0.5</v>
      </c>
      <c r="D103" s="230" t="s">
        <v>577</v>
      </c>
      <c r="E103" s="231">
        <f>IF((B103&gt;0),('Vlookup Tables'!$B$37),"-")</f>
        <v>5</v>
      </c>
      <c r="F103" s="51">
        <f t="shared" si="4"/>
        <v>0.44721359549995793</v>
      </c>
      <c r="G103" s="228">
        <f>IF((B103&gt;0),(VLOOKUP($B103,'Vlookup Tables'!$B$23:$F$33,2,TRUE)),"-")</f>
        <v>0.63</v>
      </c>
      <c r="H103" s="52">
        <f t="shared" si="5"/>
        <v>2.5195263290501382</v>
      </c>
      <c r="I103" s="50">
        <f>IF((B103&gt;0),('Vlookup Tables'!$B$35),"-")</f>
        <v>259</v>
      </c>
      <c r="J103" s="265" t="str">
        <f>IF(B103&gt;0,(IF(D103="2-Way",VLOOKUP($G103,'Vlookup Tables'!$C$23:$F$33,2,FALSE),VLOOKUP($G103,'Vlookup Tables'!$C$23:$F$33,3,FALSE))),"-")</f>
        <v>02032</v>
      </c>
      <c r="K103" s="276" t="str">
        <f>IF(B103&gt;0,(VLOOKUP(J103,'Valve Reference'!$A$2:$K$389,4)),"-")</f>
        <v>Standard</v>
      </c>
      <c r="L103" s="276" t="str">
        <f>IF(B103&gt;0,(VLOOKUP(J103,'Valve Reference'!$A$2:$K$389,5)),"-")</f>
        <v>BR</v>
      </c>
      <c r="M103" s="276" t="str">
        <f>IF(B103&gt;0,(VLOOKUP(J103,'Valve Reference'!$A$2:$K$389,8)),"-")</f>
        <v>Linear</v>
      </c>
      <c r="N103" s="276" t="str">
        <f>IF(B103&gt;0,(VLOOKUP(J103,'Valve Reference'!$A$2:$K$389,10)),"-")</f>
        <v>FxF</v>
      </c>
      <c r="O103" s="277" t="str">
        <f>IF(B103&gt;0,(VLOOKUP(J103,'Valve Reference'!$A$2:$K$389,11)),"-")</f>
        <v>Globe-Powermite</v>
      </c>
      <c r="P103" s="278" t="str">
        <f>IF(B103&gt;0,(VLOOKUP(I103,'Actuator Reference'!$A$2:$H$54,2)),"-")</f>
        <v>SSC81U</v>
      </c>
      <c r="Q103" s="278" t="str">
        <f>IF(B103&gt;0,(VLOOKUP(I103,'Actuator Reference'!$A$2:$H$54,5)),"-")</f>
        <v>Float</v>
      </c>
      <c r="R103" s="278" t="str">
        <f>IF(B103&gt;0,(VLOOKUP(I103,'Actuator Reference'!$A$2:$H$54,6)),"-")</f>
        <v>NSR</v>
      </c>
      <c r="S103" s="278" t="str">
        <f>IF(B103&gt;0,(VLOOKUP(I103,'Actuator Reference'!$A$2:$H$54,7)),"-")</f>
        <v>24V</v>
      </c>
      <c r="T103" s="279" t="str">
        <f>IF(B103&gt;0,(VLOOKUP(I103,'Actuator Reference'!$A$2:$H$54,8)),"-")</f>
        <v>MT-Series</v>
      </c>
      <c r="AD103" s="41"/>
      <c r="AE103" s="41"/>
      <c r="AF103" s="35">
        <v>1</v>
      </c>
      <c r="AG103" s="35" t="s">
        <v>1097</v>
      </c>
      <c r="AH103" s="38" t="str">
        <f t="shared" si="6"/>
        <v>259-02032</v>
      </c>
      <c r="AI103" s="264" t="e">
        <f t="shared" si="7"/>
        <v>#REF!</v>
      </c>
    </row>
    <row r="104" spans="1:35" ht="14.25">
      <c r="A104" s="275" t="e">
        <f>'Box Schedule'!#REF!</f>
        <v>#REF!</v>
      </c>
      <c r="B104" s="262">
        <v>2</v>
      </c>
      <c r="C104" s="229" t="str">
        <f>IF((B104&gt;0),(VLOOKUP(J104,'Valve Reference'!$A$2:$K$389,3)),"-")</f>
        <v>0.5</v>
      </c>
      <c r="D104" s="230" t="s">
        <v>577</v>
      </c>
      <c r="E104" s="231">
        <f>IF((B104&gt;0),('Vlookup Tables'!$B$37),"-")</f>
        <v>5</v>
      </c>
      <c r="F104" s="51">
        <f t="shared" si="4"/>
        <v>0.89442719099991586</v>
      </c>
      <c r="G104" s="228">
        <f>IF((B104&gt;0),(VLOOKUP($B104,'Vlookup Tables'!$B$23:$F$33,2,TRUE)),"-")</f>
        <v>1</v>
      </c>
      <c r="H104" s="52">
        <f t="shared" si="5"/>
        <v>4</v>
      </c>
      <c r="I104" s="50">
        <f>IF((B104&gt;0),('Vlookup Tables'!$B$35),"-")</f>
        <v>259</v>
      </c>
      <c r="J104" s="265" t="str">
        <f>IF(B104&gt;0,(IF(D104="2-Way",VLOOKUP($G104,'Vlookup Tables'!$C$23:$F$33,2,FALSE),VLOOKUP($G104,'Vlookup Tables'!$C$23:$F$33,3,FALSE))),"-")</f>
        <v>02034</v>
      </c>
      <c r="K104" s="276" t="str">
        <f>IF(B104&gt;0,(VLOOKUP(J104,'Valve Reference'!$A$2:$K$389,4)),"-")</f>
        <v>Standard</v>
      </c>
      <c r="L104" s="276" t="str">
        <f>IF(B104&gt;0,(VLOOKUP(J104,'Valve Reference'!$A$2:$K$389,5)),"-")</f>
        <v>BR</v>
      </c>
      <c r="M104" s="276" t="str">
        <f>IF(B104&gt;0,(VLOOKUP(J104,'Valve Reference'!$A$2:$K$389,8)),"-")</f>
        <v>Linear</v>
      </c>
      <c r="N104" s="276" t="str">
        <f>IF(B104&gt;0,(VLOOKUP(J104,'Valve Reference'!$A$2:$K$389,10)),"-")</f>
        <v>FxF</v>
      </c>
      <c r="O104" s="277" t="str">
        <f>IF(B104&gt;0,(VLOOKUP(J104,'Valve Reference'!$A$2:$K$389,11)),"-")</f>
        <v>Globe-Powermite</v>
      </c>
      <c r="P104" s="278" t="str">
        <f>IF(B104&gt;0,(VLOOKUP(I104,'Actuator Reference'!$A$2:$H$54,2)),"-")</f>
        <v>SSC81U</v>
      </c>
      <c r="Q104" s="278" t="str">
        <f>IF(B104&gt;0,(VLOOKUP(I104,'Actuator Reference'!$A$2:$H$54,5)),"-")</f>
        <v>Float</v>
      </c>
      <c r="R104" s="278" t="str">
        <f>IF(B104&gt;0,(VLOOKUP(I104,'Actuator Reference'!$A$2:$H$54,6)),"-")</f>
        <v>NSR</v>
      </c>
      <c r="S104" s="278" t="str">
        <f>IF(B104&gt;0,(VLOOKUP(I104,'Actuator Reference'!$A$2:$H$54,7)),"-")</f>
        <v>24V</v>
      </c>
      <c r="T104" s="279" t="str">
        <f>IF(B104&gt;0,(VLOOKUP(I104,'Actuator Reference'!$A$2:$H$54,8)),"-")</f>
        <v>MT-Series</v>
      </c>
      <c r="AD104" s="41"/>
      <c r="AE104" s="41"/>
      <c r="AF104" s="35">
        <v>1</v>
      </c>
      <c r="AG104" s="35" t="s">
        <v>1097</v>
      </c>
      <c r="AH104" s="38" t="str">
        <f t="shared" si="6"/>
        <v>259-02034</v>
      </c>
      <c r="AI104" s="264" t="e">
        <f t="shared" si="7"/>
        <v>#REF!</v>
      </c>
    </row>
    <row r="105" spans="1:35" ht="14.25">
      <c r="A105" s="275" t="e">
        <f>'Box Schedule'!#REF!</f>
        <v>#REF!</v>
      </c>
      <c r="B105" s="262">
        <v>3</v>
      </c>
      <c r="C105" s="229" t="str">
        <f>IF((B105&gt;0),(VLOOKUP(J105,'Valve Reference'!$A$2:$K$389,3)),"-")</f>
        <v>0.5</v>
      </c>
      <c r="D105" s="230" t="s">
        <v>577</v>
      </c>
      <c r="E105" s="231">
        <f>IF((B105&gt;0),('Vlookup Tables'!$B$37),"-")</f>
        <v>5</v>
      </c>
      <c r="F105" s="51">
        <f t="shared" si="4"/>
        <v>1.3416407864998738</v>
      </c>
      <c r="G105" s="228">
        <f>IF((B105&gt;0),(VLOOKUP($B105,'Vlookup Tables'!$B$23:$F$33,2,TRUE)),"-")</f>
        <v>1.6</v>
      </c>
      <c r="H105" s="52">
        <f t="shared" si="5"/>
        <v>3.515625</v>
      </c>
      <c r="I105" s="50">
        <f>IF((B105&gt;0),('Vlookup Tables'!$B$35),"-")</f>
        <v>259</v>
      </c>
      <c r="J105" s="265" t="str">
        <f>IF(B105&gt;0,(IF(D105="2-Way",VLOOKUP($G105,'Vlookup Tables'!$C$23:$F$33,2,FALSE),VLOOKUP($G105,'Vlookup Tables'!$C$23:$F$33,3,FALSE))),"-")</f>
        <v>02036</v>
      </c>
      <c r="K105" s="276" t="str">
        <f>IF(B105&gt;0,(VLOOKUP(J105,'Valve Reference'!$A$2:$K$389,4)),"-")</f>
        <v>Standard</v>
      </c>
      <c r="L105" s="276" t="str">
        <f>IF(B105&gt;0,(VLOOKUP(J105,'Valve Reference'!$A$2:$K$389,5)),"-")</f>
        <v>BR</v>
      </c>
      <c r="M105" s="276" t="str">
        <f>IF(B105&gt;0,(VLOOKUP(J105,'Valve Reference'!$A$2:$K$389,8)),"-")</f>
        <v>Linear</v>
      </c>
      <c r="N105" s="276" t="str">
        <f>IF(B105&gt;0,(VLOOKUP(J105,'Valve Reference'!$A$2:$K$389,10)),"-")</f>
        <v>FxF</v>
      </c>
      <c r="O105" s="277" t="str">
        <f>IF(B105&gt;0,(VLOOKUP(J105,'Valve Reference'!$A$2:$K$389,11)),"-")</f>
        <v>Globe-Powermite</v>
      </c>
      <c r="P105" s="278" t="str">
        <f>IF(B105&gt;0,(VLOOKUP(I105,'Actuator Reference'!$A$2:$H$54,2)),"-")</f>
        <v>SSC81U</v>
      </c>
      <c r="Q105" s="278" t="str">
        <f>IF(B105&gt;0,(VLOOKUP(I105,'Actuator Reference'!$A$2:$H$54,5)),"-")</f>
        <v>Float</v>
      </c>
      <c r="R105" s="278" t="str">
        <f>IF(B105&gt;0,(VLOOKUP(I105,'Actuator Reference'!$A$2:$H$54,6)),"-")</f>
        <v>NSR</v>
      </c>
      <c r="S105" s="278" t="str">
        <f>IF(B105&gt;0,(VLOOKUP(I105,'Actuator Reference'!$A$2:$H$54,7)),"-")</f>
        <v>24V</v>
      </c>
      <c r="T105" s="279" t="str">
        <f>IF(B105&gt;0,(VLOOKUP(I105,'Actuator Reference'!$A$2:$H$54,8)),"-")</f>
        <v>MT-Series</v>
      </c>
      <c r="AD105" s="41"/>
      <c r="AE105" s="41"/>
      <c r="AF105" s="35">
        <v>1</v>
      </c>
      <c r="AG105" s="35" t="s">
        <v>1097</v>
      </c>
      <c r="AH105" s="38" t="str">
        <f t="shared" si="6"/>
        <v>259-02036</v>
      </c>
      <c r="AI105" s="264" t="e">
        <f t="shared" si="7"/>
        <v>#REF!</v>
      </c>
    </row>
    <row r="106" spans="1:35" ht="14.25">
      <c r="A106" s="275" t="e">
        <f>'Box Schedule'!#REF!</f>
        <v>#REF!</v>
      </c>
      <c r="B106" s="262">
        <v>4</v>
      </c>
      <c r="C106" s="229" t="str">
        <f>IF((B106&gt;0),(VLOOKUP(J106,'Valve Reference'!$A$2:$K$389,3)),"-")</f>
        <v>0.5</v>
      </c>
      <c r="D106" s="230" t="s">
        <v>577</v>
      </c>
      <c r="E106" s="231">
        <f>IF((B106&gt;0),('Vlookup Tables'!$B$37),"-")</f>
        <v>5</v>
      </c>
      <c r="F106" s="51">
        <f t="shared" si="4"/>
        <v>1.7888543819998317</v>
      </c>
      <c r="G106" s="228">
        <f>IF((B106&gt;0),(VLOOKUP($B106,'Vlookup Tables'!$B$23:$F$33,2,TRUE)),"-")</f>
        <v>2.5</v>
      </c>
      <c r="H106" s="52">
        <f t="shared" si="5"/>
        <v>2.56</v>
      </c>
      <c r="I106" s="50">
        <f>IF((B106&gt;0),('Vlookup Tables'!$B$35),"-")</f>
        <v>259</v>
      </c>
      <c r="J106" s="265" t="str">
        <f>IF(B106&gt;0,(IF(D106="2-Way",VLOOKUP($G106,'Vlookup Tables'!$C$23:$F$33,2,FALSE),VLOOKUP($G106,'Vlookup Tables'!$C$23:$F$33,3,FALSE))),"-")</f>
        <v>02038</v>
      </c>
      <c r="K106" s="276" t="str">
        <f>IF(B106&gt;0,(VLOOKUP(J106,'Valve Reference'!$A$2:$K$389,4)),"-")</f>
        <v>Standard</v>
      </c>
      <c r="L106" s="276" t="str">
        <f>IF(B106&gt;0,(VLOOKUP(J106,'Valve Reference'!$A$2:$K$389,5)),"-")</f>
        <v>BR</v>
      </c>
      <c r="M106" s="276" t="str">
        <f>IF(B106&gt;0,(VLOOKUP(J106,'Valve Reference'!$A$2:$K$389,8)),"-")</f>
        <v>Linear</v>
      </c>
      <c r="N106" s="276" t="str">
        <f>IF(B106&gt;0,(VLOOKUP(J106,'Valve Reference'!$A$2:$K$389,10)),"-")</f>
        <v>FxF</v>
      </c>
      <c r="O106" s="277" t="str">
        <f>IF(B106&gt;0,(VLOOKUP(J106,'Valve Reference'!$A$2:$K$389,11)),"-")</f>
        <v>Globe-Powermite</v>
      </c>
      <c r="P106" s="278" t="str">
        <f>IF(B106&gt;0,(VLOOKUP(I106,'Actuator Reference'!$A$2:$H$54,2)),"-")</f>
        <v>SSC81U</v>
      </c>
      <c r="Q106" s="278" t="str">
        <f>IF(B106&gt;0,(VLOOKUP(I106,'Actuator Reference'!$A$2:$H$54,5)),"-")</f>
        <v>Float</v>
      </c>
      <c r="R106" s="278" t="str">
        <f>IF(B106&gt;0,(VLOOKUP(I106,'Actuator Reference'!$A$2:$H$54,6)),"-")</f>
        <v>NSR</v>
      </c>
      <c r="S106" s="278" t="str">
        <f>IF(B106&gt;0,(VLOOKUP(I106,'Actuator Reference'!$A$2:$H$54,7)),"-")</f>
        <v>24V</v>
      </c>
      <c r="T106" s="279" t="str">
        <f>IF(B106&gt;0,(VLOOKUP(I106,'Actuator Reference'!$A$2:$H$54,8)),"-")</f>
        <v>MT-Series</v>
      </c>
      <c r="AD106" s="41"/>
      <c r="AE106" s="41"/>
      <c r="AF106" s="35">
        <v>1</v>
      </c>
      <c r="AG106" s="35" t="s">
        <v>1097</v>
      </c>
      <c r="AH106" s="38" t="str">
        <f t="shared" si="6"/>
        <v>259-02038</v>
      </c>
      <c r="AI106" s="264" t="e">
        <f t="shared" si="7"/>
        <v>#REF!</v>
      </c>
    </row>
    <row r="107" spans="1:35" ht="14.25">
      <c r="A107" s="275" t="e">
        <f>'Box Schedule'!#REF!</f>
        <v>#REF!</v>
      </c>
      <c r="B107" s="262">
        <v>5</v>
      </c>
      <c r="C107" s="229" t="str">
        <f>IF((B107&gt;0),(VLOOKUP(J107,'Valve Reference'!$A$2:$K$389,3)),"-")</f>
        <v>0.5</v>
      </c>
      <c r="D107" s="230" t="s">
        <v>577</v>
      </c>
      <c r="E107" s="231">
        <f>IF((B107&gt;0),('Vlookup Tables'!$B$37),"-")</f>
        <v>5</v>
      </c>
      <c r="F107" s="51">
        <f t="shared" si="4"/>
        <v>2.2360679774997898</v>
      </c>
      <c r="G107" s="228">
        <f>IF((B107&gt;0),(VLOOKUP($B107,'Vlookup Tables'!$B$23:$F$33,2,TRUE)),"-")</f>
        <v>2.5</v>
      </c>
      <c r="H107" s="52">
        <f t="shared" si="5"/>
        <v>4</v>
      </c>
      <c r="I107" s="50">
        <f>IF((B107&gt;0),('Vlookup Tables'!$B$35),"-")</f>
        <v>259</v>
      </c>
      <c r="J107" s="265" t="str">
        <f>IF(B107&gt;0,(IF(D107="2-Way",VLOOKUP($G107,'Vlookup Tables'!$C$23:$F$33,2,FALSE),VLOOKUP($G107,'Vlookup Tables'!$C$23:$F$33,3,FALSE))),"-")</f>
        <v>02038</v>
      </c>
      <c r="K107" s="276" t="str">
        <f>IF(B107&gt;0,(VLOOKUP(J107,'Valve Reference'!$A$2:$K$389,4)),"-")</f>
        <v>Standard</v>
      </c>
      <c r="L107" s="276" t="str">
        <f>IF(B107&gt;0,(VLOOKUP(J107,'Valve Reference'!$A$2:$K$389,5)),"-")</f>
        <v>BR</v>
      </c>
      <c r="M107" s="276" t="str">
        <f>IF(B107&gt;0,(VLOOKUP(J107,'Valve Reference'!$A$2:$K$389,8)),"-")</f>
        <v>Linear</v>
      </c>
      <c r="N107" s="276" t="str">
        <f>IF(B107&gt;0,(VLOOKUP(J107,'Valve Reference'!$A$2:$K$389,10)),"-")</f>
        <v>FxF</v>
      </c>
      <c r="O107" s="277" t="str">
        <f>IF(B107&gt;0,(VLOOKUP(J107,'Valve Reference'!$A$2:$K$389,11)),"-")</f>
        <v>Globe-Powermite</v>
      </c>
      <c r="P107" s="278" t="str">
        <f>IF(B107&gt;0,(VLOOKUP(I107,'Actuator Reference'!$A$2:$H$54,2)),"-")</f>
        <v>SSC81U</v>
      </c>
      <c r="Q107" s="278" t="str">
        <f>IF(B107&gt;0,(VLOOKUP(I107,'Actuator Reference'!$A$2:$H$54,5)),"-")</f>
        <v>Float</v>
      </c>
      <c r="R107" s="278" t="str">
        <f>IF(B107&gt;0,(VLOOKUP(I107,'Actuator Reference'!$A$2:$H$54,6)),"-")</f>
        <v>NSR</v>
      </c>
      <c r="S107" s="278" t="str">
        <f>IF(B107&gt;0,(VLOOKUP(I107,'Actuator Reference'!$A$2:$H$54,7)),"-")</f>
        <v>24V</v>
      </c>
      <c r="T107" s="279" t="str">
        <f>IF(B107&gt;0,(VLOOKUP(I107,'Actuator Reference'!$A$2:$H$54,8)),"-")</f>
        <v>MT-Series</v>
      </c>
      <c r="AD107" s="41"/>
      <c r="AE107" s="41"/>
      <c r="AF107" s="35">
        <v>1</v>
      </c>
      <c r="AG107" s="35" t="s">
        <v>1097</v>
      </c>
      <c r="AH107" s="38" t="str">
        <f t="shared" si="6"/>
        <v>259-02038</v>
      </c>
      <c r="AI107" s="264" t="e">
        <f t="shared" si="7"/>
        <v>#REF!</v>
      </c>
    </row>
    <row r="108" spans="1:35" ht="14.25">
      <c r="A108" s="275" t="e">
        <f>'Box Schedule'!#REF!</f>
        <v>#REF!</v>
      </c>
      <c r="B108" s="262">
        <v>6</v>
      </c>
      <c r="C108" s="229" t="str">
        <f>IF((B108&gt;0),(VLOOKUP(J108,'Valve Reference'!$A$2:$K$389,3)),"-")</f>
        <v>0.5</v>
      </c>
      <c r="D108" s="230" t="s">
        <v>577</v>
      </c>
      <c r="E108" s="231">
        <f>IF((B108&gt;0),('Vlookup Tables'!$B$37),"-")</f>
        <v>5</v>
      </c>
      <c r="F108" s="51">
        <f t="shared" si="4"/>
        <v>2.6832815729997477</v>
      </c>
      <c r="G108" s="228">
        <f>IF((B108&gt;0),(VLOOKUP($B108,'Vlookup Tables'!$B$23:$F$33,2,TRUE)),"-")</f>
        <v>4</v>
      </c>
      <c r="H108" s="52">
        <f t="shared" si="5"/>
        <v>2.25</v>
      </c>
      <c r="I108" s="50">
        <f>IF((B108&gt;0),('Vlookup Tables'!$B$35),"-")</f>
        <v>259</v>
      </c>
      <c r="J108" s="265" t="str">
        <f>IF(B108&gt;0,(IF(D108="2-Way",VLOOKUP($G108,'Vlookup Tables'!$C$23:$F$33,2,FALSE),VLOOKUP($G108,'Vlookup Tables'!$C$23:$F$33,3,FALSE))),"-")</f>
        <v>02041</v>
      </c>
      <c r="K108" s="276" t="str">
        <f>IF(B108&gt;0,(VLOOKUP(J108,'Valve Reference'!$A$2:$K$389,4)),"-")</f>
        <v>Standard</v>
      </c>
      <c r="L108" s="276" t="str">
        <f>IF(B108&gt;0,(VLOOKUP(J108,'Valve Reference'!$A$2:$K$389,5)),"-")</f>
        <v>BR</v>
      </c>
      <c r="M108" s="276" t="str">
        <f>IF(B108&gt;0,(VLOOKUP(J108,'Valve Reference'!$A$2:$K$389,8)),"-")</f>
        <v>Linear</v>
      </c>
      <c r="N108" s="276" t="str">
        <f>IF(B108&gt;0,(VLOOKUP(J108,'Valve Reference'!$A$2:$K$389,10)),"-")</f>
        <v>FxF</v>
      </c>
      <c r="O108" s="277" t="str">
        <f>IF(B108&gt;0,(VLOOKUP(J108,'Valve Reference'!$A$2:$K$389,11)),"-")</f>
        <v>Globe-Powermite</v>
      </c>
      <c r="P108" s="278" t="str">
        <f>IF(B108&gt;0,(VLOOKUP(I108,'Actuator Reference'!$A$2:$H$54,2)),"-")</f>
        <v>SSC81U</v>
      </c>
      <c r="Q108" s="278" t="str">
        <f>IF(B108&gt;0,(VLOOKUP(I108,'Actuator Reference'!$A$2:$H$54,5)),"-")</f>
        <v>Float</v>
      </c>
      <c r="R108" s="278" t="str">
        <f>IF(B108&gt;0,(VLOOKUP(I108,'Actuator Reference'!$A$2:$H$54,6)),"-")</f>
        <v>NSR</v>
      </c>
      <c r="S108" s="278" t="str">
        <f>IF(B108&gt;0,(VLOOKUP(I108,'Actuator Reference'!$A$2:$H$54,7)),"-")</f>
        <v>24V</v>
      </c>
      <c r="T108" s="279" t="str">
        <f>IF(B108&gt;0,(VLOOKUP(I108,'Actuator Reference'!$A$2:$H$54,8)),"-")</f>
        <v>MT-Series</v>
      </c>
      <c r="AD108" s="41"/>
      <c r="AE108" s="41"/>
      <c r="AF108" s="35">
        <v>1</v>
      </c>
      <c r="AG108" s="35" t="s">
        <v>1097</v>
      </c>
      <c r="AH108" s="38" t="str">
        <f t="shared" si="6"/>
        <v>259-02041</v>
      </c>
      <c r="AI108" s="264" t="e">
        <f t="shared" si="7"/>
        <v>#REF!</v>
      </c>
    </row>
    <row r="109" spans="1:35" ht="14.25">
      <c r="A109" s="275" t="e">
        <f>'Box Schedule'!#REF!</f>
        <v>#REF!</v>
      </c>
      <c r="B109" s="262">
        <v>7</v>
      </c>
      <c r="C109" s="229" t="str">
        <f>IF((B109&gt;0),(VLOOKUP(J109,'Valve Reference'!$A$2:$K$389,3)),"-")</f>
        <v>0.5</v>
      </c>
      <c r="D109" s="230" t="s">
        <v>577</v>
      </c>
      <c r="E109" s="231">
        <f>IF((B109&gt;0),('Vlookup Tables'!$B$37),"-")</f>
        <v>5</v>
      </c>
      <c r="F109" s="51">
        <f t="shared" si="4"/>
        <v>3.1304951684997055</v>
      </c>
      <c r="G109" s="228">
        <f>IF((B109&gt;0),(VLOOKUP($B109,'Vlookup Tables'!$B$23:$F$33,2,TRUE)),"-")</f>
        <v>4</v>
      </c>
      <c r="H109" s="52">
        <f t="shared" si="5"/>
        <v>3.0625000000000004</v>
      </c>
      <c r="I109" s="50">
        <f>IF((B109&gt;0),('Vlookup Tables'!$B$35),"-")</f>
        <v>259</v>
      </c>
      <c r="J109" s="265" t="str">
        <f>IF(B109&gt;0,(IF(D109="2-Way",VLOOKUP($G109,'Vlookup Tables'!$C$23:$F$33,2,FALSE),VLOOKUP($G109,'Vlookup Tables'!$C$23:$F$33,3,FALSE))),"-")</f>
        <v>02041</v>
      </c>
      <c r="K109" s="276" t="str">
        <f>IF(B109&gt;0,(VLOOKUP(J109,'Valve Reference'!$A$2:$K$389,4)),"-")</f>
        <v>Standard</v>
      </c>
      <c r="L109" s="276" t="str">
        <f>IF(B109&gt;0,(VLOOKUP(J109,'Valve Reference'!$A$2:$K$389,5)),"-")</f>
        <v>BR</v>
      </c>
      <c r="M109" s="276" t="str">
        <f>IF(B109&gt;0,(VLOOKUP(J109,'Valve Reference'!$A$2:$K$389,8)),"-")</f>
        <v>Linear</v>
      </c>
      <c r="N109" s="276" t="str">
        <f>IF(B109&gt;0,(VLOOKUP(J109,'Valve Reference'!$A$2:$K$389,10)),"-")</f>
        <v>FxF</v>
      </c>
      <c r="O109" s="277" t="str">
        <f>IF(B109&gt;0,(VLOOKUP(J109,'Valve Reference'!$A$2:$K$389,11)),"-")</f>
        <v>Globe-Powermite</v>
      </c>
      <c r="P109" s="278" t="str">
        <f>IF(B109&gt;0,(VLOOKUP(I109,'Actuator Reference'!$A$2:$H$54,2)),"-")</f>
        <v>SSC81U</v>
      </c>
      <c r="Q109" s="278" t="str">
        <f>IF(B109&gt;0,(VLOOKUP(I109,'Actuator Reference'!$A$2:$H$54,5)),"-")</f>
        <v>Float</v>
      </c>
      <c r="R109" s="278" t="str">
        <f>IF(B109&gt;0,(VLOOKUP(I109,'Actuator Reference'!$A$2:$H$54,6)),"-")</f>
        <v>NSR</v>
      </c>
      <c r="S109" s="278" t="str">
        <f>IF(B109&gt;0,(VLOOKUP(I109,'Actuator Reference'!$A$2:$H$54,7)),"-")</f>
        <v>24V</v>
      </c>
      <c r="T109" s="279" t="str">
        <f>IF(B109&gt;0,(VLOOKUP(I109,'Actuator Reference'!$A$2:$H$54,8)),"-")</f>
        <v>MT-Series</v>
      </c>
      <c r="AD109" s="41"/>
      <c r="AE109" s="41"/>
      <c r="AF109" s="35">
        <v>1</v>
      </c>
      <c r="AG109" s="35" t="s">
        <v>1097</v>
      </c>
      <c r="AH109" s="38" t="str">
        <f t="shared" si="6"/>
        <v>259-02041</v>
      </c>
      <c r="AI109" s="264" t="e">
        <f t="shared" si="7"/>
        <v>#REF!</v>
      </c>
    </row>
    <row r="110" spans="1:35" ht="14.25">
      <c r="A110" s="275" t="e">
        <f>'Box Schedule'!#REF!</f>
        <v>#REF!</v>
      </c>
      <c r="B110" s="262">
        <v>8</v>
      </c>
      <c r="C110" s="229" t="str">
        <f>IF((B110&gt;0),(VLOOKUP(J110,'Valve Reference'!$A$2:$K$389,3)),"-")</f>
        <v>0.5</v>
      </c>
      <c r="D110" s="230" t="s">
        <v>577</v>
      </c>
      <c r="E110" s="231">
        <f>IF((B110&gt;0),('Vlookup Tables'!$B$37),"-")</f>
        <v>5</v>
      </c>
      <c r="F110" s="51">
        <f t="shared" si="4"/>
        <v>3.5777087639996634</v>
      </c>
      <c r="G110" s="228">
        <f>IF((B110&gt;0),(VLOOKUP($B110,'Vlookup Tables'!$B$23:$F$33,2,TRUE)),"-")</f>
        <v>4</v>
      </c>
      <c r="H110" s="52">
        <f t="shared" si="5"/>
        <v>4</v>
      </c>
      <c r="I110" s="50">
        <f>IF((B110&gt;0),('Vlookup Tables'!$B$35),"-")</f>
        <v>259</v>
      </c>
      <c r="J110" s="265" t="str">
        <f>IF(B110&gt;0,(IF(D110="2-Way",VLOOKUP($G110,'Vlookup Tables'!$C$23:$F$33,2,FALSE),VLOOKUP($G110,'Vlookup Tables'!$C$23:$F$33,3,FALSE))),"-")</f>
        <v>02041</v>
      </c>
      <c r="K110" s="276" t="str">
        <f>IF(B110&gt;0,(VLOOKUP(J110,'Valve Reference'!$A$2:$K$389,4)),"-")</f>
        <v>Standard</v>
      </c>
      <c r="L110" s="276" t="str">
        <f>IF(B110&gt;0,(VLOOKUP(J110,'Valve Reference'!$A$2:$K$389,5)),"-")</f>
        <v>BR</v>
      </c>
      <c r="M110" s="276" t="str">
        <f>IF(B110&gt;0,(VLOOKUP(J110,'Valve Reference'!$A$2:$K$389,8)),"-")</f>
        <v>Linear</v>
      </c>
      <c r="N110" s="276" t="str">
        <f>IF(B110&gt;0,(VLOOKUP(J110,'Valve Reference'!$A$2:$K$389,10)),"-")</f>
        <v>FxF</v>
      </c>
      <c r="O110" s="277" t="str">
        <f>IF(B110&gt;0,(VLOOKUP(J110,'Valve Reference'!$A$2:$K$389,11)),"-")</f>
        <v>Globe-Powermite</v>
      </c>
      <c r="P110" s="278" t="str">
        <f>IF(B110&gt;0,(VLOOKUP(I110,'Actuator Reference'!$A$2:$H$54,2)),"-")</f>
        <v>SSC81U</v>
      </c>
      <c r="Q110" s="278" t="str">
        <f>IF(B110&gt;0,(VLOOKUP(I110,'Actuator Reference'!$A$2:$H$54,5)),"-")</f>
        <v>Float</v>
      </c>
      <c r="R110" s="278" t="str">
        <f>IF(B110&gt;0,(VLOOKUP(I110,'Actuator Reference'!$A$2:$H$54,6)),"-")</f>
        <v>NSR</v>
      </c>
      <c r="S110" s="278" t="str">
        <f>IF(B110&gt;0,(VLOOKUP(I110,'Actuator Reference'!$A$2:$H$54,7)),"-")</f>
        <v>24V</v>
      </c>
      <c r="T110" s="279" t="str">
        <f>IF(B110&gt;0,(VLOOKUP(I110,'Actuator Reference'!$A$2:$H$54,8)),"-")</f>
        <v>MT-Series</v>
      </c>
      <c r="AD110" s="41"/>
      <c r="AE110" s="41"/>
      <c r="AF110" s="35">
        <v>1</v>
      </c>
      <c r="AG110" s="35" t="s">
        <v>1097</v>
      </c>
      <c r="AH110" s="38" t="str">
        <f t="shared" si="6"/>
        <v>259-02041</v>
      </c>
      <c r="AI110" s="264" t="e">
        <f t="shared" si="7"/>
        <v>#REF!</v>
      </c>
    </row>
    <row r="111" spans="1:35" ht="14.25">
      <c r="A111" s="275" t="e">
        <f>'Box Schedule'!#REF!</f>
        <v>#REF!</v>
      </c>
      <c r="B111" s="262">
        <v>9</v>
      </c>
      <c r="C111" s="229" t="str">
        <f>IF((B111&gt;0),(VLOOKUP(J111,'Valve Reference'!$A$2:$K$389,3)),"-")</f>
        <v>0.75</v>
      </c>
      <c r="D111" s="230" t="s">
        <v>577</v>
      </c>
      <c r="E111" s="231">
        <f>IF((B111&gt;0),('Vlookup Tables'!$B$37),"-")</f>
        <v>5</v>
      </c>
      <c r="F111" s="51">
        <f t="shared" si="4"/>
        <v>4.0249223594996213</v>
      </c>
      <c r="G111" s="228">
        <f>IF((B111&gt;0),(VLOOKUP($B111,'Vlookup Tables'!$B$23:$F$33,2,TRUE)),"-")</f>
        <v>6.3</v>
      </c>
      <c r="H111" s="52">
        <f t="shared" si="5"/>
        <v>2.0408163265306127</v>
      </c>
      <c r="I111" s="50">
        <f>IF((B111&gt;0),('Vlookup Tables'!$B$35),"-")</f>
        <v>259</v>
      </c>
      <c r="J111" s="265" t="str">
        <f>IF(B111&gt;0,(IF(D111="2-Way",VLOOKUP($G111,'Vlookup Tables'!$C$23:$F$33,2,FALSE),VLOOKUP($G111,'Vlookup Tables'!$C$23:$F$33,3,FALSE))),"-")</f>
        <v>02044</v>
      </c>
      <c r="K111" s="276" t="str">
        <f>IF(B111&gt;0,(VLOOKUP(J111,'Valve Reference'!$A$2:$K$389,4)),"-")</f>
        <v>Standard</v>
      </c>
      <c r="L111" s="276" t="str">
        <f>IF(B111&gt;0,(VLOOKUP(J111,'Valve Reference'!$A$2:$K$389,5)),"-")</f>
        <v>BR</v>
      </c>
      <c r="M111" s="276" t="str">
        <f>IF(B111&gt;0,(VLOOKUP(J111,'Valve Reference'!$A$2:$K$389,8)),"-")</f>
        <v>Linear</v>
      </c>
      <c r="N111" s="276" t="str">
        <f>IF(B111&gt;0,(VLOOKUP(J111,'Valve Reference'!$A$2:$K$389,10)),"-")</f>
        <v>FxF</v>
      </c>
      <c r="O111" s="277" t="str">
        <f>IF(B111&gt;0,(VLOOKUP(J111,'Valve Reference'!$A$2:$K$389,11)),"-")</f>
        <v>Globe-Powermite</v>
      </c>
      <c r="P111" s="278" t="str">
        <f>IF(B111&gt;0,(VLOOKUP(I111,'Actuator Reference'!$A$2:$H$54,2)),"-")</f>
        <v>SSC81U</v>
      </c>
      <c r="Q111" s="278" t="str">
        <f>IF(B111&gt;0,(VLOOKUP(I111,'Actuator Reference'!$A$2:$H$54,5)),"-")</f>
        <v>Float</v>
      </c>
      <c r="R111" s="278" t="str">
        <f>IF(B111&gt;0,(VLOOKUP(I111,'Actuator Reference'!$A$2:$H$54,6)),"-")</f>
        <v>NSR</v>
      </c>
      <c r="S111" s="278" t="str">
        <f>IF(B111&gt;0,(VLOOKUP(I111,'Actuator Reference'!$A$2:$H$54,7)),"-")</f>
        <v>24V</v>
      </c>
      <c r="T111" s="279" t="str">
        <f>IF(B111&gt;0,(VLOOKUP(I111,'Actuator Reference'!$A$2:$H$54,8)),"-")</f>
        <v>MT-Series</v>
      </c>
      <c r="AD111" s="41"/>
      <c r="AE111" s="41"/>
      <c r="AF111" s="35">
        <v>1</v>
      </c>
      <c r="AG111" s="35" t="s">
        <v>1097</v>
      </c>
      <c r="AH111" s="38" t="str">
        <f t="shared" si="6"/>
        <v>259-02044</v>
      </c>
      <c r="AI111" s="264" t="e">
        <f t="shared" si="7"/>
        <v>#REF!</v>
      </c>
    </row>
    <row r="112" spans="1:35" ht="14.25">
      <c r="A112" s="275" t="e">
        <f>'Box Schedule'!#REF!</f>
        <v>#REF!</v>
      </c>
      <c r="B112" s="262">
        <v>1</v>
      </c>
      <c r="C112" s="229" t="str">
        <f>IF((B112&gt;0),(VLOOKUP(J112,'Valve Reference'!$A$2:$K$389,3)),"-")</f>
        <v>0.5</v>
      </c>
      <c r="D112" s="230" t="s">
        <v>577</v>
      </c>
      <c r="E112" s="231">
        <f>IF((B112&gt;0),('Vlookup Tables'!$B$37),"-")</f>
        <v>5</v>
      </c>
      <c r="F112" s="51">
        <f t="shared" si="4"/>
        <v>0.44721359549995793</v>
      </c>
      <c r="G112" s="228">
        <f>IF((B112&gt;0),(VLOOKUP($B112,'Vlookup Tables'!$B$23:$F$33,2,TRUE)),"-")</f>
        <v>0.63</v>
      </c>
      <c r="H112" s="52">
        <f t="shared" si="5"/>
        <v>2.5195263290501382</v>
      </c>
      <c r="I112" s="50">
        <f>IF((B112&gt;0),('Vlookup Tables'!$B$35),"-")</f>
        <v>259</v>
      </c>
      <c r="J112" s="265" t="str">
        <f>IF(B112&gt;0,(IF(D112="2-Way",VLOOKUP($G112,'Vlookup Tables'!$C$23:$F$33,2,FALSE),VLOOKUP($G112,'Vlookup Tables'!$C$23:$F$33,3,FALSE))),"-")</f>
        <v>02032</v>
      </c>
      <c r="K112" s="276" t="str">
        <f>IF(B112&gt;0,(VLOOKUP(J112,'Valve Reference'!$A$2:$K$389,4)),"-")</f>
        <v>Standard</v>
      </c>
      <c r="L112" s="276" t="str">
        <f>IF(B112&gt;0,(VLOOKUP(J112,'Valve Reference'!$A$2:$K$389,5)),"-")</f>
        <v>BR</v>
      </c>
      <c r="M112" s="276" t="str">
        <f>IF(B112&gt;0,(VLOOKUP(J112,'Valve Reference'!$A$2:$K$389,8)),"-")</f>
        <v>Linear</v>
      </c>
      <c r="N112" s="276" t="str">
        <f>IF(B112&gt;0,(VLOOKUP(J112,'Valve Reference'!$A$2:$K$389,10)),"-")</f>
        <v>FxF</v>
      </c>
      <c r="O112" s="277" t="str">
        <f>IF(B112&gt;0,(VLOOKUP(J112,'Valve Reference'!$A$2:$K$389,11)),"-")</f>
        <v>Globe-Powermite</v>
      </c>
      <c r="P112" s="278" t="str">
        <f>IF(B112&gt;0,(VLOOKUP(I112,'Actuator Reference'!$A$2:$H$54,2)),"-")</f>
        <v>SSC81U</v>
      </c>
      <c r="Q112" s="278" t="str">
        <f>IF(B112&gt;0,(VLOOKUP(I112,'Actuator Reference'!$A$2:$H$54,5)),"-")</f>
        <v>Float</v>
      </c>
      <c r="R112" s="278" t="str">
        <f>IF(B112&gt;0,(VLOOKUP(I112,'Actuator Reference'!$A$2:$H$54,6)),"-")</f>
        <v>NSR</v>
      </c>
      <c r="S112" s="278" t="str">
        <f>IF(B112&gt;0,(VLOOKUP(I112,'Actuator Reference'!$A$2:$H$54,7)),"-")</f>
        <v>24V</v>
      </c>
      <c r="T112" s="279" t="str">
        <f>IF(B112&gt;0,(VLOOKUP(I112,'Actuator Reference'!$A$2:$H$54,8)),"-")</f>
        <v>MT-Series</v>
      </c>
      <c r="AD112" s="41"/>
      <c r="AE112" s="41"/>
      <c r="AF112" s="35">
        <v>1</v>
      </c>
      <c r="AG112" s="35" t="s">
        <v>1097</v>
      </c>
      <c r="AH112" s="38" t="str">
        <f t="shared" si="6"/>
        <v>259-02032</v>
      </c>
      <c r="AI112" s="264" t="e">
        <f t="shared" si="7"/>
        <v>#REF!</v>
      </c>
    </row>
    <row r="113" spans="1:35" ht="14.25">
      <c r="A113" s="275" t="e">
        <f>'Box Schedule'!#REF!</f>
        <v>#REF!</v>
      </c>
      <c r="B113" s="262">
        <v>2</v>
      </c>
      <c r="C113" s="229" t="str">
        <f>IF((B113&gt;0),(VLOOKUP(J113,'Valve Reference'!$A$2:$K$389,3)),"-")</f>
        <v>0.5</v>
      </c>
      <c r="D113" s="230" t="s">
        <v>577</v>
      </c>
      <c r="E113" s="231">
        <f>IF((B113&gt;0),('Vlookup Tables'!$B$37),"-")</f>
        <v>5</v>
      </c>
      <c r="F113" s="51">
        <f t="shared" si="4"/>
        <v>0.89442719099991586</v>
      </c>
      <c r="G113" s="228">
        <f>IF((B113&gt;0),(VLOOKUP($B113,'Vlookup Tables'!$B$23:$F$33,2,TRUE)),"-")</f>
        <v>1</v>
      </c>
      <c r="H113" s="52">
        <f t="shared" si="5"/>
        <v>4</v>
      </c>
      <c r="I113" s="50">
        <f>IF((B113&gt;0),('Vlookup Tables'!$B$35),"-")</f>
        <v>259</v>
      </c>
      <c r="J113" s="265" t="str">
        <f>IF(B113&gt;0,(IF(D113="2-Way",VLOOKUP($G113,'Vlookup Tables'!$C$23:$F$33,2,FALSE),VLOOKUP($G113,'Vlookup Tables'!$C$23:$F$33,3,FALSE))),"-")</f>
        <v>02034</v>
      </c>
      <c r="K113" s="276" t="str">
        <f>IF(B113&gt;0,(VLOOKUP(J113,'Valve Reference'!$A$2:$K$389,4)),"-")</f>
        <v>Standard</v>
      </c>
      <c r="L113" s="276" t="str">
        <f>IF(B113&gt;0,(VLOOKUP(J113,'Valve Reference'!$A$2:$K$389,5)),"-")</f>
        <v>BR</v>
      </c>
      <c r="M113" s="276" t="str">
        <f>IF(B113&gt;0,(VLOOKUP(J113,'Valve Reference'!$A$2:$K$389,8)),"-")</f>
        <v>Linear</v>
      </c>
      <c r="N113" s="276" t="str">
        <f>IF(B113&gt;0,(VLOOKUP(J113,'Valve Reference'!$A$2:$K$389,10)),"-")</f>
        <v>FxF</v>
      </c>
      <c r="O113" s="277" t="str">
        <f>IF(B113&gt;0,(VLOOKUP(J113,'Valve Reference'!$A$2:$K$389,11)),"-")</f>
        <v>Globe-Powermite</v>
      </c>
      <c r="P113" s="278" t="str">
        <f>IF(B113&gt;0,(VLOOKUP(I113,'Actuator Reference'!$A$2:$H$54,2)),"-")</f>
        <v>SSC81U</v>
      </c>
      <c r="Q113" s="278" t="str">
        <f>IF(B113&gt;0,(VLOOKUP(I113,'Actuator Reference'!$A$2:$H$54,5)),"-")</f>
        <v>Float</v>
      </c>
      <c r="R113" s="278" t="str">
        <f>IF(B113&gt;0,(VLOOKUP(I113,'Actuator Reference'!$A$2:$H$54,6)),"-")</f>
        <v>NSR</v>
      </c>
      <c r="S113" s="278" t="str">
        <f>IF(B113&gt;0,(VLOOKUP(I113,'Actuator Reference'!$A$2:$H$54,7)),"-")</f>
        <v>24V</v>
      </c>
      <c r="T113" s="279" t="str">
        <f>IF(B113&gt;0,(VLOOKUP(I113,'Actuator Reference'!$A$2:$H$54,8)),"-")</f>
        <v>MT-Series</v>
      </c>
      <c r="AD113" s="41"/>
      <c r="AE113" s="41"/>
      <c r="AF113" s="35">
        <v>1</v>
      </c>
      <c r="AG113" s="35" t="s">
        <v>1097</v>
      </c>
      <c r="AH113" s="38" t="str">
        <f t="shared" si="6"/>
        <v>259-02034</v>
      </c>
      <c r="AI113" s="264" t="e">
        <f t="shared" si="7"/>
        <v>#REF!</v>
      </c>
    </row>
    <row r="114" spans="1:35" ht="14.25">
      <c r="A114" s="275" t="e">
        <f>'Box Schedule'!#REF!</f>
        <v>#REF!</v>
      </c>
      <c r="B114" s="262">
        <v>3</v>
      </c>
      <c r="C114" s="229" t="str">
        <f>IF((B114&gt;0),(VLOOKUP(J114,'Valve Reference'!$A$2:$K$389,3)),"-")</f>
        <v>0.5</v>
      </c>
      <c r="D114" s="230" t="s">
        <v>577</v>
      </c>
      <c r="E114" s="231">
        <f>IF((B114&gt;0),('Vlookup Tables'!$B$37),"-")</f>
        <v>5</v>
      </c>
      <c r="F114" s="51">
        <f t="shared" si="4"/>
        <v>1.3416407864998738</v>
      </c>
      <c r="G114" s="228">
        <f>IF((B114&gt;0),(VLOOKUP($B114,'Vlookup Tables'!$B$23:$F$33,2,TRUE)),"-")</f>
        <v>1.6</v>
      </c>
      <c r="H114" s="52">
        <f t="shared" si="5"/>
        <v>3.515625</v>
      </c>
      <c r="I114" s="50">
        <f>IF((B114&gt;0),('Vlookup Tables'!$B$35),"-")</f>
        <v>259</v>
      </c>
      <c r="J114" s="265" t="str">
        <f>IF(B114&gt;0,(IF(D114="2-Way",VLOOKUP($G114,'Vlookup Tables'!$C$23:$F$33,2,FALSE),VLOOKUP($G114,'Vlookup Tables'!$C$23:$F$33,3,FALSE))),"-")</f>
        <v>02036</v>
      </c>
      <c r="K114" s="276" t="str">
        <f>IF(B114&gt;0,(VLOOKUP(J114,'Valve Reference'!$A$2:$K$389,4)),"-")</f>
        <v>Standard</v>
      </c>
      <c r="L114" s="276" t="str">
        <f>IF(B114&gt;0,(VLOOKUP(J114,'Valve Reference'!$A$2:$K$389,5)),"-")</f>
        <v>BR</v>
      </c>
      <c r="M114" s="276" t="str">
        <f>IF(B114&gt;0,(VLOOKUP(J114,'Valve Reference'!$A$2:$K$389,8)),"-")</f>
        <v>Linear</v>
      </c>
      <c r="N114" s="276" t="str">
        <f>IF(B114&gt;0,(VLOOKUP(J114,'Valve Reference'!$A$2:$K$389,10)),"-")</f>
        <v>FxF</v>
      </c>
      <c r="O114" s="277" t="str">
        <f>IF(B114&gt;0,(VLOOKUP(J114,'Valve Reference'!$A$2:$K$389,11)),"-")</f>
        <v>Globe-Powermite</v>
      </c>
      <c r="P114" s="278" t="str">
        <f>IF(B114&gt;0,(VLOOKUP(I114,'Actuator Reference'!$A$2:$H$54,2)),"-")</f>
        <v>SSC81U</v>
      </c>
      <c r="Q114" s="278" t="str">
        <f>IF(B114&gt;0,(VLOOKUP(I114,'Actuator Reference'!$A$2:$H$54,5)),"-")</f>
        <v>Float</v>
      </c>
      <c r="R114" s="278" t="str">
        <f>IF(B114&gt;0,(VLOOKUP(I114,'Actuator Reference'!$A$2:$H$54,6)),"-")</f>
        <v>NSR</v>
      </c>
      <c r="S114" s="278" t="str">
        <f>IF(B114&gt;0,(VLOOKUP(I114,'Actuator Reference'!$A$2:$H$54,7)),"-")</f>
        <v>24V</v>
      </c>
      <c r="T114" s="279" t="str">
        <f>IF(B114&gt;0,(VLOOKUP(I114,'Actuator Reference'!$A$2:$H$54,8)),"-")</f>
        <v>MT-Series</v>
      </c>
      <c r="AD114" s="41"/>
      <c r="AE114" s="41"/>
      <c r="AF114" s="35">
        <v>1</v>
      </c>
      <c r="AG114" s="35" t="s">
        <v>1097</v>
      </c>
      <c r="AH114" s="38" t="str">
        <f t="shared" si="6"/>
        <v>259-02036</v>
      </c>
      <c r="AI114" s="264" t="e">
        <f t="shared" si="7"/>
        <v>#REF!</v>
      </c>
    </row>
    <row r="115" spans="1:35" ht="14.25">
      <c r="A115" s="275" t="e">
        <f>'Box Schedule'!#REF!</f>
        <v>#REF!</v>
      </c>
      <c r="B115" s="262">
        <v>4</v>
      </c>
      <c r="C115" s="229" t="str">
        <f>IF((B115&gt;0),(VLOOKUP(J115,'Valve Reference'!$A$2:$K$389,3)),"-")</f>
        <v>0.5</v>
      </c>
      <c r="D115" s="230" t="s">
        <v>577</v>
      </c>
      <c r="E115" s="231">
        <f>IF((B115&gt;0),('Vlookup Tables'!$B$37),"-")</f>
        <v>5</v>
      </c>
      <c r="F115" s="51">
        <f t="shared" si="4"/>
        <v>1.7888543819998317</v>
      </c>
      <c r="G115" s="228">
        <f>IF((B115&gt;0),(VLOOKUP($B115,'Vlookup Tables'!$B$23:$F$33,2,TRUE)),"-")</f>
        <v>2.5</v>
      </c>
      <c r="H115" s="52">
        <f t="shared" si="5"/>
        <v>2.56</v>
      </c>
      <c r="I115" s="50">
        <f>IF((B115&gt;0),('Vlookup Tables'!$B$35),"-")</f>
        <v>259</v>
      </c>
      <c r="J115" s="265" t="str">
        <f>IF(B115&gt;0,(IF(D115="2-Way",VLOOKUP($G115,'Vlookup Tables'!$C$23:$F$33,2,FALSE),VLOOKUP($G115,'Vlookup Tables'!$C$23:$F$33,3,FALSE))),"-")</f>
        <v>02038</v>
      </c>
      <c r="K115" s="276" t="str">
        <f>IF(B115&gt;0,(VLOOKUP(J115,'Valve Reference'!$A$2:$K$389,4)),"-")</f>
        <v>Standard</v>
      </c>
      <c r="L115" s="276" t="str">
        <f>IF(B115&gt;0,(VLOOKUP(J115,'Valve Reference'!$A$2:$K$389,5)),"-")</f>
        <v>BR</v>
      </c>
      <c r="M115" s="276" t="str">
        <f>IF(B115&gt;0,(VLOOKUP(J115,'Valve Reference'!$A$2:$K$389,8)),"-")</f>
        <v>Linear</v>
      </c>
      <c r="N115" s="276" t="str">
        <f>IF(B115&gt;0,(VLOOKUP(J115,'Valve Reference'!$A$2:$K$389,10)),"-")</f>
        <v>FxF</v>
      </c>
      <c r="O115" s="277" t="str">
        <f>IF(B115&gt;0,(VLOOKUP(J115,'Valve Reference'!$A$2:$K$389,11)),"-")</f>
        <v>Globe-Powermite</v>
      </c>
      <c r="P115" s="278" t="str">
        <f>IF(B115&gt;0,(VLOOKUP(I115,'Actuator Reference'!$A$2:$H$54,2)),"-")</f>
        <v>SSC81U</v>
      </c>
      <c r="Q115" s="278" t="str">
        <f>IF(B115&gt;0,(VLOOKUP(I115,'Actuator Reference'!$A$2:$H$54,5)),"-")</f>
        <v>Float</v>
      </c>
      <c r="R115" s="278" t="str">
        <f>IF(B115&gt;0,(VLOOKUP(I115,'Actuator Reference'!$A$2:$H$54,6)),"-")</f>
        <v>NSR</v>
      </c>
      <c r="S115" s="278" t="str">
        <f>IF(B115&gt;0,(VLOOKUP(I115,'Actuator Reference'!$A$2:$H$54,7)),"-")</f>
        <v>24V</v>
      </c>
      <c r="T115" s="279" t="str">
        <f>IF(B115&gt;0,(VLOOKUP(I115,'Actuator Reference'!$A$2:$H$54,8)),"-")</f>
        <v>MT-Series</v>
      </c>
      <c r="AD115" s="41"/>
      <c r="AE115" s="41"/>
      <c r="AF115" s="35">
        <v>1</v>
      </c>
      <c r="AG115" s="35" t="s">
        <v>1097</v>
      </c>
      <c r="AH115" s="38" t="str">
        <f t="shared" si="6"/>
        <v>259-02038</v>
      </c>
      <c r="AI115" s="264" t="e">
        <f t="shared" si="7"/>
        <v>#REF!</v>
      </c>
    </row>
    <row r="116" spans="1:35" ht="14.25">
      <c r="A116" s="275" t="e">
        <f>'Box Schedule'!#REF!</f>
        <v>#REF!</v>
      </c>
      <c r="B116" s="262">
        <v>5</v>
      </c>
      <c r="C116" s="229" t="str">
        <f>IF((B116&gt;0),(VLOOKUP(J116,'Valve Reference'!$A$2:$K$389,3)),"-")</f>
        <v>0.5</v>
      </c>
      <c r="D116" s="230" t="s">
        <v>577</v>
      </c>
      <c r="E116" s="231">
        <f>IF((B116&gt;0),('Vlookup Tables'!$B$37),"-")</f>
        <v>5</v>
      </c>
      <c r="F116" s="51">
        <f t="shared" si="4"/>
        <v>2.2360679774997898</v>
      </c>
      <c r="G116" s="228">
        <f>IF((B116&gt;0),(VLOOKUP($B116,'Vlookup Tables'!$B$23:$F$33,2,TRUE)),"-")</f>
        <v>2.5</v>
      </c>
      <c r="H116" s="52">
        <f t="shared" si="5"/>
        <v>4</v>
      </c>
      <c r="I116" s="50">
        <f>IF((B116&gt;0),('Vlookup Tables'!$B$35),"-")</f>
        <v>259</v>
      </c>
      <c r="J116" s="265" t="str">
        <f>IF(B116&gt;0,(IF(D116="2-Way",VLOOKUP($G116,'Vlookup Tables'!$C$23:$F$33,2,FALSE),VLOOKUP($G116,'Vlookup Tables'!$C$23:$F$33,3,FALSE))),"-")</f>
        <v>02038</v>
      </c>
      <c r="K116" s="276" t="str">
        <f>IF(B116&gt;0,(VLOOKUP(J116,'Valve Reference'!$A$2:$K$389,4)),"-")</f>
        <v>Standard</v>
      </c>
      <c r="L116" s="276" t="str">
        <f>IF(B116&gt;0,(VLOOKUP(J116,'Valve Reference'!$A$2:$K$389,5)),"-")</f>
        <v>BR</v>
      </c>
      <c r="M116" s="276" t="str">
        <f>IF(B116&gt;0,(VLOOKUP(J116,'Valve Reference'!$A$2:$K$389,8)),"-")</f>
        <v>Linear</v>
      </c>
      <c r="N116" s="276" t="str">
        <f>IF(B116&gt;0,(VLOOKUP(J116,'Valve Reference'!$A$2:$K$389,10)),"-")</f>
        <v>FxF</v>
      </c>
      <c r="O116" s="277" t="str">
        <f>IF(B116&gt;0,(VLOOKUP(J116,'Valve Reference'!$A$2:$K$389,11)),"-")</f>
        <v>Globe-Powermite</v>
      </c>
      <c r="P116" s="278" t="str">
        <f>IF(B116&gt;0,(VLOOKUP(I116,'Actuator Reference'!$A$2:$H$54,2)),"-")</f>
        <v>SSC81U</v>
      </c>
      <c r="Q116" s="278" t="str">
        <f>IF(B116&gt;0,(VLOOKUP(I116,'Actuator Reference'!$A$2:$H$54,5)),"-")</f>
        <v>Float</v>
      </c>
      <c r="R116" s="278" t="str">
        <f>IF(B116&gt;0,(VLOOKUP(I116,'Actuator Reference'!$A$2:$H$54,6)),"-")</f>
        <v>NSR</v>
      </c>
      <c r="S116" s="278" t="str">
        <f>IF(B116&gt;0,(VLOOKUP(I116,'Actuator Reference'!$A$2:$H$54,7)),"-")</f>
        <v>24V</v>
      </c>
      <c r="T116" s="279" t="str">
        <f>IF(B116&gt;0,(VLOOKUP(I116,'Actuator Reference'!$A$2:$H$54,8)),"-")</f>
        <v>MT-Series</v>
      </c>
      <c r="AD116" s="41"/>
      <c r="AE116" s="41"/>
      <c r="AF116" s="35">
        <v>1</v>
      </c>
      <c r="AG116" s="35" t="s">
        <v>1097</v>
      </c>
      <c r="AH116" s="38" t="str">
        <f t="shared" si="6"/>
        <v>259-02038</v>
      </c>
      <c r="AI116" s="264" t="e">
        <f t="shared" si="7"/>
        <v>#REF!</v>
      </c>
    </row>
    <row r="117" spans="1:35" ht="14.25">
      <c r="A117" s="275" t="e">
        <f>'Box Schedule'!#REF!</f>
        <v>#REF!</v>
      </c>
      <c r="B117" s="262">
        <v>6</v>
      </c>
      <c r="C117" s="229" t="str">
        <f>IF((B117&gt;0),(VLOOKUP(J117,'Valve Reference'!$A$2:$K$389,3)),"-")</f>
        <v>0.5</v>
      </c>
      <c r="D117" s="230" t="s">
        <v>577</v>
      </c>
      <c r="E117" s="231">
        <f>IF((B117&gt;0),('Vlookup Tables'!$B$37),"-")</f>
        <v>5</v>
      </c>
      <c r="F117" s="51">
        <f t="shared" si="4"/>
        <v>2.6832815729997477</v>
      </c>
      <c r="G117" s="228">
        <f>IF((B117&gt;0),(VLOOKUP($B117,'Vlookup Tables'!$B$23:$F$33,2,TRUE)),"-")</f>
        <v>4</v>
      </c>
      <c r="H117" s="52">
        <f t="shared" si="5"/>
        <v>2.25</v>
      </c>
      <c r="I117" s="50">
        <f>IF((B117&gt;0),('Vlookup Tables'!$B$35),"-")</f>
        <v>259</v>
      </c>
      <c r="J117" s="265" t="str">
        <f>IF(B117&gt;0,(IF(D117="2-Way",VLOOKUP($G117,'Vlookup Tables'!$C$23:$F$33,2,FALSE),VLOOKUP($G117,'Vlookup Tables'!$C$23:$F$33,3,FALSE))),"-")</f>
        <v>02041</v>
      </c>
      <c r="K117" s="276" t="str">
        <f>IF(B117&gt;0,(VLOOKUP(J117,'Valve Reference'!$A$2:$K$389,4)),"-")</f>
        <v>Standard</v>
      </c>
      <c r="L117" s="276" t="str">
        <f>IF(B117&gt;0,(VLOOKUP(J117,'Valve Reference'!$A$2:$K$389,5)),"-")</f>
        <v>BR</v>
      </c>
      <c r="M117" s="276" t="str">
        <f>IF(B117&gt;0,(VLOOKUP(J117,'Valve Reference'!$A$2:$K$389,8)),"-")</f>
        <v>Linear</v>
      </c>
      <c r="N117" s="276" t="str">
        <f>IF(B117&gt;0,(VLOOKUP(J117,'Valve Reference'!$A$2:$K$389,10)),"-")</f>
        <v>FxF</v>
      </c>
      <c r="O117" s="277" t="str">
        <f>IF(B117&gt;0,(VLOOKUP(J117,'Valve Reference'!$A$2:$K$389,11)),"-")</f>
        <v>Globe-Powermite</v>
      </c>
      <c r="P117" s="278" t="str">
        <f>IF(B117&gt;0,(VLOOKUP(I117,'Actuator Reference'!$A$2:$H$54,2)),"-")</f>
        <v>SSC81U</v>
      </c>
      <c r="Q117" s="278" t="str">
        <f>IF(B117&gt;0,(VLOOKUP(I117,'Actuator Reference'!$A$2:$H$54,5)),"-")</f>
        <v>Float</v>
      </c>
      <c r="R117" s="278" t="str">
        <f>IF(B117&gt;0,(VLOOKUP(I117,'Actuator Reference'!$A$2:$H$54,6)),"-")</f>
        <v>NSR</v>
      </c>
      <c r="S117" s="278" t="str">
        <f>IF(B117&gt;0,(VLOOKUP(I117,'Actuator Reference'!$A$2:$H$54,7)),"-")</f>
        <v>24V</v>
      </c>
      <c r="T117" s="279" t="str">
        <f>IF(B117&gt;0,(VLOOKUP(I117,'Actuator Reference'!$A$2:$H$54,8)),"-")</f>
        <v>MT-Series</v>
      </c>
      <c r="AD117" s="41"/>
      <c r="AE117" s="41"/>
      <c r="AF117" s="35">
        <v>1</v>
      </c>
      <c r="AG117" s="35" t="s">
        <v>1097</v>
      </c>
      <c r="AH117" s="38" t="str">
        <f t="shared" si="6"/>
        <v>259-02041</v>
      </c>
      <c r="AI117" s="264" t="e">
        <f t="shared" si="7"/>
        <v>#REF!</v>
      </c>
    </row>
    <row r="118" spans="1:35" ht="14.25">
      <c r="A118" s="275" t="e">
        <f>'Box Schedule'!#REF!</f>
        <v>#REF!</v>
      </c>
      <c r="B118" s="262">
        <v>7</v>
      </c>
      <c r="C118" s="229" t="str">
        <f>IF((B118&gt;0),(VLOOKUP(J118,'Valve Reference'!$A$2:$K$389,3)),"-")</f>
        <v>0.5</v>
      </c>
      <c r="D118" s="230" t="s">
        <v>577</v>
      </c>
      <c r="E118" s="231">
        <f>IF((B118&gt;0),('Vlookup Tables'!$B$37),"-")</f>
        <v>5</v>
      </c>
      <c r="F118" s="51">
        <f t="shared" si="4"/>
        <v>3.1304951684997055</v>
      </c>
      <c r="G118" s="228">
        <f>IF((B118&gt;0),(VLOOKUP($B118,'Vlookup Tables'!$B$23:$F$33,2,TRUE)),"-")</f>
        <v>4</v>
      </c>
      <c r="H118" s="52">
        <f t="shared" si="5"/>
        <v>3.0625000000000004</v>
      </c>
      <c r="I118" s="50">
        <f>IF((B118&gt;0),('Vlookup Tables'!$B$35),"-")</f>
        <v>259</v>
      </c>
      <c r="J118" s="265" t="str">
        <f>IF(B118&gt;0,(IF(D118="2-Way",VLOOKUP($G118,'Vlookup Tables'!$C$23:$F$33,2,FALSE),VLOOKUP($G118,'Vlookup Tables'!$C$23:$F$33,3,FALSE))),"-")</f>
        <v>02041</v>
      </c>
      <c r="K118" s="276" t="str">
        <f>IF(B118&gt;0,(VLOOKUP(J118,'Valve Reference'!$A$2:$K$389,4)),"-")</f>
        <v>Standard</v>
      </c>
      <c r="L118" s="276" t="str">
        <f>IF(B118&gt;0,(VLOOKUP(J118,'Valve Reference'!$A$2:$K$389,5)),"-")</f>
        <v>BR</v>
      </c>
      <c r="M118" s="276" t="str">
        <f>IF(B118&gt;0,(VLOOKUP(J118,'Valve Reference'!$A$2:$K$389,8)),"-")</f>
        <v>Linear</v>
      </c>
      <c r="N118" s="276" t="str">
        <f>IF(B118&gt;0,(VLOOKUP(J118,'Valve Reference'!$A$2:$K$389,10)),"-")</f>
        <v>FxF</v>
      </c>
      <c r="O118" s="277" t="str">
        <f>IF(B118&gt;0,(VLOOKUP(J118,'Valve Reference'!$A$2:$K$389,11)),"-")</f>
        <v>Globe-Powermite</v>
      </c>
      <c r="P118" s="278" t="str">
        <f>IF(B118&gt;0,(VLOOKUP(I118,'Actuator Reference'!$A$2:$H$54,2)),"-")</f>
        <v>SSC81U</v>
      </c>
      <c r="Q118" s="278" t="str">
        <f>IF(B118&gt;0,(VLOOKUP(I118,'Actuator Reference'!$A$2:$H$54,5)),"-")</f>
        <v>Float</v>
      </c>
      <c r="R118" s="278" t="str">
        <f>IF(B118&gt;0,(VLOOKUP(I118,'Actuator Reference'!$A$2:$H$54,6)),"-")</f>
        <v>NSR</v>
      </c>
      <c r="S118" s="278" t="str">
        <f>IF(B118&gt;0,(VLOOKUP(I118,'Actuator Reference'!$A$2:$H$54,7)),"-")</f>
        <v>24V</v>
      </c>
      <c r="T118" s="279" t="str">
        <f>IF(B118&gt;0,(VLOOKUP(I118,'Actuator Reference'!$A$2:$H$54,8)),"-")</f>
        <v>MT-Series</v>
      </c>
      <c r="AD118" s="41"/>
      <c r="AE118" s="41"/>
      <c r="AF118" s="35">
        <v>1</v>
      </c>
      <c r="AG118" s="35" t="s">
        <v>1097</v>
      </c>
      <c r="AH118" s="38" t="str">
        <f t="shared" si="6"/>
        <v>259-02041</v>
      </c>
      <c r="AI118" s="264" t="e">
        <f t="shared" si="7"/>
        <v>#REF!</v>
      </c>
    </row>
    <row r="119" spans="1:35" ht="14.25">
      <c r="A119" s="275" t="e">
        <f>'Box Schedule'!#REF!</f>
        <v>#REF!</v>
      </c>
      <c r="B119" s="262">
        <v>8</v>
      </c>
      <c r="C119" s="229" t="str">
        <f>IF((B119&gt;0),(VLOOKUP(J119,'Valve Reference'!$A$2:$K$389,3)),"-")</f>
        <v>0.5</v>
      </c>
      <c r="D119" s="230" t="s">
        <v>577</v>
      </c>
      <c r="E119" s="231">
        <f>IF((B119&gt;0),('Vlookup Tables'!$B$37),"-")</f>
        <v>5</v>
      </c>
      <c r="F119" s="51">
        <f t="shared" si="4"/>
        <v>3.5777087639996634</v>
      </c>
      <c r="G119" s="228">
        <f>IF((B119&gt;0),(VLOOKUP($B119,'Vlookup Tables'!$B$23:$F$33,2,TRUE)),"-")</f>
        <v>4</v>
      </c>
      <c r="H119" s="52">
        <f t="shared" si="5"/>
        <v>4</v>
      </c>
      <c r="I119" s="50">
        <f>IF((B119&gt;0),('Vlookup Tables'!$B$35),"-")</f>
        <v>259</v>
      </c>
      <c r="J119" s="265" t="str">
        <f>IF(B119&gt;0,(IF(D119="2-Way",VLOOKUP($G119,'Vlookup Tables'!$C$23:$F$33,2,FALSE),VLOOKUP($G119,'Vlookup Tables'!$C$23:$F$33,3,FALSE))),"-")</f>
        <v>02041</v>
      </c>
      <c r="K119" s="276" t="str">
        <f>IF(B119&gt;0,(VLOOKUP(J119,'Valve Reference'!$A$2:$K$389,4)),"-")</f>
        <v>Standard</v>
      </c>
      <c r="L119" s="276" t="str">
        <f>IF(B119&gt;0,(VLOOKUP(J119,'Valve Reference'!$A$2:$K$389,5)),"-")</f>
        <v>BR</v>
      </c>
      <c r="M119" s="276" t="str">
        <f>IF(B119&gt;0,(VLOOKUP(J119,'Valve Reference'!$A$2:$K$389,8)),"-")</f>
        <v>Linear</v>
      </c>
      <c r="N119" s="276" t="str">
        <f>IF(B119&gt;0,(VLOOKUP(J119,'Valve Reference'!$A$2:$K$389,10)),"-")</f>
        <v>FxF</v>
      </c>
      <c r="O119" s="277" t="str">
        <f>IF(B119&gt;0,(VLOOKUP(J119,'Valve Reference'!$A$2:$K$389,11)),"-")</f>
        <v>Globe-Powermite</v>
      </c>
      <c r="P119" s="278" t="str">
        <f>IF(B119&gt;0,(VLOOKUP(I119,'Actuator Reference'!$A$2:$H$54,2)),"-")</f>
        <v>SSC81U</v>
      </c>
      <c r="Q119" s="278" t="str">
        <f>IF(B119&gt;0,(VLOOKUP(I119,'Actuator Reference'!$A$2:$H$54,5)),"-")</f>
        <v>Float</v>
      </c>
      <c r="R119" s="278" t="str">
        <f>IF(B119&gt;0,(VLOOKUP(I119,'Actuator Reference'!$A$2:$H$54,6)),"-")</f>
        <v>NSR</v>
      </c>
      <c r="S119" s="278" t="str">
        <f>IF(B119&gt;0,(VLOOKUP(I119,'Actuator Reference'!$A$2:$H$54,7)),"-")</f>
        <v>24V</v>
      </c>
      <c r="T119" s="279" t="str">
        <f>IF(B119&gt;0,(VLOOKUP(I119,'Actuator Reference'!$A$2:$H$54,8)),"-")</f>
        <v>MT-Series</v>
      </c>
      <c r="AD119" s="41"/>
      <c r="AE119" s="41"/>
      <c r="AF119" s="35">
        <v>1</v>
      </c>
      <c r="AG119" s="35" t="s">
        <v>1097</v>
      </c>
      <c r="AH119" s="38" t="str">
        <f t="shared" si="6"/>
        <v>259-02041</v>
      </c>
      <c r="AI119" s="264" t="e">
        <f t="shared" si="7"/>
        <v>#REF!</v>
      </c>
    </row>
    <row r="120" spans="1:35" ht="14.25">
      <c r="A120" s="275" t="e">
        <f>'Box Schedule'!#REF!</f>
        <v>#REF!</v>
      </c>
      <c r="B120" s="262">
        <v>9</v>
      </c>
      <c r="C120" s="229" t="str">
        <f>IF((B120&gt;0),(VLOOKUP(J120,'Valve Reference'!$A$2:$K$389,3)),"-")</f>
        <v>0.75</v>
      </c>
      <c r="D120" s="230" t="s">
        <v>577</v>
      </c>
      <c r="E120" s="231">
        <f>IF((B120&gt;0),('Vlookup Tables'!$B$37),"-")</f>
        <v>5</v>
      </c>
      <c r="F120" s="51">
        <f t="shared" si="4"/>
        <v>4.0249223594996213</v>
      </c>
      <c r="G120" s="228">
        <f>IF((B120&gt;0),(VLOOKUP($B120,'Vlookup Tables'!$B$23:$F$33,2,TRUE)),"-")</f>
        <v>6.3</v>
      </c>
      <c r="H120" s="52">
        <f t="shared" si="5"/>
        <v>2.0408163265306127</v>
      </c>
      <c r="I120" s="50">
        <f>IF((B120&gt;0),('Vlookup Tables'!$B$35),"-")</f>
        <v>259</v>
      </c>
      <c r="J120" s="265" t="str">
        <f>IF(B120&gt;0,(IF(D120="2-Way",VLOOKUP($G120,'Vlookup Tables'!$C$23:$F$33,2,FALSE),VLOOKUP($G120,'Vlookup Tables'!$C$23:$F$33,3,FALSE))),"-")</f>
        <v>02044</v>
      </c>
      <c r="K120" s="276" t="str">
        <f>IF(B120&gt;0,(VLOOKUP(J120,'Valve Reference'!$A$2:$K$389,4)),"-")</f>
        <v>Standard</v>
      </c>
      <c r="L120" s="276" t="str">
        <f>IF(B120&gt;0,(VLOOKUP(J120,'Valve Reference'!$A$2:$K$389,5)),"-")</f>
        <v>BR</v>
      </c>
      <c r="M120" s="276" t="str">
        <f>IF(B120&gt;0,(VLOOKUP(J120,'Valve Reference'!$A$2:$K$389,8)),"-")</f>
        <v>Linear</v>
      </c>
      <c r="N120" s="276" t="str">
        <f>IF(B120&gt;0,(VLOOKUP(J120,'Valve Reference'!$A$2:$K$389,10)),"-")</f>
        <v>FxF</v>
      </c>
      <c r="O120" s="277" t="str">
        <f>IF(B120&gt;0,(VLOOKUP(J120,'Valve Reference'!$A$2:$K$389,11)),"-")</f>
        <v>Globe-Powermite</v>
      </c>
      <c r="P120" s="278" t="str">
        <f>IF(B120&gt;0,(VLOOKUP(I120,'Actuator Reference'!$A$2:$H$54,2)),"-")</f>
        <v>SSC81U</v>
      </c>
      <c r="Q120" s="278" t="str">
        <f>IF(B120&gt;0,(VLOOKUP(I120,'Actuator Reference'!$A$2:$H$54,5)),"-")</f>
        <v>Float</v>
      </c>
      <c r="R120" s="278" t="str">
        <f>IF(B120&gt;0,(VLOOKUP(I120,'Actuator Reference'!$A$2:$H$54,6)),"-")</f>
        <v>NSR</v>
      </c>
      <c r="S120" s="278" t="str">
        <f>IF(B120&gt;0,(VLOOKUP(I120,'Actuator Reference'!$A$2:$H$54,7)),"-")</f>
        <v>24V</v>
      </c>
      <c r="T120" s="279" t="str">
        <f>IF(B120&gt;0,(VLOOKUP(I120,'Actuator Reference'!$A$2:$H$54,8)),"-")</f>
        <v>MT-Series</v>
      </c>
      <c r="AD120" s="41"/>
      <c r="AE120" s="41"/>
      <c r="AF120" s="35">
        <v>1</v>
      </c>
      <c r="AG120" s="35" t="s">
        <v>1097</v>
      </c>
      <c r="AH120" s="38" t="str">
        <f t="shared" si="6"/>
        <v>259-02044</v>
      </c>
      <c r="AI120" s="264" t="e">
        <f t="shared" si="7"/>
        <v>#REF!</v>
      </c>
    </row>
    <row r="121" spans="1:35" ht="14.25">
      <c r="A121" s="275" t="e">
        <f>'Box Schedule'!#REF!</f>
        <v>#REF!</v>
      </c>
      <c r="B121" s="262">
        <v>1</v>
      </c>
      <c r="C121" s="229" t="str">
        <f>IF((B121&gt;0),(VLOOKUP(J121,'Valve Reference'!$A$2:$K$389,3)),"-")</f>
        <v>0.5</v>
      </c>
      <c r="D121" s="230" t="s">
        <v>577</v>
      </c>
      <c r="E121" s="231">
        <f>IF((B121&gt;0),('Vlookup Tables'!$B$37),"-")</f>
        <v>5</v>
      </c>
      <c r="F121" s="51">
        <f t="shared" si="4"/>
        <v>0.44721359549995793</v>
      </c>
      <c r="G121" s="228">
        <f>IF((B121&gt;0),(VLOOKUP($B121,'Vlookup Tables'!$B$23:$F$33,2,TRUE)),"-")</f>
        <v>0.63</v>
      </c>
      <c r="H121" s="52">
        <f t="shared" si="5"/>
        <v>2.5195263290501382</v>
      </c>
      <c r="I121" s="50">
        <f>IF((B121&gt;0),('Vlookup Tables'!$B$35),"-")</f>
        <v>259</v>
      </c>
      <c r="J121" s="265" t="str">
        <f>IF(B121&gt;0,(IF(D121="2-Way",VLOOKUP($G121,'Vlookup Tables'!$C$23:$F$33,2,FALSE),VLOOKUP($G121,'Vlookup Tables'!$C$23:$F$33,3,FALSE))),"-")</f>
        <v>02032</v>
      </c>
      <c r="K121" s="276" t="str">
        <f>IF(B121&gt;0,(VLOOKUP(J121,'Valve Reference'!$A$2:$K$389,4)),"-")</f>
        <v>Standard</v>
      </c>
      <c r="L121" s="276" t="str">
        <f>IF(B121&gt;0,(VLOOKUP(J121,'Valve Reference'!$A$2:$K$389,5)),"-")</f>
        <v>BR</v>
      </c>
      <c r="M121" s="276" t="str">
        <f>IF(B121&gt;0,(VLOOKUP(J121,'Valve Reference'!$A$2:$K$389,8)),"-")</f>
        <v>Linear</v>
      </c>
      <c r="N121" s="276" t="str">
        <f>IF(B121&gt;0,(VLOOKUP(J121,'Valve Reference'!$A$2:$K$389,10)),"-")</f>
        <v>FxF</v>
      </c>
      <c r="O121" s="277" t="str">
        <f>IF(B121&gt;0,(VLOOKUP(J121,'Valve Reference'!$A$2:$K$389,11)),"-")</f>
        <v>Globe-Powermite</v>
      </c>
      <c r="P121" s="278" t="str">
        <f>IF(B121&gt;0,(VLOOKUP(I121,'Actuator Reference'!$A$2:$H$54,2)),"-")</f>
        <v>SSC81U</v>
      </c>
      <c r="Q121" s="278" t="str">
        <f>IF(B121&gt;0,(VLOOKUP(I121,'Actuator Reference'!$A$2:$H$54,5)),"-")</f>
        <v>Float</v>
      </c>
      <c r="R121" s="278" t="str">
        <f>IF(B121&gt;0,(VLOOKUP(I121,'Actuator Reference'!$A$2:$H$54,6)),"-")</f>
        <v>NSR</v>
      </c>
      <c r="S121" s="278" t="str">
        <f>IF(B121&gt;0,(VLOOKUP(I121,'Actuator Reference'!$A$2:$H$54,7)),"-")</f>
        <v>24V</v>
      </c>
      <c r="T121" s="279" t="str">
        <f>IF(B121&gt;0,(VLOOKUP(I121,'Actuator Reference'!$A$2:$H$54,8)),"-")</f>
        <v>MT-Series</v>
      </c>
      <c r="AD121" s="41"/>
      <c r="AE121" s="41"/>
      <c r="AF121" s="35">
        <v>1</v>
      </c>
      <c r="AG121" s="35" t="s">
        <v>1097</v>
      </c>
      <c r="AH121" s="38" t="str">
        <f t="shared" si="6"/>
        <v>259-02032</v>
      </c>
      <c r="AI121" s="264" t="e">
        <f t="shared" si="7"/>
        <v>#REF!</v>
      </c>
    </row>
    <row r="122" spans="1:35" ht="14.25">
      <c r="A122" s="275" t="e">
        <f>'Box Schedule'!#REF!</f>
        <v>#REF!</v>
      </c>
      <c r="B122" s="262">
        <v>2</v>
      </c>
      <c r="C122" s="229" t="str">
        <f>IF((B122&gt;0),(VLOOKUP(J122,'Valve Reference'!$A$2:$K$389,3)),"-")</f>
        <v>0.5</v>
      </c>
      <c r="D122" s="230" t="s">
        <v>577</v>
      </c>
      <c r="E122" s="231">
        <f>IF((B122&gt;0),('Vlookup Tables'!$B$37),"-")</f>
        <v>5</v>
      </c>
      <c r="F122" s="51">
        <f t="shared" si="4"/>
        <v>0.89442719099991586</v>
      </c>
      <c r="G122" s="228">
        <f>IF((B122&gt;0),(VLOOKUP($B122,'Vlookup Tables'!$B$23:$F$33,2,TRUE)),"-")</f>
        <v>1</v>
      </c>
      <c r="H122" s="52">
        <f t="shared" si="5"/>
        <v>4</v>
      </c>
      <c r="I122" s="50">
        <f>IF((B122&gt;0),('Vlookup Tables'!$B$35),"-")</f>
        <v>259</v>
      </c>
      <c r="J122" s="265" t="str">
        <f>IF(B122&gt;0,(IF(D122="2-Way",VLOOKUP($G122,'Vlookup Tables'!$C$23:$F$33,2,FALSE),VLOOKUP($G122,'Vlookup Tables'!$C$23:$F$33,3,FALSE))),"-")</f>
        <v>02034</v>
      </c>
      <c r="K122" s="276" t="str">
        <f>IF(B122&gt;0,(VLOOKUP(J122,'Valve Reference'!$A$2:$K$389,4)),"-")</f>
        <v>Standard</v>
      </c>
      <c r="L122" s="276" t="str">
        <f>IF(B122&gt;0,(VLOOKUP(J122,'Valve Reference'!$A$2:$K$389,5)),"-")</f>
        <v>BR</v>
      </c>
      <c r="M122" s="276" t="str">
        <f>IF(B122&gt;0,(VLOOKUP(J122,'Valve Reference'!$A$2:$K$389,8)),"-")</f>
        <v>Linear</v>
      </c>
      <c r="N122" s="276" t="str">
        <f>IF(B122&gt;0,(VLOOKUP(J122,'Valve Reference'!$A$2:$K$389,10)),"-")</f>
        <v>FxF</v>
      </c>
      <c r="O122" s="277" t="str">
        <f>IF(B122&gt;0,(VLOOKUP(J122,'Valve Reference'!$A$2:$K$389,11)),"-")</f>
        <v>Globe-Powermite</v>
      </c>
      <c r="P122" s="278" t="str">
        <f>IF(B122&gt;0,(VLOOKUP(I122,'Actuator Reference'!$A$2:$H$54,2)),"-")</f>
        <v>SSC81U</v>
      </c>
      <c r="Q122" s="278" t="str">
        <f>IF(B122&gt;0,(VLOOKUP(I122,'Actuator Reference'!$A$2:$H$54,5)),"-")</f>
        <v>Float</v>
      </c>
      <c r="R122" s="278" t="str">
        <f>IF(B122&gt;0,(VLOOKUP(I122,'Actuator Reference'!$A$2:$H$54,6)),"-")</f>
        <v>NSR</v>
      </c>
      <c r="S122" s="278" t="str">
        <f>IF(B122&gt;0,(VLOOKUP(I122,'Actuator Reference'!$A$2:$H$54,7)),"-")</f>
        <v>24V</v>
      </c>
      <c r="T122" s="279" t="str">
        <f>IF(B122&gt;0,(VLOOKUP(I122,'Actuator Reference'!$A$2:$H$54,8)),"-")</f>
        <v>MT-Series</v>
      </c>
      <c r="AD122" s="41"/>
      <c r="AE122" s="41"/>
      <c r="AF122" s="35">
        <v>1</v>
      </c>
      <c r="AG122" s="35" t="s">
        <v>1097</v>
      </c>
      <c r="AH122" s="38" t="str">
        <f t="shared" si="6"/>
        <v>259-02034</v>
      </c>
      <c r="AI122" s="264" t="e">
        <f t="shared" si="7"/>
        <v>#REF!</v>
      </c>
    </row>
    <row r="123" spans="1:35" ht="14.25">
      <c r="A123" s="275" t="e">
        <f>'Box Schedule'!#REF!</f>
        <v>#REF!</v>
      </c>
      <c r="B123" s="262">
        <v>3</v>
      </c>
      <c r="C123" s="229" t="str">
        <f>IF((B123&gt;0),(VLOOKUP(J123,'Valve Reference'!$A$2:$K$389,3)),"-")</f>
        <v>0.5</v>
      </c>
      <c r="D123" s="230" t="s">
        <v>577</v>
      </c>
      <c r="E123" s="231">
        <f>IF((B123&gt;0),('Vlookup Tables'!$B$37),"-")</f>
        <v>5</v>
      </c>
      <c r="F123" s="51">
        <f t="shared" si="4"/>
        <v>1.3416407864998738</v>
      </c>
      <c r="G123" s="228">
        <f>IF((B123&gt;0),(VLOOKUP($B123,'Vlookup Tables'!$B$23:$F$33,2,TRUE)),"-")</f>
        <v>1.6</v>
      </c>
      <c r="H123" s="52">
        <f t="shared" si="5"/>
        <v>3.515625</v>
      </c>
      <c r="I123" s="50">
        <f>IF((B123&gt;0),('Vlookup Tables'!$B$35),"-")</f>
        <v>259</v>
      </c>
      <c r="J123" s="265" t="str">
        <f>IF(B123&gt;0,(IF(D123="2-Way",VLOOKUP($G123,'Vlookup Tables'!$C$23:$F$33,2,FALSE),VLOOKUP($G123,'Vlookup Tables'!$C$23:$F$33,3,FALSE))),"-")</f>
        <v>02036</v>
      </c>
      <c r="K123" s="276" t="str">
        <f>IF(B123&gt;0,(VLOOKUP(J123,'Valve Reference'!$A$2:$K$389,4)),"-")</f>
        <v>Standard</v>
      </c>
      <c r="L123" s="276" t="str">
        <f>IF(B123&gt;0,(VLOOKUP(J123,'Valve Reference'!$A$2:$K$389,5)),"-")</f>
        <v>BR</v>
      </c>
      <c r="M123" s="276" t="str">
        <f>IF(B123&gt;0,(VLOOKUP(J123,'Valve Reference'!$A$2:$K$389,8)),"-")</f>
        <v>Linear</v>
      </c>
      <c r="N123" s="276" t="str">
        <f>IF(B123&gt;0,(VLOOKUP(J123,'Valve Reference'!$A$2:$K$389,10)),"-")</f>
        <v>FxF</v>
      </c>
      <c r="O123" s="277" t="str">
        <f>IF(B123&gt;0,(VLOOKUP(J123,'Valve Reference'!$A$2:$K$389,11)),"-")</f>
        <v>Globe-Powermite</v>
      </c>
      <c r="P123" s="278" t="str">
        <f>IF(B123&gt;0,(VLOOKUP(I123,'Actuator Reference'!$A$2:$H$54,2)),"-")</f>
        <v>SSC81U</v>
      </c>
      <c r="Q123" s="278" t="str">
        <f>IF(B123&gt;0,(VLOOKUP(I123,'Actuator Reference'!$A$2:$H$54,5)),"-")</f>
        <v>Float</v>
      </c>
      <c r="R123" s="278" t="str">
        <f>IF(B123&gt;0,(VLOOKUP(I123,'Actuator Reference'!$A$2:$H$54,6)),"-")</f>
        <v>NSR</v>
      </c>
      <c r="S123" s="278" t="str">
        <f>IF(B123&gt;0,(VLOOKUP(I123,'Actuator Reference'!$A$2:$H$54,7)),"-")</f>
        <v>24V</v>
      </c>
      <c r="T123" s="279" t="str">
        <f>IF(B123&gt;0,(VLOOKUP(I123,'Actuator Reference'!$A$2:$H$54,8)),"-")</f>
        <v>MT-Series</v>
      </c>
      <c r="AD123" s="41"/>
      <c r="AE123" s="41"/>
      <c r="AF123" s="35">
        <v>1</v>
      </c>
      <c r="AG123" s="35" t="s">
        <v>1097</v>
      </c>
      <c r="AH123" s="38" t="str">
        <f t="shared" si="6"/>
        <v>259-02036</v>
      </c>
      <c r="AI123" s="264" t="e">
        <f t="shared" si="7"/>
        <v>#REF!</v>
      </c>
    </row>
    <row r="124" spans="1:35" ht="14.25">
      <c r="A124" s="275" t="e">
        <f>'Box Schedule'!#REF!</f>
        <v>#REF!</v>
      </c>
      <c r="B124" s="262">
        <v>4</v>
      </c>
      <c r="C124" s="229" t="str">
        <f>IF((B124&gt;0),(VLOOKUP(J124,'Valve Reference'!$A$2:$K$389,3)),"-")</f>
        <v>0.5</v>
      </c>
      <c r="D124" s="230" t="s">
        <v>577</v>
      </c>
      <c r="E124" s="231">
        <f>IF((B124&gt;0),('Vlookup Tables'!$B$37),"-")</f>
        <v>5</v>
      </c>
      <c r="F124" s="51">
        <f t="shared" si="4"/>
        <v>1.7888543819998317</v>
      </c>
      <c r="G124" s="228">
        <f>IF((B124&gt;0),(VLOOKUP($B124,'Vlookup Tables'!$B$23:$F$33,2,TRUE)),"-")</f>
        <v>2.5</v>
      </c>
      <c r="H124" s="52">
        <f t="shared" si="5"/>
        <v>2.56</v>
      </c>
      <c r="I124" s="50">
        <f>IF((B124&gt;0),('Vlookup Tables'!$B$35),"-")</f>
        <v>259</v>
      </c>
      <c r="J124" s="265" t="str">
        <f>IF(B124&gt;0,(IF(D124="2-Way",VLOOKUP($G124,'Vlookup Tables'!$C$23:$F$33,2,FALSE),VLOOKUP($G124,'Vlookup Tables'!$C$23:$F$33,3,FALSE))),"-")</f>
        <v>02038</v>
      </c>
      <c r="K124" s="276" t="str">
        <f>IF(B124&gt;0,(VLOOKUP(J124,'Valve Reference'!$A$2:$K$389,4)),"-")</f>
        <v>Standard</v>
      </c>
      <c r="L124" s="276" t="str">
        <f>IF(B124&gt;0,(VLOOKUP(J124,'Valve Reference'!$A$2:$K$389,5)),"-")</f>
        <v>BR</v>
      </c>
      <c r="M124" s="276" t="str">
        <f>IF(B124&gt;0,(VLOOKUP(J124,'Valve Reference'!$A$2:$K$389,8)),"-")</f>
        <v>Linear</v>
      </c>
      <c r="N124" s="276" t="str">
        <f>IF(B124&gt;0,(VLOOKUP(J124,'Valve Reference'!$A$2:$K$389,10)),"-")</f>
        <v>FxF</v>
      </c>
      <c r="O124" s="277" t="str">
        <f>IF(B124&gt;0,(VLOOKUP(J124,'Valve Reference'!$A$2:$K$389,11)),"-")</f>
        <v>Globe-Powermite</v>
      </c>
      <c r="P124" s="278" t="str">
        <f>IF(B124&gt;0,(VLOOKUP(I124,'Actuator Reference'!$A$2:$H$54,2)),"-")</f>
        <v>SSC81U</v>
      </c>
      <c r="Q124" s="278" t="str">
        <f>IF(B124&gt;0,(VLOOKUP(I124,'Actuator Reference'!$A$2:$H$54,5)),"-")</f>
        <v>Float</v>
      </c>
      <c r="R124" s="278" t="str">
        <f>IF(B124&gt;0,(VLOOKUP(I124,'Actuator Reference'!$A$2:$H$54,6)),"-")</f>
        <v>NSR</v>
      </c>
      <c r="S124" s="278" t="str">
        <f>IF(B124&gt;0,(VLOOKUP(I124,'Actuator Reference'!$A$2:$H$54,7)),"-")</f>
        <v>24V</v>
      </c>
      <c r="T124" s="279" t="str">
        <f>IF(B124&gt;0,(VLOOKUP(I124,'Actuator Reference'!$A$2:$H$54,8)),"-")</f>
        <v>MT-Series</v>
      </c>
      <c r="AD124" s="41"/>
      <c r="AE124" s="41"/>
      <c r="AF124" s="35">
        <v>1</v>
      </c>
      <c r="AG124" s="35" t="s">
        <v>1097</v>
      </c>
      <c r="AH124" s="38" t="str">
        <f t="shared" si="6"/>
        <v>259-02038</v>
      </c>
      <c r="AI124" s="264" t="e">
        <f t="shared" si="7"/>
        <v>#REF!</v>
      </c>
    </row>
    <row r="125" spans="1:35" ht="14.25">
      <c r="A125" s="275" t="e">
        <f>'Box Schedule'!#REF!</f>
        <v>#REF!</v>
      </c>
      <c r="B125" s="262">
        <v>5</v>
      </c>
      <c r="C125" s="229" t="str">
        <f>IF((B125&gt;0),(VLOOKUP(J125,'Valve Reference'!$A$2:$K$389,3)),"-")</f>
        <v>0.5</v>
      </c>
      <c r="D125" s="230" t="s">
        <v>577</v>
      </c>
      <c r="E125" s="231">
        <f>IF((B125&gt;0),('Vlookup Tables'!$B$37),"-")</f>
        <v>5</v>
      </c>
      <c r="F125" s="51">
        <f t="shared" si="4"/>
        <v>2.2360679774997898</v>
      </c>
      <c r="G125" s="228">
        <f>IF((B125&gt;0),(VLOOKUP($B125,'Vlookup Tables'!$B$23:$F$33,2,TRUE)),"-")</f>
        <v>2.5</v>
      </c>
      <c r="H125" s="52">
        <f t="shared" si="5"/>
        <v>4</v>
      </c>
      <c r="I125" s="50">
        <f>IF((B125&gt;0),('Vlookup Tables'!$B$35),"-")</f>
        <v>259</v>
      </c>
      <c r="J125" s="265" t="str">
        <f>IF(B125&gt;0,(IF(D125="2-Way",VLOOKUP($G125,'Vlookup Tables'!$C$23:$F$33,2,FALSE),VLOOKUP($G125,'Vlookup Tables'!$C$23:$F$33,3,FALSE))),"-")</f>
        <v>02038</v>
      </c>
      <c r="K125" s="276" t="str">
        <f>IF(B125&gt;0,(VLOOKUP(J125,'Valve Reference'!$A$2:$K$389,4)),"-")</f>
        <v>Standard</v>
      </c>
      <c r="L125" s="276" t="str">
        <f>IF(B125&gt;0,(VLOOKUP(J125,'Valve Reference'!$A$2:$K$389,5)),"-")</f>
        <v>BR</v>
      </c>
      <c r="M125" s="276" t="str">
        <f>IF(B125&gt;0,(VLOOKUP(J125,'Valve Reference'!$A$2:$K$389,8)),"-")</f>
        <v>Linear</v>
      </c>
      <c r="N125" s="276" t="str">
        <f>IF(B125&gt;0,(VLOOKUP(J125,'Valve Reference'!$A$2:$K$389,10)),"-")</f>
        <v>FxF</v>
      </c>
      <c r="O125" s="277" t="str">
        <f>IF(B125&gt;0,(VLOOKUP(J125,'Valve Reference'!$A$2:$K$389,11)),"-")</f>
        <v>Globe-Powermite</v>
      </c>
      <c r="P125" s="278" t="str">
        <f>IF(B125&gt;0,(VLOOKUP(I125,'Actuator Reference'!$A$2:$H$54,2)),"-")</f>
        <v>SSC81U</v>
      </c>
      <c r="Q125" s="278" t="str">
        <f>IF(B125&gt;0,(VLOOKUP(I125,'Actuator Reference'!$A$2:$H$54,5)),"-")</f>
        <v>Float</v>
      </c>
      <c r="R125" s="278" t="str">
        <f>IF(B125&gt;0,(VLOOKUP(I125,'Actuator Reference'!$A$2:$H$54,6)),"-")</f>
        <v>NSR</v>
      </c>
      <c r="S125" s="278" t="str">
        <f>IF(B125&gt;0,(VLOOKUP(I125,'Actuator Reference'!$A$2:$H$54,7)),"-")</f>
        <v>24V</v>
      </c>
      <c r="T125" s="279" t="str">
        <f>IF(B125&gt;0,(VLOOKUP(I125,'Actuator Reference'!$A$2:$H$54,8)),"-")</f>
        <v>MT-Series</v>
      </c>
      <c r="AD125" s="41"/>
      <c r="AE125" s="41"/>
      <c r="AF125" s="35">
        <v>1</v>
      </c>
      <c r="AG125" s="35" t="s">
        <v>1097</v>
      </c>
      <c r="AH125" s="38" t="str">
        <f t="shared" si="6"/>
        <v>259-02038</v>
      </c>
      <c r="AI125" s="264" t="e">
        <f t="shared" si="7"/>
        <v>#REF!</v>
      </c>
    </row>
    <row r="126" spans="1:35" ht="14.25">
      <c r="A126" s="275" t="e">
        <f>'Box Schedule'!#REF!</f>
        <v>#REF!</v>
      </c>
      <c r="B126" s="262">
        <v>6</v>
      </c>
      <c r="C126" s="229" t="str">
        <f>IF((B126&gt;0),(VLOOKUP(J126,'Valve Reference'!$A$2:$K$389,3)),"-")</f>
        <v>0.5</v>
      </c>
      <c r="D126" s="230" t="s">
        <v>577</v>
      </c>
      <c r="E126" s="231">
        <f>IF((B126&gt;0),('Vlookup Tables'!$B$37),"-")</f>
        <v>5</v>
      </c>
      <c r="F126" s="51">
        <f t="shared" si="4"/>
        <v>2.6832815729997477</v>
      </c>
      <c r="G126" s="228">
        <f>IF((B126&gt;0),(VLOOKUP($B126,'Vlookup Tables'!$B$23:$F$33,2,TRUE)),"-")</f>
        <v>4</v>
      </c>
      <c r="H126" s="52">
        <f t="shared" si="5"/>
        <v>2.25</v>
      </c>
      <c r="I126" s="50">
        <f>IF((B126&gt;0),('Vlookup Tables'!$B$35),"-")</f>
        <v>259</v>
      </c>
      <c r="J126" s="265" t="str">
        <f>IF(B126&gt;0,(IF(D126="2-Way",VLOOKUP($G126,'Vlookup Tables'!$C$23:$F$33,2,FALSE),VLOOKUP($G126,'Vlookup Tables'!$C$23:$F$33,3,FALSE))),"-")</f>
        <v>02041</v>
      </c>
      <c r="K126" s="276" t="str">
        <f>IF(B126&gt;0,(VLOOKUP(J126,'Valve Reference'!$A$2:$K$389,4)),"-")</f>
        <v>Standard</v>
      </c>
      <c r="L126" s="276" t="str">
        <f>IF(B126&gt;0,(VLOOKUP(J126,'Valve Reference'!$A$2:$K$389,5)),"-")</f>
        <v>BR</v>
      </c>
      <c r="M126" s="276" t="str">
        <f>IF(B126&gt;0,(VLOOKUP(J126,'Valve Reference'!$A$2:$K$389,8)),"-")</f>
        <v>Linear</v>
      </c>
      <c r="N126" s="276" t="str">
        <f>IF(B126&gt;0,(VLOOKUP(J126,'Valve Reference'!$A$2:$K$389,10)),"-")</f>
        <v>FxF</v>
      </c>
      <c r="O126" s="277" t="str">
        <f>IF(B126&gt;0,(VLOOKUP(J126,'Valve Reference'!$A$2:$K$389,11)),"-")</f>
        <v>Globe-Powermite</v>
      </c>
      <c r="P126" s="278" t="str">
        <f>IF(B126&gt;0,(VLOOKUP(I126,'Actuator Reference'!$A$2:$H$54,2)),"-")</f>
        <v>SSC81U</v>
      </c>
      <c r="Q126" s="278" t="str">
        <f>IF(B126&gt;0,(VLOOKUP(I126,'Actuator Reference'!$A$2:$H$54,5)),"-")</f>
        <v>Float</v>
      </c>
      <c r="R126" s="278" t="str">
        <f>IF(B126&gt;0,(VLOOKUP(I126,'Actuator Reference'!$A$2:$H$54,6)),"-")</f>
        <v>NSR</v>
      </c>
      <c r="S126" s="278" t="str">
        <f>IF(B126&gt;0,(VLOOKUP(I126,'Actuator Reference'!$A$2:$H$54,7)),"-")</f>
        <v>24V</v>
      </c>
      <c r="T126" s="279" t="str">
        <f>IF(B126&gt;0,(VLOOKUP(I126,'Actuator Reference'!$A$2:$H$54,8)),"-")</f>
        <v>MT-Series</v>
      </c>
      <c r="AD126" s="41"/>
      <c r="AE126" s="41"/>
      <c r="AF126" s="35">
        <v>1</v>
      </c>
      <c r="AG126" s="35" t="s">
        <v>1097</v>
      </c>
      <c r="AH126" s="38" t="str">
        <f t="shared" si="6"/>
        <v>259-02041</v>
      </c>
      <c r="AI126" s="264" t="e">
        <f t="shared" si="7"/>
        <v>#REF!</v>
      </c>
    </row>
    <row r="127" spans="1:35" ht="14.25">
      <c r="A127" s="275" t="e">
        <f>'Box Schedule'!#REF!</f>
        <v>#REF!</v>
      </c>
      <c r="B127" s="262">
        <v>7</v>
      </c>
      <c r="C127" s="229" t="str">
        <f>IF((B127&gt;0),(VLOOKUP(J127,'Valve Reference'!$A$2:$K$389,3)),"-")</f>
        <v>0.5</v>
      </c>
      <c r="D127" s="230" t="s">
        <v>577</v>
      </c>
      <c r="E127" s="231">
        <f>IF((B127&gt;0),('Vlookup Tables'!$B$37),"-")</f>
        <v>5</v>
      </c>
      <c r="F127" s="51">
        <f t="shared" si="4"/>
        <v>3.1304951684997055</v>
      </c>
      <c r="G127" s="228">
        <f>IF((B127&gt;0),(VLOOKUP($B127,'Vlookup Tables'!$B$23:$F$33,2,TRUE)),"-")</f>
        <v>4</v>
      </c>
      <c r="H127" s="52">
        <f t="shared" si="5"/>
        <v>3.0625000000000004</v>
      </c>
      <c r="I127" s="50">
        <f>IF((B127&gt;0),('Vlookup Tables'!$B$35),"-")</f>
        <v>259</v>
      </c>
      <c r="J127" s="265" t="str">
        <f>IF(B127&gt;0,(IF(D127="2-Way",VLOOKUP($G127,'Vlookup Tables'!$C$23:$F$33,2,FALSE),VLOOKUP($G127,'Vlookup Tables'!$C$23:$F$33,3,FALSE))),"-")</f>
        <v>02041</v>
      </c>
      <c r="K127" s="276" t="str">
        <f>IF(B127&gt;0,(VLOOKUP(J127,'Valve Reference'!$A$2:$K$389,4)),"-")</f>
        <v>Standard</v>
      </c>
      <c r="L127" s="276" t="str">
        <f>IF(B127&gt;0,(VLOOKUP(J127,'Valve Reference'!$A$2:$K$389,5)),"-")</f>
        <v>BR</v>
      </c>
      <c r="M127" s="276" t="str">
        <f>IF(B127&gt;0,(VLOOKUP(J127,'Valve Reference'!$A$2:$K$389,8)),"-")</f>
        <v>Linear</v>
      </c>
      <c r="N127" s="276" t="str">
        <f>IF(B127&gt;0,(VLOOKUP(J127,'Valve Reference'!$A$2:$K$389,10)),"-")</f>
        <v>FxF</v>
      </c>
      <c r="O127" s="277" t="str">
        <f>IF(B127&gt;0,(VLOOKUP(J127,'Valve Reference'!$A$2:$K$389,11)),"-")</f>
        <v>Globe-Powermite</v>
      </c>
      <c r="P127" s="278" t="str">
        <f>IF(B127&gt;0,(VLOOKUP(I127,'Actuator Reference'!$A$2:$H$54,2)),"-")</f>
        <v>SSC81U</v>
      </c>
      <c r="Q127" s="278" t="str">
        <f>IF(B127&gt;0,(VLOOKUP(I127,'Actuator Reference'!$A$2:$H$54,5)),"-")</f>
        <v>Float</v>
      </c>
      <c r="R127" s="278" t="str">
        <f>IF(B127&gt;0,(VLOOKUP(I127,'Actuator Reference'!$A$2:$H$54,6)),"-")</f>
        <v>NSR</v>
      </c>
      <c r="S127" s="278" t="str">
        <f>IF(B127&gt;0,(VLOOKUP(I127,'Actuator Reference'!$A$2:$H$54,7)),"-")</f>
        <v>24V</v>
      </c>
      <c r="T127" s="279" t="str">
        <f>IF(B127&gt;0,(VLOOKUP(I127,'Actuator Reference'!$A$2:$H$54,8)),"-")</f>
        <v>MT-Series</v>
      </c>
      <c r="AD127" s="41"/>
      <c r="AE127" s="41"/>
      <c r="AF127" s="35">
        <v>1</v>
      </c>
      <c r="AG127" s="35" t="s">
        <v>1097</v>
      </c>
      <c r="AH127" s="38" t="str">
        <f t="shared" si="6"/>
        <v>259-02041</v>
      </c>
      <c r="AI127" s="264" t="e">
        <f t="shared" si="7"/>
        <v>#REF!</v>
      </c>
    </row>
    <row r="128" spans="1:35" ht="14.25">
      <c r="A128" s="275" t="e">
        <f>'Box Schedule'!#REF!</f>
        <v>#REF!</v>
      </c>
      <c r="B128" s="262">
        <v>8</v>
      </c>
      <c r="C128" s="229" t="str">
        <f>IF((B128&gt;0),(VLOOKUP(J128,'Valve Reference'!$A$2:$K$389,3)),"-")</f>
        <v>0.5</v>
      </c>
      <c r="D128" s="230" t="s">
        <v>577</v>
      </c>
      <c r="E128" s="231">
        <f>IF((B128&gt;0),('Vlookup Tables'!$B$37),"-")</f>
        <v>5</v>
      </c>
      <c r="F128" s="51">
        <f t="shared" si="4"/>
        <v>3.5777087639996634</v>
      </c>
      <c r="G128" s="228">
        <f>IF((B128&gt;0),(VLOOKUP($B128,'Vlookup Tables'!$B$23:$F$33,2,TRUE)),"-")</f>
        <v>4</v>
      </c>
      <c r="H128" s="52">
        <f t="shared" si="5"/>
        <v>4</v>
      </c>
      <c r="I128" s="50">
        <f>IF((B128&gt;0),('Vlookup Tables'!$B$35),"-")</f>
        <v>259</v>
      </c>
      <c r="J128" s="265" t="str">
        <f>IF(B128&gt;0,(IF(D128="2-Way",VLOOKUP($G128,'Vlookup Tables'!$C$23:$F$33,2,FALSE),VLOOKUP($G128,'Vlookup Tables'!$C$23:$F$33,3,FALSE))),"-")</f>
        <v>02041</v>
      </c>
      <c r="K128" s="276" t="str">
        <f>IF(B128&gt;0,(VLOOKUP(J128,'Valve Reference'!$A$2:$K$389,4)),"-")</f>
        <v>Standard</v>
      </c>
      <c r="L128" s="276" t="str">
        <f>IF(B128&gt;0,(VLOOKUP(J128,'Valve Reference'!$A$2:$K$389,5)),"-")</f>
        <v>BR</v>
      </c>
      <c r="M128" s="276" t="str">
        <f>IF(B128&gt;0,(VLOOKUP(J128,'Valve Reference'!$A$2:$K$389,8)),"-")</f>
        <v>Linear</v>
      </c>
      <c r="N128" s="276" t="str">
        <f>IF(B128&gt;0,(VLOOKUP(J128,'Valve Reference'!$A$2:$K$389,10)),"-")</f>
        <v>FxF</v>
      </c>
      <c r="O128" s="277" t="str">
        <f>IF(B128&gt;0,(VLOOKUP(J128,'Valve Reference'!$A$2:$K$389,11)),"-")</f>
        <v>Globe-Powermite</v>
      </c>
      <c r="P128" s="278" t="str">
        <f>IF(B128&gt;0,(VLOOKUP(I128,'Actuator Reference'!$A$2:$H$54,2)),"-")</f>
        <v>SSC81U</v>
      </c>
      <c r="Q128" s="278" t="str">
        <f>IF(B128&gt;0,(VLOOKUP(I128,'Actuator Reference'!$A$2:$H$54,5)),"-")</f>
        <v>Float</v>
      </c>
      <c r="R128" s="278" t="str">
        <f>IF(B128&gt;0,(VLOOKUP(I128,'Actuator Reference'!$A$2:$H$54,6)),"-")</f>
        <v>NSR</v>
      </c>
      <c r="S128" s="278" t="str">
        <f>IF(B128&gt;0,(VLOOKUP(I128,'Actuator Reference'!$A$2:$H$54,7)),"-")</f>
        <v>24V</v>
      </c>
      <c r="T128" s="279" t="str">
        <f>IF(B128&gt;0,(VLOOKUP(I128,'Actuator Reference'!$A$2:$H$54,8)),"-")</f>
        <v>MT-Series</v>
      </c>
      <c r="AD128" s="41"/>
      <c r="AE128" s="41"/>
      <c r="AF128" s="35">
        <v>1</v>
      </c>
      <c r="AG128" s="35" t="s">
        <v>1097</v>
      </c>
      <c r="AH128" s="38" t="str">
        <f t="shared" si="6"/>
        <v>259-02041</v>
      </c>
      <c r="AI128" s="264" t="e">
        <f t="shared" si="7"/>
        <v>#REF!</v>
      </c>
    </row>
    <row r="129" spans="1:35" ht="14.25">
      <c r="A129" s="275" t="e">
        <f>'Box Schedule'!#REF!</f>
        <v>#REF!</v>
      </c>
      <c r="B129" s="262">
        <v>9</v>
      </c>
      <c r="C129" s="229" t="str">
        <f>IF((B129&gt;0),(VLOOKUP(J129,'Valve Reference'!$A$2:$K$389,3)),"-")</f>
        <v>0.75</v>
      </c>
      <c r="D129" s="230" t="s">
        <v>577</v>
      </c>
      <c r="E129" s="231">
        <f>IF((B129&gt;0),('Vlookup Tables'!$B$37),"-")</f>
        <v>5</v>
      </c>
      <c r="F129" s="51">
        <f t="shared" si="4"/>
        <v>4.0249223594996213</v>
      </c>
      <c r="G129" s="228">
        <f>IF((B129&gt;0),(VLOOKUP($B129,'Vlookup Tables'!$B$23:$F$33,2,TRUE)),"-")</f>
        <v>6.3</v>
      </c>
      <c r="H129" s="52">
        <f t="shared" si="5"/>
        <v>2.0408163265306127</v>
      </c>
      <c r="I129" s="50">
        <f>IF((B129&gt;0),('Vlookup Tables'!$B$35),"-")</f>
        <v>259</v>
      </c>
      <c r="J129" s="265" t="str">
        <f>IF(B129&gt;0,(IF(D129="2-Way",VLOOKUP($G129,'Vlookup Tables'!$C$23:$F$33,2,FALSE),VLOOKUP($G129,'Vlookup Tables'!$C$23:$F$33,3,FALSE))),"-")</f>
        <v>02044</v>
      </c>
      <c r="K129" s="276" t="str">
        <f>IF(B129&gt;0,(VLOOKUP(J129,'Valve Reference'!$A$2:$K$389,4)),"-")</f>
        <v>Standard</v>
      </c>
      <c r="L129" s="276" t="str">
        <f>IF(B129&gt;0,(VLOOKUP(J129,'Valve Reference'!$A$2:$K$389,5)),"-")</f>
        <v>BR</v>
      </c>
      <c r="M129" s="276" t="str">
        <f>IF(B129&gt;0,(VLOOKUP(J129,'Valve Reference'!$A$2:$K$389,8)),"-")</f>
        <v>Linear</v>
      </c>
      <c r="N129" s="276" t="str">
        <f>IF(B129&gt;0,(VLOOKUP(J129,'Valve Reference'!$A$2:$K$389,10)),"-")</f>
        <v>FxF</v>
      </c>
      <c r="O129" s="277" t="str">
        <f>IF(B129&gt;0,(VLOOKUP(J129,'Valve Reference'!$A$2:$K$389,11)),"-")</f>
        <v>Globe-Powermite</v>
      </c>
      <c r="P129" s="278" t="str">
        <f>IF(B129&gt;0,(VLOOKUP(I129,'Actuator Reference'!$A$2:$H$54,2)),"-")</f>
        <v>SSC81U</v>
      </c>
      <c r="Q129" s="278" t="str">
        <f>IF(B129&gt;0,(VLOOKUP(I129,'Actuator Reference'!$A$2:$H$54,5)),"-")</f>
        <v>Float</v>
      </c>
      <c r="R129" s="278" t="str">
        <f>IF(B129&gt;0,(VLOOKUP(I129,'Actuator Reference'!$A$2:$H$54,6)),"-")</f>
        <v>NSR</v>
      </c>
      <c r="S129" s="278" t="str">
        <f>IF(B129&gt;0,(VLOOKUP(I129,'Actuator Reference'!$A$2:$H$54,7)),"-")</f>
        <v>24V</v>
      </c>
      <c r="T129" s="279" t="str">
        <f>IF(B129&gt;0,(VLOOKUP(I129,'Actuator Reference'!$A$2:$H$54,8)),"-")</f>
        <v>MT-Series</v>
      </c>
      <c r="AD129" s="41"/>
      <c r="AE129" s="41"/>
      <c r="AF129" s="35">
        <v>1</v>
      </c>
      <c r="AG129" s="35" t="s">
        <v>1097</v>
      </c>
      <c r="AH129" s="38" t="str">
        <f t="shared" si="6"/>
        <v>259-02044</v>
      </c>
      <c r="AI129" s="264" t="e">
        <f t="shared" si="7"/>
        <v>#REF!</v>
      </c>
    </row>
    <row r="130" spans="1:35" ht="14.25">
      <c r="A130" s="275" t="e">
        <f>'Box Schedule'!#REF!</f>
        <v>#REF!</v>
      </c>
      <c r="B130" s="262">
        <v>1</v>
      </c>
      <c r="C130" s="229" t="str">
        <f>IF((B130&gt;0),(VLOOKUP(J130,'Valve Reference'!$A$2:$K$389,3)),"-")</f>
        <v>0.5</v>
      </c>
      <c r="D130" s="230" t="s">
        <v>577</v>
      </c>
      <c r="E130" s="231">
        <f>IF((B130&gt;0),('Vlookup Tables'!$B$37),"-")</f>
        <v>5</v>
      </c>
      <c r="F130" s="51">
        <f t="shared" si="4"/>
        <v>0.44721359549995793</v>
      </c>
      <c r="G130" s="228">
        <f>IF((B130&gt;0),(VLOOKUP($B130,'Vlookup Tables'!$B$23:$F$33,2,TRUE)),"-")</f>
        <v>0.63</v>
      </c>
      <c r="H130" s="52">
        <f t="shared" si="5"/>
        <v>2.5195263290501382</v>
      </c>
      <c r="I130" s="50">
        <f>IF((B130&gt;0),('Vlookup Tables'!$B$35),"-")</f>
        <v>259</v>
      </c>
      <c r="J130" s="265" t="str">
        <f>IF(B130&gt;0,(IF(D130="2-Way",VLOOKUP($G130,'Vlookup Tables'!$C$23:$F$33,2,FALSE),VLOOKUP($G130,'Vlookup Tables'!$C$23:$F$33,3,FALSE))),"-")</f>
        <v>02032</v>
      </c>
      <c r="K130" s="276" t="str">
        <f>IF(B130&gt;0,(VLOOKUP(J130,'Valve Reference'!$A$2:$K$389,4)),"-")</f>
        <v>Standard</v>
      </c>
      <c r="L130" s="276" t="str">
        <f>IF(B130&gt;0,(VLOOKUP(J130,'Valve Reference'!$A$2:$K$389,5)),"-")</f>
        <v>BR</v>
      </c>
      <c r="M130" s="276" t="str">
        <f>IF(B130&gt;0,(VLOOKUP(J130,'Valve Reference'!$A$2:$K$389,8)),"-")</f>
        <v>Linear</v>
      </c>
      <c r="N130" s="276" t="str">
        <f>IF(B130&gt;0,(VLOOKUP(J130,'Valve Reference'!$A$2:$K$389,10)),"-")</f>
        <v>FxF</v>
      </c>
      <c r="O130" s="277" t="str">
        <f>IF(B130&gt;0,(VLOOKUP(J130,'Valve Reference'!$A$2:$K$389,11)),"-")</f>
        <v>Globe-Powermite</v>
      </c>
      <c r="P130" s="278" t="str">
        <f>IF(B130&gt;0,(VLOOKUP(I130,'Actuator Reference'!$A$2:$H$54,2)),"-")</f>
        <v>SSC81U</v>
      </c>
      <c r="Q130" s="278" t="str">
        <f>IF(B130&gt;0,(VLOOKUP(I130,'Actuator Reference'!$A$2:$H$54,5)),"-")</f>
        <v>Float</v>
      </c>
      <c r="R130" s="278" t="str">
        <f>IF(B130&gt;0,(VLOOKUP(I130,'Actuator Reference'!$A$2:$H$54,6)),"-")</f>
        <v>NSR</v>
      </c>
      <c r="S130" s="278" t="str">
        <f>IF(B130&gt;0,(VLOOKUP(I130,'Actuator Reference'!$A$2:$H$54,7)),"-")</f>
        <v>24V</v>
      </c>
      <c r="T130" s="279" t="str">
        <f>IF(B130&gt;0,(VLOOKUP(I130,'Actuator Reference'!$A$2:$H$54,8)),"-")</f>
        <v>MT-Series</v>
      </c>
      <c r="AD130" s="41"/>
      <c r="AE130" s="41"/>
      <c r="AF130" s="35">
        <v>1</v>
      </c>
      <c r="AG130" s="35" t="s">
        <v>1097</v>
      </c>
      <c r="AH130" s="38" t="str">
        <f t="shared" si="6"/>
        <v>259-02032</v>
      </c>
      <c r="AI130" s="264" t="e">
        <f t="shared" si="7"/>
        <v>#REF!</v>
      </c>
    </row>
    <row r="131" spans="1:35" ht="14.25">
      <c r="A131" s="275" t="e">
        <f>'Box Schedule'!#REF!</f>
        <v>#REF!</v>
      </c>
      <c r="B131" s="262">
        <v>2</v>
      </c>
      <c r="C131" s="229" t="str">
        <f>IF((B131&gt;0),(VLOOKUP(J131,'Valve Reference'!$A$2:$K$389,3)),"-")</f>
        <v>0.5</v>
      </c>
      <c r="D131" s="230" t="s">
        <v>577</v>
      </c>
      <c r="E131" s="231">
        <f>IF((B131&gt;0),('Vlookup Tables'!$B$37),"-")</f>
        <v>5</v>
      </c>
      <c r="F131" s="51">
        <f t="shared" si="4"/>
        <v>0.89442719099991586</v>
      </c>
      <c r="G131" s="228">
        <f>IF((B131&gt;0),(VLOOKUP($B131,'Vlookup Tables'!$B$23:$F$33,2,TRUE)),"-")</f>
        <v>1</v>
      </c>
      <c r="H131" s="52">
        <f t="shared" si="5"/>
        <v>4</v>
      </c>
      <c r="I131" s="50">
        <f>IF((B131&gt;0),('Vlookup Tables'!$B$35),"-")</f>
        <v>259</v>
      </c>
      <c r="J131" s="265" t="str">
        <f>IF(B131&gt;0,(IF(D131="2-Way",VLOOKUP($G131,'Vlookup Tables'!$C$23:$F$33,2,FALSE),VLOOKUP($G131,'Vlookup Tables'!$C$23:$F$33,3,FALSE))),"-")</f>
        <v>02034</v>
      </c>
      <c r="K131" s="276" t="str">
        <f>IF(B131&gt;0,(VLOOKUP(J131,'Valve Reference'!$A$2:$K$389,4)),"-")</f>
        <v>Standard</v>
      </c>
      <c r="L131" s="276" t="str">
        <f>IF(B131&gt;0,(VLOOKUP(J131,'Valve Reference'!$A$2:$K$389,5)),"-")</f>
        <v>BR</v>
      </c>
      <c r="M131" s="276" t="str">
        <f>IF(B131&gt;0,(VLOOKUP(J131,'Valve Reference'!$A$2:$K$389,8)),"-")</f>
        <v>Linear</v>
      </c>
      <c r="N131" s="276" t="str">
        <f>IF(B131&gt;0,(VLOOKUP(J131,'Valve Reference'!$A$2:$K$389,10)),"-")</f>
        <v>FxF</v>
      </c>
      <c r="O131" s="277" t="str">
        <f>IF(B131&gt;0,(VLOOKUP(J131,'Valve Reference'!$A$2:$K$389,11)),"-")</f>
        <v>Globe-Powermite</v>
      </c>
      <c r="P131" s="278" t="str">
        <f>IF(B131&gt;0,(VLOOKUP(I131,'Actuator Reference'!$A$2:$H$54,2)),"-")</f>
        <v>SSC81U</v>
      </c>
      <c r="Q131" s="278" t="str">
        <f>IF(B131&gt;0,(VLOOKUP(I131,'Actuator Reference'!$A$2:$H$54,5)),"-")</f>
        <v>Float</v>
      </c>
      <c r="R131" s="278" t="str">
        <f>IF(B131&gt;0,(VLOOKUP(I131,'Actuator Reference'!$A$2:$H$54,6)),"-")</f>
        <v>NSR</v>
      </c>
      <c r="S131" s="278" t="str">
        <f>IF(B131&gt;0,(VLOOKUP(I131,'Actuator Reference'!$A$2:$H$54,7)),"-")</f>
        <v>24V</v>
      </c>
      <c r="T131" s="279" t="str">
        <f>IF(B131&gt;0,(VLOOKUP(I131,'Actuator Reference'!$A$2:$H$54,8)),"-")</f>
        <v>MT-Series</v>
      </c>
      <c r="AD131" s="41"/>
      <c r="AE131" s="41"/>
      <c r="AF131" s="35">
        <v>1</v>
      </c>
      <c r="AG131" s="35" t="s">
        <v>1097</v>
      </c>
      <c r="AH131" s="38" t="str">
        <f t="shared" si="6"/>
        <v>259-02034</v>
      </c>
      <c r="AI131" s="264" t="e">
        <f t="shared" si="7"/>
        <v>#REF!</v>
      </c>
    </row>
    <row r="132" spans="1:35" ht="14.25">
      <c r="A132" s="275" t="e">
        <f>'Box Schedule'!#REF!</f>
        <v>#REF!</v>
      </c>
      <c r="B132" s="262">
        <v>3</v>
      </c>
      <c r="C132" s="229" t="str">
        <f>IF((B132&gt;0),(VLOOKUP(J132,'Valve Reference'!$A$2:$K$389,3)),"-")</f>
        <v>0.5</v>
      </c>
      <c r="D132" s="230" t="s">
        <v>577</v>
      </c>
      <c r="E132" s="231">
        <f>IF((B132&gt;0),('Vlookup Tables'!$B$37),"-")</f>
        <v>5</v>
      </c>
      <c r="F132" s="51">
        <f t="shared" si="4"/>
        <v>1.3416407864998738</v>
      </c>
      <c r="G132" s="228">
        <f>IF((B132&gt;0),(VLOOKUP($B132,'Vlookup Tables'!$B$23:$F$33,2,TRUE)),"-")</f>
        <v>1.6</v>
      </c>
      <c r="H132" s="52">
        <f t="shared" si="5"/>
        <v>3.515625</v>
      </c>
      <c r="I132" s="50">
        <f>IF((B132&gt;0),('Vlookup Tables'!$B$35),"-")</f>
        <v>259</v>
      </c>
      <c r="J132" s="265" t="str">
        <f>IF(B132&gt;0,(IF(D132="2-Way",VLOOKUP($G132,'Vlookup Tables'!$C$23:$F$33,2,FALSE),VLOOKUP($G132,'Vlookup Tables'!$C$23:$F$33,3,FALSE))),"-")</f>
        <v>02036</v>
      </c>
      <c r="K132" s="276" t="str">
        <f>IF(B132&gt;0,(VLOOKUP(J132,'Valve Reference'!$A$2:$K$389,4)),"-")</f>
        <v>Standard</v>
      </c>
      <c r="L132" s="276" t="str">
        <f>IF(B132&gt;0,(VLOOKUP(J132,'Valve Reference'!$A$2:$K$389,5)),"-")</f>
        <v>BR</v>
      </c>
      <c r="M132" s="276" t="str">
        <f>IF(B132&gt;0,(VLOOKUP(J132,'Valve Reference'!$A$2:$K$389,8)),"-")</f>
        <v>Linear</v>
      </c>
      <c r="N132" s="276" t="str">
        <f>IF(B132&gt;0,(VLOOKUP(J132,'Valve Reference'!$A$2:$K$389,10)),"-")</f>
        <v>FxF</v>
      </c>
      <c r="O132" s="277" t="str">
        <f>IF(B132&gt;0,(VLOOKUP(J132,'Valve Reference'!$A$2:$K$389,11)),"-")</f>
        <v>Globe-Powermite</v>
      </c>
      <c r="P132" s="278" t="str">
        <f>IF(B132&gt;0,(VLOOKUP(I132,'Actuator Reference'!$A$2:$H$54,2)),"-")</f>
        <v>SSC81U</v>
      </c>
      <c r="Q132" s="278" t="str">
        <f>IF(B132&gt;0,(VLOOKUP(I132,'Actuator Reference'!$A$2:$H$54,5)),"-")</f>
        <v>Float</v>
      </c>
      <c r="R132" s="278" t="str">
        <f>IF(B132&gt;0,(VLOOKUP(I132,'Actuator Reference'!$A$2:$H$54,6)),"-")</f>
        <v>NSR</v>
      </c>
      <c r="S132" s="278" t="str">
        <f>IF(B132&gt;0,(VLOOKUP(I132,'Actuator Reference'!$A$2:$H$54,7)),"-")</f>
        <v>24V</v>
      </c>
      <c r="T132" s="279" t="str">
        <f>IF(B132&gt;0,(VLOOKUP(I132,'Actuator Reference'!$A$2:$H$54,8)),"-")</f>
        <v>MT-Series</v>
      </c>
      <c r="AD132" s="41"/>
      <c r="AE132" s="41"/>
      <c r="AF132" s="35">
        <v>1</v>
      </c>
      <c r="AG132" s="35" t="s">
        <v>1097</v>
      </c>
      <c r="AH132" s="38" t="str">
        <f t="shared" si="6"/>
        <v>259-02036</v>
      </c>
      <c r="AI132" s="264" t="e">
        <f t="shared" si="7"/>
        <v>#REF!</v>
      </c>
    </row>
    <row r="133" spans="1:35" ht="14.25">
      <c r="A133" s="275" t="e">
        <f>'Box Schedule'!#REF!</f>
        <v>#REF!</v>
      </c>
      <c r="B133" s="262">
        <v>4</v>
      </c>
      <c r="C133" s="229" t="str">
        <f>IF((B133&gt;0),(VLOOKUP(J133,'Valve Reference'!$A$2:$K$389,3)),"-")</f>
        <v>0.5</v>
      </c>
      <c r="D133" s="230" t="s">
        <v>577</v>
      </c>
      <c r="E133" s="231">
        <f>IF((B133&gt;0),('Vlookup Tables'!$B$37),"-")</f>
        <v>5</v>
      </c>
      <c r="F133" s="51">
        <f t="shared" ref="F133:F196" si="8">IF((B133&gt;0),(B133/SQRT(E133)),"-")</f>
        <v>1.7888543819998317</v>
      </c>
      <c r="G133" s="228">
        <f>IF((B133&gt;0),(VLOOKUP($B133,'Vlookup Tables'!$B$23:$F$33,2,TRUE)),"-")</f>
        <v>2.5</v>
      </c>
      <c r="H133" s="52">
        <f t="shared" ref="H133:H196" si="9">IF((B133&gt;0),(1/((G133/B133)^2)),"-")</f>
        <v>2.56</v>
      </c>
      <c r="I133" s="50">
        <f>IF((B133&gt;0),('Vlookup Tables'!$B$35),"-")</f>
        <v>259</v>
      </c>
      <c r="J133" s="265" t="str">
        <f>IF(B133&gt;0,(IF(D133="2-Way",VLOOKUP($G133,'Vlookup Tables'!$C$23:$F$33,2,FALSE),VLOOKUP($G133,'Vlookup Tables'!$C$23:$F$33,3,FALSE))),"-")</f>
        <v>02038</v>
      </c>
      <c r="K133" s="276" t="str">
        <f>IF(B133&gt;0,(VLOOKUP(J133,'Valve Reference'!$A$2:$K$389,4)),"-")</f>
        <v>Standard</v>
      </c>
      <c r="L133" s="276" t="str">
        <f>IF(B133&gt;0,(VLOOKUP(J133,'Valve Reference'!$A$2:$K$389,5)),"-")</f>
        <v>BR</v>
      </c>
      <c r="M133" s="276" t="str">
        <f>IF(B133&gt;0,(VLOOKUP(J133,'Valve Reference'!$A$2:$K$389,8)),"-")</f>
        <v>Linear</v>
      </c>
      <c r="N133" s="276" t="str">
        <f>IF(B133&gt;0,(VLOOKUP(J133,'Valve Reference'!$A$2:$K$389,10)),"-")</f>
        <v>FxF</v>
      </c>
      <c r="O133" s="277" t="str">
        <f>IF(B133&gt;0,(VLOOKUP(J133,'Valve Reference'!$A$2:$K$389,11)),"-")</f>
        <v>Globe-Powermite</v>
      </c>
      <c r="P133" s="278" t="str">
        <f>IF(B133&gt;0,(VLOOKUP(I133,'Actuator Reference'!$A$2:$H$54,2)),"-")</f>
        <v>SSC81U</v>
      </c>
      <c r="Q133" s="278" t="str">
        <f>IF(B133&gt;0,(VLOOKUP(I133,'Actuator Reference'!$A$2:$H$54,5)),"-")</f>
        <v>Float</v>
      </c>
      <c r="R133" s="278" t="str">
        <f>IF(B133&gt;0,(VLOOKUP(I133,'Actuator Reference'!$A$2:$H$54,6)),"-")</f>
        <v>NSR</v>
      </c>
      <c r="S133" s="278" t="str">
        <f>IF(B133&gt;0,(VLOOKUP(I133,'Actuator Reference'!$A$2:$H$54,7)),"-")</f>
        <v>24V</v>
      </c>
      <c r="T133" s="279" t="str">
        <f>IF(B133&gt;0,(VLOOKUP(I133,'Actuator Reference'!$A$2:$H$54,8)),"-")</f>
        <v>MT-Series</v>
      </c>
      <c r="AD133" s="41"/>
      <c r="AE133" s="41"/>
      <c r="AF133" s="35">
        <v>1</v>
      </c>
      <c r="AG133" s="35" t="s">
        <v>1097</v>
      </c>
      <c r="AH133" s="38" t="str">
        <f t="shared" ref="AH133:AH197" si="10">CONCATENATE(I133,"-",J133)</f>
        <v>259-02038</v>
      </c>
      <c r="AI133" s="264" t="e">
        <f t="shared" ref="AI133:AI196" si="11">A133</f>
        <v>#REF!</v>
      </c>
    </row>
    <row r="134" spans="1:35" ht="14.25">
      <c r="A134" s="275" t="e">
        <f>'Box Schedule'!#REF!</f>
        <v>#REF!</v>
      </c>
      <c r="B134" s="262">
        <v>5</v>
      </c>
      <c r="C134" s="229" t="str">
        <f>IF((B134&gt;0),(VLOOKUP(J134,'Valve Reference'!$A$2:$K$389,3)),"-")</f>
        <v>0.5</v>
      </c>
      <c r="D134" s="230" t="s">
        <v>577</v>
      </c>
      <c r="E134" s="231">
        <f>IF((B134&gt;0),('Vlookup Tables'!$B$37),"-")</f>
        <v>5</v>
      </c>
      <c r="F134" s="51">
        <f t="shared" si="8"/>
        <v>2.2360679774997898</v>
      </c>
      <c r="G134" s="228">
        <f>IF((B134&gt;0),(VLOOKUP($B134,'Vlookup Tables'!$B$23:$F$33,2,TRUE)),"-")</f>
        <v>2.5</v>
      </c>
      <c r="H134" s="52">
        <f t="shared" si="9"/>
        <v>4</v>
      </c>
      <c r="I134" s="50">
        <f>IF((B134&gt;0),('Vlookup Tables'!$B$35),"-")</f>
        <v>259</v>
      </c>
      <c r="J134" s="265" t="str">
        <f>IF(B134&gt;0,(IF(D134="2-Way",VLOOKUP($G134,'Vlookup Tables'!$C$23:$F$33,2,FALSE),VLOOKUP($G134,'Vlookup Tables'!$C$23:$F$33,3,FALSE))),"-")</f>
        <v>02038</v>
      </c>
      <c r="K134" s="276" t="str">
        <f>IF(B134&gt;0,(VLOOKUP(J134,'Valve Reference'!$A$2:$K$389,4)),"-")</f>
        <v>Standard</v>
      </c>
      <c r="L134" s="276" t="str">
        <f>IF(B134&gt;0,(VLOOKUP(J134,'Valve Reference'!$A$2:$K$389,5)),"-")</f>
        <v>BR</v>
      </c>
      <c r="M134" s="276" t="str">
        <f>IF(B134&gt;0,(VLOOKUP(J134,'Valve Reference'!$A$2:$K$389,8)),"-")</f>
        <v>Linear</v>
      </c>
      <c r="N134" s="276" t="str">
        <f>IF(B134&gt;0,(VLOOKUP(J134,'Valve Reference'!$A$2:$K$389,10)),"-")</f>
        <v>FxF</v>
      </c>
      <c r="O134" s="277" t="str">
        <f>IF(B134&gt;0,(VLOOKUP(J134,'Valve Reference'!$A$2:$K$389,11)),"-")</f>
        <v>Globe-Powermite</v>
      </c>
      <c r="P134" s="278" t="str">
        <f>IF(B134&gt;0,(VLOOKUP(I134,'Actuator Reference'!$A$2:$H$54,2)),"-")</f>
        <v>SSC81U</v>
      </c>
      <c r="Q134" s="278" t="str">
        <f>IF(B134&gt;0,(VLOOKUP(I134,'Actuator Reference'!$A$2:$H$54,5)),"-")</f>
        <v>Float</v>
      </c>
      <c r="R134" s="278" t="str">
        <f>IF(B134&gt;0,(VLOOKUP(I134,'Actuator Reference'!$A$2:$H$54,6)),"-")</f>
        <v>NSR</v>
      </c>
      <c r="S134" s="278" t="str">
        <f>IF(B134&gt;0,(VLOOKUP(I134,'Actuator Reference'!$A$2:$H$54,7)),"-")</f>
        <v>24V</v>
      </c>
      <c r="T134" s="279" t="str">
        <f>IF(B134&gt;0,(VLOOKUP(I134,'Actuator Reference'!$A$2:$H$54,8)),"-")</f>
        <v>MT-Series</v>
      </c>
      <c r="AD134" s="41"/>
      <c r="AE134" s="41"/>
      <c r="AF134" s="35">
        <v>1</v>
      </c>
      <c r="AG134" s="35" t="s">
        <v>1097</v>
      </c>
      <c r="AH134" s="38" t="str">
        <f t="shared" si="10"/>
        <v>259-02038</v>
      </c>
      <c r="AI134" s="264" t="e">
        <f t="shared" si="11"/>
        <v>#REF!</v>
      </c>
    </row>
    <row r="135" spans="1:35" ht="14.25">
      <c r="A135" s="275" t="e">
        <f>'Box Schedule'!#REF!</f>
        <v>#REF!</v>
      </c>
      <c r="B135" s="262">
        <v>6</v>
      </c>
      <c r="C135" s="229" t="str">
        <f>IF((B135&gt;0),(VLOOKUP(J135,'Valve Reference'!$A$2:$K$389,3)),"-")</f>
        <v>0.5</v>
      </c>
      <c r="D135" s="230" t="s">
        <v>577</v>
      </c>
      <c r="E135" s="231">
        <f>IF((B135&gt;0),('Vlookup Tables'!$B$37),"-")</f>
        <v>5</v>
      </c>
      <c r="F135" s="51">
        <f t="shared" si="8"/>
        <v>2.6832815729997477</v>
      </c>
      <c r="G135" s="228">
        <f>IF((B135&gt;0),(VLOOKUP($B135,'Vlookup Tables'!$B$23:$F$33,2,TRUE)),"-")</f>
        <v>4</v>
      </c>
      <c r="H135" s="52">
        <f t="shared" si="9"/>
        <v>2.25</v>
      </c>
      <c r="I135" s="50">
        <f>IF((B135&gt;0),('Vlookup Tables'!$B$35),"-")</f>
        <v>259</v>
      </c>
      <c r="J135" s="265" t="str">
        <f>IF(B135&gt;0,(IF(D135="2-Way",VLOOKUP($G135,'Vlookup Tables'!$C$23:$F$33,2,FALSE),VLOOKUP($G135,'Vlookup Tables'!$C$23:$F$33,3,FALSE))),"-")</f>
        <v>02041</v>
      </c>
      <c r="K135" s="276" t="str">
        <f>IF(B135&gt;0,(VLOOKUP(J135,'Valve Reference'!$A$2:$K$389,4)),"-")</f>
        <v>Standard</v>
      </c>
      <c r="L135" s="276" t="str">
        <f>IF(B135&gt;0,(VLOOKUP(J135,'Valve Reference'!$A$2:$K$389,5)),"-")</f>
        <v>BR</v>
      </c>
      <c r="M135" s="276" t="str">
        <f>IF(B135&gt;0,(VLOOKUP(J135,'Valve Reference'!$A$2:$K$389,8)),"-")</f>
        <v>Linear</v>
      </c>
      <c r="N135" s="276" t="str">
        <f>IF(B135&gt;0,(VLOOKUP(J135,'Valve Reference'!$A$2:$K$389,10)),"-")</f>
        <v>FxF</v>
      </c>
      <c r="O135" s="277" t="str">
        <f>IF(B135&gt;0,(VLOOKUP(J135,'Valve Reference'!$A$2:$K$389,11)),"-")</f>
        <v>Globe-Powermite</v>
      </c>
      <c r="P135" s="278" t="str">
        <f>IF(B135&gt;0,(VLOOKUP(I135,'Actuator Reference'!$A$2:$H$54,2)),"-")</f>
        <v>SSC81U</v>
      </c>
      <c r="Q135" s="278" t="str">
        <f>IF(B135&gt;0,(VLOOKUP(I135,'Actuator Reference'!$A$2:$H$54,5)),"-")</f>
        <v>Float</v>
      </c>
      <c r="R135" s="278" t="str">
        <f>IF(B135&gt;0,(VLOOKUP(I135,'Actuator Reference'!$A$2:$H$54,6)),"-")</f>
        <v>NSR</v>
      </c>
      <c r="S135" s="278" t="str">
        <f>IF(B135&gt;0,(VLOOKUP(I135,'Actuator Reference'!$A$2:$H$54,7)),"-")</f>
        <v>24V</v>
      </c>
      <c r="T135" s="279" t="str">
        <f>IF(B135&gt;0,(VLOOKUP(I135,'Actuator Reference'!$A$2:$H$54,8)),"-")</f>
        <v>MT-Series</v>
      </c>
      <c r="AD135" s="41"/>
      <c r="AE135" s="41"/>
      <c r="AF135" s="35">
        <v>1</v>
      </c>
      <c r="AG135" s="35" t="s">
        <v>1097</v>
      </c>
      <c r="AH135" s="38" t="str">
        <f t="shared" si="10"/>
        <v>259-02041</v>
      </c>
      <c r="AI135" s="264" t="e">
        <f t="shared" si="11"/>
        <v>#REF!</v>
      </c>
    </row>
    <row r="136" spans="1:35" ht="14.25">
      <c r="A136" s="275" t="e">
        <f>'Box Schedule'!#REF!</f>
        <v>#REF!</v>
      </c>
      <c r="B136" s="262">
        <v>7</v>
      </c>
      <c r="C136" s="229" t="str">
        <f>IF((B136&gt;0),(VLOOKUP(J136,'Valve Reference'!$A$2:$K$389,3)),"-")</f>
        <v>0.5</v>
      </c>
      <c r="D136" s="230" t="s">
        <v>577</v>
      </c>
      <c r="E136" s="231">
        <f>IF((B136&gt;0),('Vlookup Tables'!$B$37),"-")</f>
        <v>5</v>
      </c>
      <c r="F136" s="51">
        <f t="shared" si="8"/>
        <v>3.1304951684997055</v>
      </c>
      <c r="G136" s="228">
        <f>IF((B136&gt;0),(VLOOKUP($B136,'Vlookup Tables'!$B$23:$F$33,2,TRUE)),"-")</f>
        <v>4</v>
      </c>
      <c r="H136" s="52">
        <f t="shared" si="9"/>
        <v>3.0625000000000004</v>
      </c>
      <c r="I136" s="50">
        <f>IF((B136&gt;0),('Vlookup Tables'!$B$35),"-")</f>
        <v>259</v>
      </c>
      <c r="J136" s="265" t="str">
        <f>IF(B136&gt;0,(IF(D136="2-Way",VLOOKUP($G136,'Vlookup Tables'!$C$23:$F$33,2,FALSE),VLOOKUP($G136,'Vlookup Tables'!$C$23:$F$33,3,FALSE))),"-")</f>
        <v>02041</v>
      </c>
      <c r="K136" s="276" t="str">
        <f>IF(B136&gt;0,(VLOOKUP(J136,'Valve Reference'!$A$2:$K$389,4)),"-")</f>
        <v>Standard</v>
      </c>
      <c r="L136" s="276" t="str">
        <f>IF(B136&gt;0,(VLOOKUP(J136,'Valve Reference'!$A$2:$K$389,5)),"-")</f>
        <v>BR</v>
      </c>
      <c r="M136" s="276" t="str">
        <f>IF(B136&gt;0,(VLOOKUP(J136,'Valve Reference'!$A$2:$K$389,8)),"-")</f>
        <v>Linear</v>
      </c>
      <c r="N136" s="276" t="str">
        <f>IF(B136&gt;0,(VLOOKUP(J136,'Valve Reference'!$A$2:$K$389,10)),"-")</f>
        <v>FxF</v>
      </c>
      <c r="O136" s="277" t="str">
        <f>IF(B136&gt;0,(VLOOKUP(J136,'Valve Reference'!$A$2:$K$389,11)),"-")</f>
        <v>Globe-Powermite</v>
      </c>
      <c r="P136" s="278" t="str">
        <f>IF(B136&gt;0,(VLOOKUP(I136,'Actuator Reference'!$A$2:$H$54,2)),"-")</f>
        <v>SSC81U</v>
      </c>
      <c r="Q136" s="278" t="str">
        <f>IF(B136&gt;0,(VLOOKUP(I136,'Actuator Reference'!$A$2:$H$54,5)),"-")</f>
        <v>Float</v>
      </c>
      <c r="R136" s="278" t="str">
        <f>IF(B136&gt;0,(VLOOKUP(I136,'Actuator Reference'!$A$2:$H$54,6)),"-")</f>
        <v>NSR</v>
      </c>
      <c r="S136" s="278" t="str">
        <f>IF(B136&gt;0,(VLOOKUP(I136,'Actuator Reference'!$A$2:$H$54,7)),"-")</f>
        <v>24V</v>
      </c>
      <c r="T136" s="279" t="str">
        <f>IF(B136&gt;0,(VLOOKUP(I136,'Actuator Reference'!$A$2:$H$54,8)),"-")</f>
        <v>MT-Series</v>
      </c>
      <c r="AD136" s="41"/>
      <c r="AE136" s="41"/>
      <c r="AF136" s="35">
        <v>1</v>
      </c>
      <c r="AG136" s="35" t="s">
        <v>1097</v>
      </c>
      <c r="AH136" s="38" t="str">
        <f t="shared" si="10"/>
        <v>259-02041</v>
      </c>
      <c r="AI136" s="264" t="e">
        <f t="shared" si="11"/>
        <v>#REF!</v>
      </c>
    </row>
    <row r="137" spans="1:35" ht="14.25">
      <c r="A137" s="275" t="e">
        <f>'Box Schedule'!#REF!</f>
        <v>#REF!</v>
      </c>
      <c r="B137" s="262">
        <v>8</v>
      </c>
      <c r="C137" s="229" t="str">
        <f>IF((B137&gt;0),(VLOOKUP(J137,'Valve Reference'!$A$2:$K$389,3)),"-")</f>
        <v>0.5</v>
      </c>
      <c r="D137" s="230" t="s">
        <v>577</v>
      </c>
      <c r="E137" s="231">
        <f>IF((B137&gt;0),('Vlookup Tables'!$B$37),"-")</f>
        <v>5</v>
      </c>
      <c r="F137" s="51">
        <f t="shared" si="8"/>
        <v>3.5777087639996634</v>
      </c>
      <c r="G137" s="228">
        <f>IF((B137&gt;0),(VLOOKUP($B137,'Vlookup Tables'!$B$23:$F$33,2,TRUE)),"-")</f>
        <v>4</v>
      </c>
      <c r="H137" s="52">
        <f t="shared" si="9"/>
        <v>4</v>
      </c>
      <c r="I137" s="50">
        <f>IF((B137&gt;0),('Vlookup Tables'!$B$35),"-")</f>
        <v>259</v>
      </c>
      <c r="J137" s="265" t="str">
        <f>IF(B137&gt;0,(IF(D137="2-Way",VLOOKUP($G137,'Vlookup Tables'!$C$23:$F$33,2,FALSE),VLOOKUP($G137,'Vlookup Tables'!$C$23:$F$33,3,FALSE))),"-")</f>
        <v>02041</v>
      </c>
      <c r="K137" s="276" t="str">
        <f>IF(B137&gt;0,(VLOOKUP(J137,'Valve Reference'!$A$2:$K$389,4)),"-")</f>
        <v>Standard</v>
      </c>
      <c r="L137" s="276" t="str">
        <f>IF(B137&gt;0,(VLOOKUP(J137,'Valve Reference'!$A$2:$K$389,5)),"-")</f>
        <v>BR</v>
      </c>
      <c r="M137" s="276" t="str">
        <f>IF(B137&gt;0,(VLOOKUP(J137,'Valve Reference'!$A$2:$K$389,8)),"-")</f>
        <v>Linear</v>
      </c>
      <c r="N137" s="276" t="str">
        <f>IF(B137&gt;0,(VLOOKUP(J137,'Valve Reference'!$A$2:$K$389,10)),"-")</f>
        <v>FxF</v>
      </c>
      <c r="O137" s="277" t="str">
        <f>IF(B137&gt;0,(VLOOKUP(J137,'Valve Reference'!$A$2:$K$389,11)),"-")</f>
        <v>Globe-Powermite</v>
      </c>
      <c r="P137" s="278" t="str">
        <f>IF(B137&gt;0,(VLOOKUP(I137,'Actuator Reference'!$A$2:$H$54,2)),"-")</f>
        <v>SSC81U</v>
      </c>
      <c r="Q137" s="278" t="str">
        <f>IF(B137&gt;0,(VLOOKUP(I137,'Actuator Reference'!$A$2:$H$54,5)),"-")</f>
        <v>Float</v>
      </c>
      <c r="R137" s="278" t="str">
        <f>IF(B137&gt;0,(VLOOKUP(I137,'Actuator Reference'!$A$2:$H$54,6)),"-")</f>
        <v>NSR</v>
      </c>
      <c r="S137" s="278" t="str">
        <f>IF(B137&gt;0,(VLOOKUP(I137,'Actuator Reference'!$A$2:$H$54,7)),"-")</f>
        <v>24V</v>
      </c>
      <c r="T137" s="279" t="str">
        <f>IF(B137&gt;0,(VLOOKUP(I137,'Actuator Reference'!$A$2:$H$54,8)),"-")</f>
        <v>MT-Series</v>
      </c>
      <c r="AD137" s="41"/>
      <c r="AE137" s="41"/>
      <c r="AF137" s="35">
        <v>1</v>
      </c>
      <c r="AG137" s="35" t="s">
        <v>1097</v>
      </c>
      <c r="AH137" s="38" t="str">
        <f t="shared" si="10"/>
        <v>259-02041</v>
      </c>
      <c r="AI137" s="264" t="e">
        <f t="shared" si="11"/>
        <v>#REF!</v>
      </c>
    </row>
    <row r="138" spans="1:35" ht="14.25">
      <c r="A138" s="275" t="e">
        <f>'Box Schedule'!#REF!</f>
        <v>#REF!</v>
      </c>
      <c r="B138" s="262">
        <v>9</v>
      </c>
      <c r="C138" s="229" t="str">
        <f>IF((B138&gt;0),(VLOOKUP(J138,'Valve Reference'!$A$2:$K$389,3)),"-")</f>
        <v>0.75</v>
      </c>
      <c r="D138" s="230" t="s">
        <v>577</v>
      </c>
      <c r="E138" s="231">
        <f>IF((B138&gt;0),('Vlookup Tables'!$B$37),"-")</f>
        <v>5</v>
      </c>
      <c r="F138" s="51">
        <f t="shared" si="8"/>
        <v>4.0249223594996213</v>
      </c>
      <c r="G138" s="228">
        <f>IF((B138&gt;0),(VLOOKUP($B138,'Vlookup Tables'!$B$23:$F$33,2,TRUE)),"-")</f>
        <v>6.3</v>
      </c>
      <c r="H138" s="52">
        <f t="shared" si="9"/>
        <v>2.0408163265306127</v>
      </c>
      <c r="I138" s="50">
        <f>IF((B138&gt;0),('Vlookup Tables'!$B$35),"-")</f>
        <v>259</v>
      </c>
      <c r="J138" s="265" t="str">
        <f>IF(B138&gt;0,(IF(D138="2-Way",VLOOKUP($G138,'Vlookup Tables'!$C$23:$F$33,2,FALSE),VLOOKUP($G138,'Vlookup Tables'!$C$23:$F$33,3,FALSE))),"-")</f>
        <v>02044</v>
      </c>
      <c r="K138" s="276" t="str">
        <f>IF(B138&gt;0,(VLOOKUP(J138,'Valve Reference'!$A$2:$K$389,4)),"-")</f>
        <v>Standard</v>
      </c>
      <c r="L138" s="276" t="str">
        <f>IF(B138&gt;0,(VLOOKUP(J138,'Valve Reference'!$A$2:$K$389,5)),"-")</f>
        <v>BR</v>
      </c>
      <c r="M138" s="276" t="str">
        <f>IF(B138&gt;0,(VLOOKUP(J138,'Valve Reference'!$A$2:$K$389,8)),"-")</f>
        <v>Linear</v>
      </c>
      <c r="N138" s="276" t="str">
        <f>IF(B138&gt;0,(VLOOKUP(J138,'Valve Reference'!$A$2:$K$389,10)),"-")</f>
        <v>FxF</v>
      </c>
      <c r="O138" s="277" t="str">
        <f>IF(B138&gt;0,(VLOOKUP(J138,'Valve Reference'!$A$2:$K$389,11)),"-")</f>
        <v>Globe-Powermite</v>
      </c>
      <c r="P138" s="278" t="str">
        <f>IF(B138&gt;0,(VLOOKUP(I138,'Actuator Reference'!$A$2:$H$54,2)),"-")</f>
        <v>SSC81U</v>
      </c>
      <c r="Q138" s="278" t="str">
        <f>IF(B138&gt;0,(VLOOKUP(I138,'Actuator Reference'!$A$2:$H$54,5)),"-")</f>
        <v>Float</v>
      </c>
      <c r="R138" s="278" t="str">
        <f>IF(B138&gt;0,(VLOOKUP(I138,'Actuator Reference'!$A$2:$H$54,6)),"-")</f>
        <v>NSR</v>
      </c>
      <c r="S138" s="278" t="str">
        <f>IF(B138&gt;0,(VLOOKUP(I138,'Actuator Reference'!$A$2:$H$54,7)),"-")</f>
        <v>24V</v>
      </c>
      <c r="T138" s="279" t="str">
        <f>IF(B138&gt;0,(VLOOKUP(I138,'Actuator Reference'!$A$2:$H$54,8)),"-")</f>
        <v>MT-Series</v>
      </c>
      <c r="AD138" s="41"/>
      <c r="AE138" s="41"/>
      <c r="AF138" s="35">
        <v>1</v>
      </c>
      <c r="AG138" s="35" t="s">
        <v>1097</v>
      </c>
      <c r="AH138" s="38" t="str">
        <f t="shared" si="10"/>
        <v>259-02044</v>
      </c>
      <c r="AI138" s="264" t="e">
        <f t="shared" si="11"/>
        <v>#REF!</v>
      </c>
    </row>
    <row r="139" spans="1:35" ht="14.25">
      <c r="A139" s="275" t="e">
        <f>'Box Schedule'!#REF!</f>
        <v>#REF!</v>
      </c>
      <c r="B139" s="262">
        <v>1</v>
      </c>
      <c r="C139" s="229" t="str">
        <f>IF((B139&gt;0),(VLOOKUP(J139,'Valve Reference'!$A$2:$K$389,3)),"-")</f>
        <v>0.5</v>
      </c>
      <c r="D139" s="230" t="s">
        <v>577</v>
      </c>
      <c r="E139" s="231">
        <f>IF((B139&gt;0),('Vlookup Tables'!$B$37),"-")</f>
        <v>5</v>
      </c>
      <c r="F139" s="51">
        <f t="shared" si="8"/>
        <v>0.44721359549995793</v>
      </c>
      <c r="G139" s="228">
        <f>IF((B139&gt;0),(VLOOKUP($B139,'Vlookup Tables'!$B$23:$F$33,2,TRUE)),"-")</f>
        <v>0.63</v>
      </c>
      <c r="H139" s="52">
        <f t="shared" si="9"/>
        <v>2.5195263290501382</v>
      </c>
      <c r="I139" s="50">
        <f>IF((B139&gt;0),('Vlookup Tables'!$B$35),"-")</f>
        <v>259</v>
      </c>
      <c r="J139" s="265" t="str">
        <f>IF(B139&gt;0,(IF(D139="2-Way",VLOOKUP($G139,'Vlookup Tables'!$C$23:$F$33,2,FALSE),VLOOKUP($G139,'Vlookup Tables'!$C$23:$F$33,3,FALSE))),"-")</f>
        <v>02032</v>
      </c>
      <c r="K139" s="276" t="str">
        <f>IF(B139&gt;0,(VLOOKUP(J139,'Valve Reference'!$A$2:$K$389,4)),"-")</f>
        <v>Standard</v>
      </c>
      <c r="L139" s="276" t="str">
        <f>IF(B139&gt;0,(VLOOKUP(J139,'Valve Reference'!$A$2:$K$389,5)),"-")</f>
        <v>BR</v>
      </c>
      <c r="M139" s="276" t="str">
        <f>IF(B139&gt;0,(VLOOKUP(J139,'Valve Reference'!$A$2:$K$389,8)),"-")</f>
        <v>Linear</v>
      </c>
      <c r="N139" s="276" t="str">
        <f>IF(B139&gt;0,(VLOOKUP(J139,'Valve Reference'!$A$2:$K$389,10)),"-")</f>
        <v>FxF</v>
      </c>
      <c r="O139" s="277" t="str">
        <f>IF(B139&gt;0,(VLOOKUP(J139,'Valve Reference'!$A$2:$K$389,11)),"-")</f>
        <v>Globe-Powermite</v>
      </c>
      <c r="P139" s="278" t="str">
        <f>IF(B139&gt;0,(VLOOKUP(I139,'Actuator Reference'!$A$2:$H$54,2)),"-")</f>
        <v>SSC81U</v>
      </c>
      <c r="Q139" s="278" t="str">
        <f>IF(B139&gt;0,(VLOOKUP(I139,'Actuator Reference'!$A$2:$H$54,5)),"-")</f>
        <v>Float</v>
      </c>
      <c r="R139" s="278" t="str">
        <f>IF(B139&gt;0,(VLOOKUP(I139,'Actuator Reference'!$A$2:$H$54,6)),"-")</f>
        <v>NSR</v>
      </c>
      <c r="S139" s="278" t="str">
        <f>IF(B139&gt;0,(VLOOKUP(I139,'Actuator Reference'!$A$2:$H$54,7)),"-")</f>
        <v>24V</v>
      </c>
      <c r="T139" s="279" t="str">
        <f>IF(B139&gt;0,(VLOOKUP(I139,'Actuator Reference'!$A$2:$H$54,8)),"-")</f>
        <v>MT-Series</v>
      </c>
      <c r="AD139" s="41"/>
      <c r="AE139" s="41"/>
      <c r="AF139" s="35">
        <v>1</v>
      </c>
      <c r="AG139" s="35" t="s">
        <v>1097</v>
      </c>
      <c r="AH139" s="38" t="str">
        <f t="shared" si="10"/>
        <v>259-02032</v>
      </c>
      <c r="AI139" s="264" t="e">
        <f t="shared" si="11"/>
        <v>#REF!</v>
      </c>
    </row>
    <row r="140" spans="1:35" ht="14.25">
      <c r="A140" s="275" t="e">
        <f>'Box Schedule'!#REF!</f>
        <v>#REF!</v>
      </c>
      <c r="B140" s="262">
        <v>2</v>
      </c>
      <c r="C140" s="229" t="str">
        <f>IF((B140&gt;0),(VLOOKUP(J140,'Valve Reference'!$A$2:$K$389,3)),"-")</f>
        <v>0.5</v>
      </c>
      <c r="D140" s="230" t="s">
        <v>577</v>
      </c>
      <c r="E140" s="231">
        <f>IF((B140&gt;0),('Vlookup Tables'!$B$37),"-")</f>
        <v>5</v>
      </c>
      <c r="F140" s="51">
        <f t="shared" si="8"/>
        <v>0.89442719099991586</v>
      </c>
      <c r="G140" s="228">
        <f>IF((B140&gt;0),(VLOOKUP($B140,'Vlookup Tables'!$B$23:$F$33,2,TRUE)),"-")</f>
        <v>1</v>
      </c>
      <c r="H140" s="52">
        <f t="shared" si="9"/>
        <v>4</v>
      </c>
      <c r="I140" s="50">
        <f>IF((B140&gt;0),('Vlookup Tables'!$B$35),"-")</f>
        <v>259</v>
      </c>
      <c r="J140" s="265" t="str">
        <f>IF(B140&gt;0,(IF(D140="2-Way",VLOOKUP($G140,'Vlookup Tables'!$C$23:$F$33,2,FALSE),VLOOKUP($G140,'Vlookup Tables'!$C$23:$F$33,3,FALSE))),"-")</f>
        <v>02034</v>
      </c>
      <c r="K140" s="276" t="str">
        <f>IF(B140&gt;0,(VLOOKUP(J140,'Valve Reference'!$A$2:$K$389,4)),"-")</f>
        <v>Standard</v>
      </c>
      <c r="L140" s="276" t="str">
        <f>IF(B140&gt;0,(VLOOKUP(J140,'Valve Reference'!$A$2:$K$389,5)),"-")</f>
        <v>BR</v>
      </c>
      <c r="M140" s="276" t="str">
        <f>IF(B140&gt;0,(VLOOKUP(J140,'Valve Reference'!$A$2:$K$389,8)),"-")</f>
        <v>Linear</v>
      </c>
      <c r="N140" s="276" t="str">
        <f>IF(B140&gt;0,(VLOOKUP(J140,'Valve Reference'!$A$2:$K$389,10)),"-")</f>
        <v>FxF</v>
      </c>
      <c r="O140" s="277" t="str">
        <f>IF(B140&gt;0,(VLOOKUP(J140,'Valve Reference'!$A$2:$K$389,11)),"-")</f>
        <v>Globe-Powermite</v>
      </c>
      <c r="P140" s="278" t="str">
        <f>IF(B140&gt;0,(VLOOKUP(I140,'Actuator Reference'!$A$2:$H$54,2)),"-")</f>
        <v>SSC81U</v>
      </c>
      <c r="Q140" s="278" t="str">
        <f>IF(B140&gt;0,(VLOOKUP(I140,'Actuator Reference'!$A$2:$H$54,5)),"-")</f>
        <v>Float</v>
      </c>
      <c r="R140" s="278" t="str">
        <f>IF(B140&gt;0,(VLOOKUP(I140,'Actuator Reference'!$A$2:$H$54,6)),"-")</f>
        <v>NSR</v>
      </c>
      <c r="S140" s="278" t="str">
        <f>IF(B140&gt;0,(VLOOKUP(I140,'Actuator Reference'!$A$2:$H$54,7)),"-")</f>
        <v>24V</v>
      </c>
      <c r="T140" s="279" t="str">
        <f>IF(B140&gt;0,(VLOOKUP(I140,'Actuator Reference'!$A$2:$H$54,8)),"-")</f>
        <v>MT-Series</v>
      </c>
      <c r="AD140" s="41"/>
      <c r="AE140" s="41"/>
      <c r="AF140" s="35">
        <v>1</v>
      </c>
      <c r="AG140" s="35" t="s">
        <v>1097</v>
      </c>
      <c r="AH140" s="38" t="str">
        <f t="shared" si="10"/>
        <v>259-02034</v>
      </c>
      <c r="AI140" s="264" t="e">
        <f t="shared" si="11"/>
        <v>#REF!</v>
      </c>
    </row>
    <row r="141" spans="1:35" ht="14.25">
      <c r="A141" s="275" t="e">
        <f>'Box Schedule'!#REF!</f>
        <v>#REF!</v>
      </c>
      <c r="B141" s="262">
        <v>3</v>
      </c>
      <c r="C141" s="229" t="str">
        <f>IF((B141&gt;0),(VLOOKUP(J141,'Valve Reference'!$A$2:$K$389,3)),"-")</f>
        <v>0.5</v>
      </c>
      <c r="D141" s="230" t="s">
        <v>577</v>
      </c>
      <c r="E141" s="231">
        <f>IF((B141&gt;0),('Vlookup Tables'!$B$37),"-")</f>
        <v>5</v>
      </c>
      <c r="F141" s="51">
        <f t="shared" si="8"/>
        <v>1.3416407864998738</v>
      </c>
      <c r="G141" s="228">
        <f>IF((B141&gt;0),(VLOOKUP($B141,'Vlookup Tables'!$B$23:$F$33,2,TRUE)),"-")</f>
        <v>1.6</v>
      </c>
      <c r="H141" s="52">
        <f t="shared" si="9"/>
        <v>3.515625</v>
      </c>
      <c r="I141" s="50">
        <f>IF((B141&gt;0),('Vlookup Tables'!$B$35),"-")</f>
        <v>259</v>
      </c>
      <c r="J141" s="265" t="str">
        <f>IF(B141&gt;0,(IF(D141="2-Way",VLOOKUP($G141,'Vlookup Tables'!$C$23:$F$33,2,FALSE),VLOOKUP($G141,'Vlookup Tables'!$C$23:$F$33,3,FALSE))),"-")</f>
        <v>02036</v>
      </c>
      <c r="K141" s="276" t="str">
        <f>IF(B141&gt;0,(VLOOKUP(J141,'Valve Reference'!$A$2:$K$389,4)),"-")</f>
        <v>Standard</v>
      </c>
      <c r="L141" s="276" t="str">
        <f>IF(B141&gt;0,(VLOOKUP(J141,'Valve Reference'!$A$2:$K$389,5)),"-")</f>
        <v>BR</v>
      </c>
      <c r="M141" s="276" t="str">
        <f>IF(B141&gt;0,(VLOOKUP(J141,'Valve Reference'!$A$2:$K$389,8)),"-")</f>
        <v>Linear</v>
      </c>
      <c r="N141" s="276" t="str">
        <f>IF(B141&gt;0,(VLOOKUP(J141,'Valve Reference'!$A$2:$K$389,10)),"-")</f>
        <v>FxF</v>
      </c>
      <c r="O141" s="277" t="str">
        <f>IF(B141&gt;0,(VLOOKUP(J141,'Valve Reference'!$A$2:$K$389,11)),"-")</f>
        <v>Globe-Powermite</v>
      </c>
      <c r="P141" s="278" t="str">
        <f>IF(B141&gt;0,(VLOOKUP(I141,'Actuator Reference'!$A$2:$H$54,2)),"-")</f>
        <v>SSC81U</v>
      </c>
      <c r="Q141" s="278" t="str">
        <f>IF(B141&gt;0,(VLOOKUP(I141,'Actuator Reference'!$A$2:$H$54,5)),"-")</f>
        <v>Float</v>
      </c>
      <c r="R141" s="278" t="str">
        <f>IF(B141&gt;0,(VLOOKUP(I141,'Actuator Reference'!$A$2:$H$54,6)),"-")</f>
        <v>NSR</v>
      </c>
      <c r="S141" s="278" t="str">
        <f>IF(B141&gt;0,(VLOOKUP(I141,'Actuator Reference'!$A$2:$H$54,7)),"-")</f>
        <v>24V</v>
      </c>
      <c r="T141" s="279" t="str">
        <f>IF(B141&gt;0,(VLOOKUP(I141,'Actuator Reference'!$A$2:$H$54,8)),"-")</f>
        <v>MT-Series</v>
      </c>
      <c r="AD141" s="41"/>
      <c r="AE141" s="41"/>
      <c r="AF141" s="35">
        <v>1</v>
      </c>
      <c r="AG141" s="35" t="s">
        <v>1097</v>
      </c>
      <c r="AH141" s="38" t="str">
        <f t="shared" si="10"/>
        <v>259-02036</v>
      </c>
      <c r="AI141" s="264" t="e">
        <f t="shared" si="11"/>
        <v>#REF!</v>
      </c>
    </row>
    <row r="142" spans="1:35" ht="14.25">
      <c r="A142" s="275" t="e">
        <f>'Box Schedule'!#REF!</f>
        <v>#REF!</v>
      </c>
      <c r="B142" s="262">
        <v>4</v>
      </c>
      <c r="C142" s="229" t="str">
        <f>IF((B142&gt;0),(VLOOKUP(J142,'Valve Reference'!$A$2:$K$389,3)),"-")</f>
        <v>0.5</v>
      </c>
      <c r="D142" s="230" t="s">
        <v>577</v>
      </c>
      <c r="E142" s="231">
        <f>IF((B142&gt;0),('Vlookup Tables'!$B$37),"-")</f>
        <v>5</v>
      </c>
      <c r="F142" s="51">
        <f t="shared" si="8"/>
        <v>1.7888543819998317</v>
      </c>
      <c r="G142" s="228">
        <f>IF((B142&gt;0),(VLOOKUP($B142,'Vlookup Tables'!$B$23:$F$33,2,TRUE)),"-")</f>
        <v>2.5</v>
      </c>
      <c r="H142" s="52">
        <f t="shared" si="9"/>
        <v>2.56</v>
      </c>
      <c r="I142" s="50">
        <f>IF((B142&gt;0),('Vlookup Tables'!$B$35),"-")</f>
        <v>259</v>
      </c>
      <c r="J142" s="265" t="str">
        <f>IF(B142&gt;0,(IF(D142="2-Way",VLOOKUP($G142,'Vlookup Tables'!$C$23:$F$33,2,FALSE),VLOOKUP($G142,'Vlookup Tables'!$C$23:$F$33,3,FALSE))),"-")</f>
        <v>02038</v>
      </c>
      <c r="K142" s="276" t="str">
        <f>IF(B142&gt;0,(VLOOKUP(J142,'Valve Reference'!$A$2:$K$389,4)),"-")</f>
        <v>Standard</v>
      </c>
      <c r="L142" s="276" t="str">
        <f>IF(B142&gt;0,(VLOOKUP(J142,'Valve Reference'!$A$2:$K$389,5)),"-")</f>
        <v>BR</v>
      </c>
      <c r="M142" s="276" t="str">
        <f>IF(B142&gt;0,(VLOOKUP(J142,'Valve Reference'!$A$2:$K$389,8)),"-")</f>
        <v>Linear</v>
      </c>
      <c r="N142" s="276" t="str">
        <f>IF(B142&gt;0,(VLOOKUP(J142,'Valve Reference'!$A$2:$K$389,10)),"-")</f>
        <v>FxF</v>
      </c>
      <c r="O142" s="277" t="str">
        <f>IF(B142&gt;0,(VLOOKUP(J142,'Valve Reference'!$A$2:$K$389,11)),"-")</f>
        <v>Globe-Powermite</v>
      </c>
      <c r="P142" s="278" t="str">
        <f>IF(B142&gt;0,(VLOOKUP(I142,'Actuator Reference'!$A$2:$H$54,2)),"-")</f>
        <v>SSC81U</v>
      </c>
      <c r="Q142" s="278" t="str">
        <f>IF(B142&gt;0,(VLOOKUP(I142,'Actuator Reference'!$A$2:$H$54,5)),"-")</f>
        <v>Float</v>
      </c>
      <c r="R142" s="278" t="str">
        <f>IF(B142&gt;0,(VLOOKUP(I142,'Actuator Reference'!$A$2:$H$54,6)),"-")</f>
        <v>NSR</v>
      </c>
      <c r="S142" s="278" t="str">
        <f>IF(B142&gt;0,(VLOOKUP(I142,'Actuator Reference'!$A$2:$H$54,7)),"-")</f>
        <v>24V</v>
      </c>
      <c r="T142" s="279" t="str">
        <f>IF(B142&gt;0,(VLOOKUP(I142,'Actuator Reference'!$A$2:$H$54,8)),"-")</f>
        <v>MT-Series</v>
      </c>
      <c r="AD142" s="41"/>
      <c r="AE142" s="41"/>
      <c r="AF142" s="35">
        <v>1</v>
      </c>
      <c r="AG142" s="35" t="s">
        <v>1097</v>
      </c>
      <c r="AH142" s="38" t="str">
        <f t="shared" si="10"/>
        <v>259-02038</v>
      </c>
      <c r="AI142" s="264" t="e">
        <f t="shared" si="11"/>
        <v>#REF!</v>
      </c>
    </row>
    <row r="143" spans="1:35" ht="14.25">
      <c r="A143" s="275" t="e">
        <f>'Box Schedule'!#REF!</f>
        <v>#REF!</v>
      </c>
      <c r="B143" s="262">
        <v>5</v>
      </c>
      <c r="C143" s="229" t="str">
        <f>IF((B143&gt;0),(VLOOKUP(J143,'Valve Reference'!$A$2:$K$389,3)),"-")</f>
        <v>0.5</v>
      </c>
      <c r="D143" s="230" t="s">
        <v>577</v>
      </c>
      <c r="E143" s="231">
        <f>IF((B143&gt;0),('Vlookup Tables'!$B$37),"-")</f>
        <v>5</v>
      </c>
      <c r="F143" s="51">
        <f t="shared" si="8"/>
        <v>2.2360679774997898</v>
      </c>
      <c r="G143" s="228">
        <f>IF((B143&gt;0),(VLOOKUP($B143,'Vlookup Tables'!$B$23:$F$33,2,TRUE)),"-")</f>
        <v>2.5</v>
      </c>
      <c r="H143" s="52">
        <f t="shared" si="9"/>
        <v>4</v>
      </c>
      <c r="I143" s="50">
        <f>IF((B143&gt;0),('Vlookup Tables'!$B$35),"-")</f>
        <v>259</v>
      </c>
      <c r="J143" s="265" t="str">
        <f>IF(B143&gt;0,(IF(D143="2-Way",VLOOKUP($G143,'Vlookup Tables'!$C$23:$F$33,2,FALSE),VLOOKUP($G143,'Vlookup Tables'!$C$23:$F$33,3,FALSE))),"-")</f>
        <v>02038</v>
      </c>
      <c r="K143" s="276" t="str">
        <f>IF(B143&gt;0,(VLOOKUP(J143,'Valve Reference'!$A$2:$K$389,4)),"-")</f>
        <v>Standard</v>
      </c>
      <c r="L143" s="276" t="str">
        <f>IF(B143&gt;0,(VLOOKUP(J143,'Valve Reference'!$A$2:$K$389,5)),"-")</f>
        <v>BR</v>
      </c>
      <c r="M143" s="276" t="str">
        <f>IF(B143&gt;0,(VLOOKUP(J143,'Valve Reference'!$A$2:$K$389,8)),"-")</f>
        <v>Linear</v>
      </c>
      <c r="N143" s="276" t="str">
        <f>IF(B143&gt;0,(VLOOKUP(J143,'Valve Reference'!$A$2:$K$389,10)),"-")</f>
        <v>FxF</v>
      </c>
      <c r="O143" s="277" t="str">
        <f>IF(B143&gt;0,(VLOOKUP(J143,'Valve Reference'!$A$2:$K$389,11)),"-")</f>
        <v>Globe-Powermite</v>
      </c>
      <c r="P143" s="278" t="str">
        <f>IF(B143&gt;0,(VLOOKUP(I143,'Actuator Reference'!$A$2:$H$54,2)),"-")</f>
        <v>SSC81U</v>
      </c>
      <c r="Q143" s="278" t="str">
        <f>IF(B143&gt;0,(VLOOKUP(I143,'Actuator Reference'!$A$2:$H$54,5)),"-")</f>
        <v>Float</v>
      </c>
      <c r="R143" s="278" t="str">
        <f>IF(B143&gt;0,(VLOOKUP(I143,'Actuator Reference'!$A$2:$H$54,6)),"-")</f>
        <v>NSR</v>
      </c>
      <c r="S143" s="278" t="str">
        <f>IF(B143&gt;0,(VLOOKUP(I143,'Actuator Reference'!$A$2:$H$54,7)),"-")</f>
        <v>24V</v>
      </c>
      <c r="T143" s="279" t="str">
        <f>IF(B143&gt;0,(VLOOKUP(I143,'Actuator Reference'!$A$2:$H$54,8)),"-")</f>
        <v>MT-Series</v>
      </c>
      <c r="AD143" s="41"/>
      <c r="AE143" s="41"/>
      <c r="AF143" s="35">
        <v>1</v>
      </c>
      <c r="AG143" s="35" t="s">
        <v>1097</v>
      </c>
      <c r="AH143" s="38" t="str">
        <f t="shared" si="10"/>
        <v>259-02038</v>
      </c>
      <c r="AI143" s="264" t="e">
        <f t="shared" si="11"/>
        <v>#REF!</v>
      </c>
    </row>
    <row r="144" spans="1:35" ht="14.25">
      <c r="A144" s="275" t="e">
        <f>'Box Schedule'!#REF!</f>
        <v>#REF!</v>
      </c>
      <c r="B144" s="262">
        <v>6</v>
      </c>
      <c r="C144" s="229" t="str">
        <f>IF((B144&gt;0),(VLOOKUP(J144,'Valve Reference'!$A$2:$K$389,3)),"-")</f>
        <v>0.5</v>
      </c>
      <c r="D144" s="230" t="s">
        <v>577</v>
      </c>
      <c r="E144" s="231">
        <f>IF((B144&gt;0),('Vlookup Tables'!$B$37),"-")</f>
        <v>5</v>
      </c>
      <c r="F144" s="51">
        <f t="shared" si="8"/>
        <v>2.6832815729997477</v>
      </c>
      <c r="G144" s="228">
        <f>IF((B144&gt;0),(VLOOKUP($B144,'Vlookup Tables'!$B$23:$F$33,2,TRUE)),"-")</f>
        <v>4</v>
      </c>
      <c r="H144" s="52">
        <f t="shared" si="9"/>
        <v>2.25</v>
      </c>
      <c r="I144" s="50">
        <f>IF((B144&gt;0),('Vlookup Tables'!$B$35),"-")</f>
        <v>259</v>
      </c>
      <c r="J144" s="265" t="str">
        <f>IF(B144&gt;0,(IF(D144="2-Way",VLOOKUP($G144,'Vlookup Tables'!$C$23:$F$33,2,FALSE),VLOOKUP($G144,'Vlookup Tables'!$C$23:$F$33,3,FALSE))),"-")</f>
        <v>02041</v>
      </c>
      <c r="K144" s="276" t="str">
        <f>IF(B144&gt;0,(VLOOKUP(J144,'Valve Reference'!$A$2:$K$389,4)),"-")</f>
        <v>Standard</v>
      </c>
      <c r="L144" s="276" t="str">
        <f>IF(B144&gt;0,(VLOOKUP(J144,'Valve Reference'!$A$2:$K$389,5)),"-")</f>
        <v>BR</v>
      </c>
      <c r="M144" s="276" t="str">
        <f>IF(B144&gt;0,(VLOOKUP(J144,'Valve Reference'!$A$2:$K$389,8)),"-")</f>
        <v>Linear</v>
      </c>
      <c r="N144" s="276" t="str">
        <f>IF(B144&gt;0,(VLOOKUP(J144,'Valve Reference'!$A$2:$K$389,10)),"-")</f>
        <v>FxF</v>
      </c>
      <c r="O144" s="277" t="str">
        <f>IF(B144&gt;0,(VLOOKUP(J144,'Valve Reference'!$A$2:$K$389,11)),"-")</f>
        <v>Globe-Powermite</v>
      </c>
      <c r="P144" s="278" t="str">
        <f>IF(B144&gt;0,(VLOOKUP(I144,'Actuator Reference'!$A$2:$H$54,2)),"-")</f>
        <v>SSC81U</v>
      </c>
      <c r="Q144" s="278" t="str">
        <f>IF(B144&gt;0,(VLOOKUP(I144,'Actuator Reference'!$A$2:$H$54,5)),"-")</f>
        <v>Float</v>
      </c>
      <c r="R144" s="278" t="str">
        <f>IF(B144&gt;0,(VLOOKUP(I144,'Actuator Reference'!$A$2:$H$54,6)),"-")</f>
        <v>NSR</v>
      </c>
      <c r="S144" s="278" t="str">
        <f>IF(B144&gt;0,(VLOOKUP(I144,'Actuator Reference'!$A$2:$H$54,7)),"-")</f>
        <v>24V</v>
      </c>
      <c r="T144" s="279" t="str">
        <f>IF(B144&gt;0,(VLOOKUP(I144,'Actuator Reference'!$A$2:$H$54,8)),"-")</f>
        <v>MT-Series</v>
      </c>
      <c r="AD144" s="41"/>
      <c r="AE144" s="41"/>
      <c r="AF144" s="35">
        <v>1</v>
      </c>
      <c r="AG144" s="35" t="s">
        <v>1097</v>
      </c>
      <c r="AH144" s="38" t="str">
        <f t="shared" si="10"/>
        <v>259-02041</v>
      </c>
      <c r="AI144" s="264" t="e">
        <f t="shared" si="11"/>
        <v>#REF!</v>
      </c>
    </row>
    <row r="145" spans="1:35" ht="14.25">
      <c r="A145" s="275" t="e">
        <f>'Box Schedule'!#REF!</f>
        <v>#REF!</v>
      </c>
      <c r="B145" s="262">
        <v>7</v>
      </c>
      <c r="C145" s="229" t="str">
        <f>IF((B145&gt;0),(VLOOKUP(J145,'Valve Reference'!$A$2:$K$389,3)),"-")</f>
        <v>0.5</v>
      </c>
      <c r="D145" s="230" t="s">
        <v>577</v>
      </c>
      <c r="E145" s="231">
        <f>IF((B145&gt;0),('Vlookup Tables'!$B$37),"-")</f>
        <v>5</v>
      </c>
      <c r="F145" s="51">
        <f t="shared" si="8"/>
        <v>3.1304951684997055</v>
      </c>
      <c r="G145" s="228">
        <f>IF((B145&gt;0),(VLOOKUP($B145,'Vlookup Tables'!$B$23:$F$33,2,TRUE)),"-")</f>
        <v>4</v>
      </c>
      <c r="H145" s="52">
        <f t="shared" si="9"/>
        <v>3.0625000000000004</v>
      </c>
      <c r="I145" s="50">
        <f>IF((B145&gt;0),('Vlookup Tables'!$B$35),"-")</f>
        <v>259</v>
      </c>
      <c r="J145" s="265" t="str">
        <f>IF(B145&gt;0,(IF(D145="2-Way",VLOOKUP($G145,'Vlookup Tables'!$C$23:$F$33,2,FALSE),VLOOKUP($G145,'Vlookup Tables'!$C$23:$F$33,3,FALSE))),"-")</f>
        <v>02041</v>
      </c>
      <c r="K145" s="276" t="str">
        <f>IF(B145&gt;0,(VLOOKUP(J145,'Valve Reference'!$A$2:$K$389,4)),"-")</f>
        <v>Standard</v>
      </c>
      <c r="L145" s="276" t="str">
        <f>IF(B145&gt;0,(VLOOKUP(J145,'Valve Reference'!$A$2:$K$389,5)),"-")</f>
        <v>BR</v>
      </c>
      <c r="M145" s="276" t="str">
        <f>IF(B145&gt;0,(VLOOKUP(J145,'Valve Reference'!$A$2:$K$389,8)),"-")</f>
        <v>Linear</v>
      </c>
      <c r="N145" s="276" t="str">
        <f>IF(B145&gt;0,(VLOOKUP(J145,'Valve Reference'!$A$2:$K$389,10)),"-")</f>
        <v>FxF</v>
      </c>
      <c r="O145" s="277" t="str">
        <f>IF(B145&gt;0,(VLOOKUP(J145,'Valve Reference'!$A$2:$K$389,11)),"-")</f>
        <v>Globe-Powermite</v>
      </c>
      <c r="P145" s="278" t="str">
        <f>IF(B145&gt;0,(VLOOKUP(I145,'Actuator Reference'!$A$2:$H$54,2)),"-")</f>
        <v>SSC81U</v>
      </c>
      <c r="Q145" s="278" t="str">
        <f>IF(B145&gt;0,(VLOOKUP(I145,'Actuator Reference'!$A$2:$H$54,5)),"-")</f>
        <v>Float</v>
      </c>
      <c r="R145" s="278" t="str">
        <f>IF(B145&gt;0,(VLOOKUP(I145,'Actuator Reference'!$A$2:$H$54,6)),"-")</f>
        <v>NSR</v>
      </c>
      <c r="S145" s="278" t="str">
        <f>IF(B145&gt;0,(VLOOKUP(I145,'Actuator Reference'!$A$2:$H$54,7)),"-")</f>
        <v>24V</v>
      </c>
      <c r="T145" s="279" t="str">
        <f>IF(B145&gt;0,(VLOOKUP(I145,'Actuator Reference'!$A$2:$H$54,8)),"-")</f>
        <v>MT-Series</v>
      </c>
      <c r="AD145" s="41"/>
      <c r="AE145" s="41"/>
      <c r="AF145" s="35">
        <v>1</v>
      </c>
      <c r="AG145" s="35" t="s">
        <v>1097</v>
      </c>
      <c r="AH145" s="38" t="str">
        <f t="shared" si="10"/>
        <v>259-02041</v>
      </c>
      <c r="AI145" s="264" t="e">
        <f t="shared" si="11"/>
        <v>#REF!</v>
      </c>
    </row>
    <row r="146" spans="1:35" ht="14.25">
      <c r="A146" s="275" t="e">
        <f>'Box Schedule'!#REF!</f>
        <v>#REF!</v>
      </c>
      <c r="B146" s="262">
        <v>8</v>
      </c>
      <c r="C146" s="229" t="str">
        <f>IF((B146&gt;0),(VLOOKUP(J146,'Valve Reference'!$A$2:$K$389,3)),"-")</f>
        <v>0.5</v>
      </c>
      <c r="D146" s="230" t="s">
        <v>577</v>
      </c>
      <c r="E146" s="231">
        <f>IF((B146&gt;0),('Vlookup Tables'!$B$37),"-")</f>
        <v>5</v>
      </c>
      <c r="F146" s="51">
        <f t="shared" si="8"/>
        <v>3.5777087639996634</v>
      </c>
      <c r="G146" s="228">
        <f>IF((B146&gt;0),(VLOOKUP($B146,'Vlookup Tables'!$B$23:$F$33,2,TRUE)),"-")</f>
        <v>4</v>
      </c>
      <c r="H146" s="52">
        <f t="shared" si="9"/>
        <v>4</v>
      </c>
      <c r="I146" s="50">
        <f>IF((B146&gt;0),('Vlookup Tables'!$B$35),"-")</f>
        <v>259</v>
      </c>
      <c r="J146" s="265" t="str">
        <f>IF(B146&gt;0,(IF(D146="2-Way",VLOOKUP($G146,'Vlookup Tables'!$C$23:$F$33,2,FALSE),VLOOKUP($G146,'Vlookup Tables'!$C$23:$F$33,3,FALSE))),"-")</f>
        <v>02041</v>
      </c>
      <c r="K146" s="276" t="str">
        <f>IF(B146&gt;0,(VLOOKUP(J146,'Valve Reference'!$A$2:$K$389,4)),"-")</f>
        <v>Standard</v>
      </c>
      <c r="L146" s="276" t="str">
        <f>IF(B146&gt;0,(VLOOKUP(J146,'Valve Reference'!$A$2:$K$389,5)),"-")</f>
        <v>BR</v>
      </c>
      <c r="M146" s="276" t="str">
        <f>IF(B146&gt;0,(VLOOKUP(J146,'Valve Reference'!$A$2:$K$389,8)),"-")</f>
        <v>Linear</v>
      </c>
      <c r="N146" s="276" t="str">
        <f>IF(B146&gt;0,(VLOOKUP(J146,'Valve Reference'!$A$2:$K$389,10)),"-")</f>
        <v>FxF</v>
      </c>
      <c r="O146" s="277" t="str">
        <f>IF(B146&gt;0,(VLOOKUP(J146,'Valve Reference'!$A$2:$K$389,11)),"-")</f>
        <v>Globe-Powermite</v>
      </c>
      <c r="P146" s="278" t="str">
        <f>IF(B146&gt;0,(VLOOKUP(I146,'Actuator Reference'!$A$2:$H$54,2)),"-")</f>
        <v>SSC81U</v>
      </c>
      <c r="Q146" s="278" t="str">
        <f>IF(B146&gt;0,(VLOOKUP(I146,'Actuator Reference'!$A$2:$H$54,5)),"-")</f>
        <v>Float</v>
      </c>
      <c r="R146" s="278" t="str">
        <f>IF(B146&gt;0,(VLOOKUP(I146,'Actuator Reference'!$A$2:$H$54,6)),"-")</f>
        <v>NSR</v>
      </c>
      <c r="S146" s="278" t="str">
        <f>IF(B146&gt;0,(VLOOKUP(I146,'Actuator Reference'!$A$2:$H$54,7)),"-")</f>
        <v>24V</v>
      </c>
      <c r="T146" s="279" t="str">
        <f>IF(B146&gt;0,(VLOOKUP(I146,'Actuator Reference'!$A$2:$H$54,8)),"-")</f>
        <v>MT-Series</v>
      </c>
      <c r="AD146" s="41"/>
      <c r="AE146" s="41"/>
      <c r="AF146" s="35">
        <v>1</v>
      </c>
      <c r="AG146" s="35" t="s">
        <v>1097</v>
      </c>
      <c r="AH146" s="38" t="str">
        <f t="shared" si="10"/>
        <v>259-02041</v>
      </c>
      <c r="AI146" s="264" t="e">
        <f t="shared" si="11"/>
        <v>#REF!</v>
      </c>
    </row>
    <row r="147" spans="1:35" ht="14.25">
      <c r="A147" s="275" t="e">
        <f>'Box Schedule'!#REF!</f>
        <v>#REF!</v>
      </c>
      <c r="B147" s="262">
        <v>9</v>
      </c>
      <c r="C147" s="229" t="str">
        <f>IF((B147&gt;0),(VLOOKUP(J147,'Valve Reference'!$A$2:$K$389,3)),"-")</f>
        <v>0.75</v>
      </c>
      <c r="D147" s="230" t="s">
        <v>577</v>
      </c>
      <c r="E147" s="231">
        <f>IF((B147&gt;0),('Vlookup Tables'!$B$37),"-")</f>
        <v>5</v>
      </c>
      <c r="F147" s="51">
        <f t="shared" si="8"/>
        <v>4.0249223594996213</v>
      </c>
      <c r="G147" s="228">
        <f>IF((B147&gt;0),(VLOOKUP($B147,'Vlookup Tables'!$B$23:$F$33,2,TRUE)),"-")</f>
        <v>6.3</v>
      </c>
      <c r="H147" s="52">
        <f t="shared" si="9"/>
        <v>2.0408163265306127</v>
      </c>
      <c r="I147" s="50">
        <f>IF((B147&gt;0),('Vlookup Tables'!$B$35),"-")</f>
        <v>259</v>
      </c>
      <c r="J147" s="265" t="str">
        <f>IF(B147&gt;0,(IF(D147="2-Way",VLOOKUP($G147,'Vlookup Tables'!$C$23:$F$33,2,FALSE),VLOOKUP($G147,'Vlookup Tables'!$C$23:$F$33,3,FALSE))),"-")</f>
        <v>02044</v>
      </c>
      <c r="K147" s="276" t="str">
        <f>IF(B147&gt;0,(VLOOKUP(J147,'Valve Reference'!$A$2:$K$389,4)),"-")</f>
        <v>Standard</v>
      </c>
      <c r="L147" s="276" t="str">
        <f>IF(B147&gt;0,(VLOOKUP(J147,'Valve Reference'!$A$2:$K$389,5)),"-")</f>
        <v>BR</v>
      </c>
      <c r="M147" s="276" t="str">
        <f>IF(B147&gt;0,(VLOOKUP(J147,'Valve Reference'!$A$2:$K$389,8)),"-")</f>
        <v>Linear</v>
      </c>
      <c r="N147" s="276" t="str">
        <f>IF(B147&gt;0,(VLOOKUP(J147,'Valve Reference'!$A$2:$K$389,10)),"-")</f>
        <v>FxF</v>
      </c>
      <c r="O147" s="277" t="str">
        <f>IF(B147&gt;0,(VLOOKUP(J147,'Valve Reference'!$A$2:$K$389,11)),"-")</f>
        <v>Globe-Powermite</v>
      </c>
      <c r="P147" s="278" t="str">
        <f>IF(B147&gt;0,(VLOOKUP(I147,'Actuator Reference'!$A$2:$H$54,2)),"-")</f>
        <v>SSC81U</v>
      </c>
      <c r="Q147" s="278" t="str">
        <f>IF(B147&gt;0,(VLOOKUP(I147,'Actuator Reference'!$A$2:$H$54,5)),"-")</f>
        <v>Float</v>
      </c>
      <c r="R147" s="278" t="str">
        <f>IF(B147&gt;0,(VLOOKUP(I147,'Actuator Reference'!$A$2:$H$54,6)),"-")</f>
        <v>NSR</v>
      </c>
      <c r="S147" s="278" t="str">
        <f>IF(B147&gt;0,(VLOOKUP(I147,'Actuator Reference'!$A$2:$H$54,7)),"-")</f>
        <v>24V</v>
      </c>
      <c r="T147" s="279" t="str">
        <f>IF(B147&gt;0,(VLOOKUP(I147,'Actuator Reference'!$A$2:$H$54,8)),"-")</f>
        <v>MT-Series</v>
      </c>
      <c r="AD147" s="41"/>
      <c r="AE147" s="41"/>
      <c r="AF147" s="35">
        <v>1</v>
      </c>
      <c r="AG147" s="35" t="s">
        <v>1097</v>
      </c>
      <c r="AH147" s="38" t="str">
        <f t="shared" si="10"/>
        <v>259-02044</v>
      </c>
      <c r="AI147" s="264" t="e">
        <f t="shared" si="11"/>
        <v>#REF!</v>
      </c>
    </row>
    <row r="148" spans="1:35" ht="14.25">
      <c r="A148" s="275" t="e">
        <f>'Box Schedule'!#REF!</f>
        <v>#REF!</v>
      </c>
      <c r="B148" s="262">
        <v>1</v>
      </c>
      <c r="C148" s="229" t="str">
        <f>IF((B148&gt;0),(VLOOKUP(J148,'Valve Reference'!$A$2:$K$389,3)),"-")</f>
        <v>0.5</v>
      </c>
      <c r="D148" s="230" t="s">
        <v>577</v>
      </c>
      <c r="E148" s="231">
        <f>IF((B148&gt;0),('Vlookup Tables'!$B$37),"-")</f>
        <v>5</v>
      </c>
      <c r="F148" s="51">
        <f t="shared" si="8"/>
        <v>0.44721359549995793</v>
      </c>
      <c r="G148" s="228">
        <f>IF((B148&gt;0),(VLOOKUP($B148,'Vlookup Tables'!$B$23:$F$33,2,TRUE)),"-")</f>
        <v>0.63</v>
      </c>
      <c r="H148" s="52">
        <f t="shared" si="9"/>
        <v>2.5195263290501382</v>
      </c>
      <c r="I148" s="50">
        <f>IF((B148&gt;0),('Vlookup Tables'!$B$35),"-")</f>
        <v>259</v>
      </c>
      <c r="J148" s="265" t="str">
        <f>IF(B148&gt;0,(IF(D148="2-Way",VLOOKUP($G148,'Vlookup Tables'!$C$23:$F$33,2,FALSE),VLOOKUP($G148,'Vlookup Tables'!$C$23:$F$33,3,FALSE))),"-")</f>
        <v>02032</v>
      </c>
      <c r="K148" s="276" t="str">
        <f>IF(B148&gt;0,(VLOOKUP(J148,'Valve Reference'!$A$2:$K$389,4)),"-")</f>
        <v>Standard</v>
      </c>
      <c r="L148" s="276" t="str">
        <f>IF(B148&gt;0,(VLOOKUP(J148,'Valve Reference'!$A$2:$K$389,5)),"-")</f>
        <v>BR</v>
      </c>
      <c r="M148" s="276" t="str">
        <f>IF(B148&gt;0,(VLOOKUP(J148,'Valve Reference'!$A$2:$K$389,8)),"-")</f>
        <v>Linear</v>
      </c>
      <c r="N148" s="276" t="str">
        <f>IF(B148&gt;0,(VLOOKUP(J148,'Valve Reference'!$A$2:$K$389,10)),"-")</f>
        <v>FxF</v>
      </c>
      <c r="O148" s="277" t="str">
        <f>IF(B148&gt;0,(VLOOKUP(J148,'Valve Reference'!$A$2:$K$389,11)),"-")</f>
        <v>Globe-Powermite</v>
      </c>
      <c r="P148" s="278" t="str">
        <f>IF(B148&gt;0,(VLOOKUP(I148,'Actuator Reference'!$A$2:$H$54,2)),"-")</f>
        <v>SSC81U</v>
      </c>
      <c r="Q148" s="278" t="str">
        <f>IF(B148&gt;0,(VLOOKUP(I148,'Actuator Reference'!$A$2:$H$54,5)),"-")</f>
        <v>Float</v>
      </c>
      <c r="R148" s="278" t="str">
        <f>IF(B148&gt;0,(VLOOKUP(I148,'Actuator Reference'!$A$2:$H$54,6)),"-")</f>
        <v>NSR</v>
      </c>
      <c r="S148" s="278" t="str">
        <f>IF(B148&gt;0,(VLOOKUP(I148,'Actuator Reference'!$A$2:$H$54,7)),"-")</f>
        <v>24V</v>
      </c>
      <c r="T148" s="279" t="str">
        <f>IF(B148&gt;0,(VLOOKUP(I148,'Actuator Reference'!$A$2:$H$54,8)),"-")</f>
        <v>MT-Series</v>
      </c>
      <c r="AD148" s="41"/>
      <c r="AE148" s="41"/>
      <c r="AF148" s="35">
        <v>1</v>
      </c>
      <c r="AG148" s="35" t="s">
        <v>1097</v>
      </c>
      <c r="AH148" s="38" t="str">
        <f t="shared" si="10"/>
        <v>259-02032</v>
      </c>
      <c r="AI148" s="264" t="e">
        <f t="shared" si="11"/>
        <v>#REF!</v>
      </c>
    </row>
    <row r="149" spans="1:35" ht="14.25">
      <c r="A149" s="275" t="e">
        <f>'Box Schedule'!#REF!</f>
        <v>#REF!</v>
      </c>
      <c r="B149" s="262">
        <v>2</v>
      </c>
      <c r="C149" s="229" t="str">
        <f>IF((B149&gt;0),(VLOOKUP(J149,'Valve Reference'!$A$2:$K$389,3)),"-")</f>
        <v>0.5</v>
      </c>
      <c r="D149" s="230" t="s">
        <v>577</v>
      </c>
      <c r="E149" s="231">
        <f>IF((B149&gt;0),('Vlookup Tables'!$B$37),"-")</f>
        <v>5</v>
      </c>
      <c r="F149" s="51">
        <f t="shared" si="8"/>
        <v>0.89442719099991586</v>
      </c>
      <c r="G149" s="228">
        <f>IF((B149&gt;0),(VLOOKUP($B149,'Vlookup Tables'!$B$23:$F$33,2,TRUE)),"-")</f>
        <v>1</v>
      </c>
      <c r="H149" s="52">
        <f t="shared" si="9"/>
        <v>4</v>
      </c>
      <c r="I149" s="50">
        <f>IF((B149&gt;0),('Vlookup Tables'!$B$35),"-")</f>
        <v>259</v>
      </c>
      <c r="J149" s="265" t="str">
        <f>IF(B149&gt;0,(IF(D149="2-Way",VLOOKUP($G149,'Vlookup Tables'!$C$23:$F$33,2,FALSE),VLOOKUP($G149,'Vlookup Tables'!$C$23:$F$33,3,FALSE))),"-")</f>
        <v>02034</v>
      </c>
      <c r="K149" s="276" t="str">
        <f>IF(B149&gt;0,(VLOOKUP(J149,'Valve Reference'!$A$2:$K$389,4)),"-")</f>
        <v>Standard</v>
      </c>
      <c r="L149" s="276" t="str">
        <f>IF(B149&gt;0,(VLOOKUP(J149,'Valve Reference'!$A$2:$K$389,5)),"-")</f>
        <v>BR</v>
      </c>
      <c r="M149" s="276" t="str">
        <f>IF(B149&gt;0,(VLOOKUP(J149,'Valve Reference'!$A$2:$K$389,8)),"-")</f>
        <v>Linear</v>
      </c>
      <c r="N149" s="276" t="str">
        <f>IF(B149&gt;0,(VLOOKUP(J149,'Valve Reference'!$A$2:$K$389,10)),"-")</f>
        <v>FxF</v>
      </c>
      <c r="O149" s="277" t="str">
        <f>IF(B149&gt;0,(VLOOKUP(J149,'Valve Reference'!$A$2:$K$389,11)),"-")</f>
        <v>Globe-Powermite</v>
      </c>
      <c r="P149" s="278" t="str">
        <f>IF(B149&gt;0,(VLOOKUP(I149,'Actuator Reference'!$A$2:$H$54,2)),"-")</f>
        <v>SSC81U</v>
      </c>
      <c r="Q149" s="278" t="str">
        <f>IF(B149&gt;0,(VLOOKUP(I149,'Actuator Reference'!$A$2:$H$54,5)),"-")</f>
        <v>Float</v>
      </c>
      <c r="R149" s="278" t="str">
        <f>IF(B149&gt;0,(VLOOKUP(I149,'Actuator Reference'!$A$2:$H$54,6)),"-")</f>
        <v>NSR</v>
      </c>
      <c r="S149" s="278" t="str">
        <f>IF(B149&gt;0,(VLOOKUP(I149,'Actuator Reference'!$A$2:$H$54,7)),"-")</f>
        <v>24V</v>
      </c>
      <c r="T149" s="279" t="str">
        <f>IF(B149&gt;0,(VLOOKUP(I149,'Actuator Reference'!$A$2:$H$54,8)),"-")</f>
        <v>MT-Series</v>
      </c>
      <c r="AD149" s="41"/>
      <c r="AE149" s="41"/>
      <c r="AF149" s="35">
        <v>1</v>
      </c>
      <c r="AG149" s="35" t="s">
        <v>1097</v>
      </c>
      <c r="AH149" s="38" t="str">
        <f t="shared" si="10"/>
        <v>259-02034</v>
      </c>
      <c r="AI149" s="264" t="e">
        <f t="shared" si="11"/>
        <v>#REF!</v>
      </c>
    </row>
    <row r="150" spans="1:35" ht="14.25">
      <c r="A150" s="275" t="e">
        <f>'Box Schedule'!#REF!</f>
        <v>#REF!</v>
      </c>
      <c r="B150" s="262">
        <v>3</v>
      </c>
      <c r="C150" s="229" t="str">
        <f>IF((B150&gt;0),(VLOOKUP(J150,'Valve Reference'!$A$2:$K$389,3)),"-")</f>
        <v>0.5</v>
      </c>
      <c r="D150" s="230" t="s">
        <v>577</v>
      </c>
      <c r="E150" s="231">
        <f>IF((B150&gt;0),('Vlookup Tables'!$B$37),"-")</f>
        <v>5</v>
      </c>
      <c r="F150" s="51">
        <f t="shared" si="8"/>
        <v>1.3416407864998738</v>
      </c>
      <c r="G150" s="228">
        <f>IF((B150&gt;0),(VLOOKUP($B150,'Vlookup Tables'!$B$23:$F$33,2,TRUE)),"-")</f>
        <v>1.6</v>
      </c>
      <c r="H150" s="52">
        <f t="shared" si="9"/>
        <v>3.515625</v>
      </c>
      <c r="I150" s="50">
        <f>IF((B150&gt;0),('Vlookup Tables'!$B$35),"-")</f>
        <v>259</v>
      </c>
      <c r="J150" s="265" t="str">
        <f>IF(B150&gt;0,(IF(D150="2-Way",VLOOKUP($G150,'Vlookup Tables'!$C$23:$F$33,2,FALSE),VLOOKUP($G150,'Vlookup Tables'!$C$23:$F$33,3,FALSE))),"-")</f>
        <v>02036</v>
      </c>
      <c r="K150" s="276" t="str">
        <f>IF(B150&gt;0,(VLOOKUP(J150,'Valve Reference'!$A$2:$K$389,4)),"-")</f>
        <v>Standard</v>
      </c>
      <c r="L150" s="276" t="str">
        <f>IF(B150&gt;0,(VLOOKUP(J150,'Valve Reference'!$A$2:$K$389,5)),"-")</f>
        <v>BR</v>
      </c>
      <c r="M150" s="276" t="str">
        <f>IF(B150&gt;0,(VLOOKUP(J150,'Valve Reference'!$A$2:$K$389,8)),"-")</f>
        <v>Linear</v>
      </c>
      <c r="N150" s="276" t="str">
        <f>IF(B150&gt;0,(VLOOKUP(J150,'Valve Reference'!$A$2:$K$389,10)),"-")</f>
        <v>FxF</v>
      </c>
      <c r="O150" s="277" t="str">
        <f>IF(B150&gt;0,(VLOOKUP(J150,'Valve Reference'!$A$2:$K$389,11)),"-")</f>
        <v>Globe-Powermite</v>
      </c>
      <c r="P150" s="278" t="str">
        <f>IF(B150&gt;0,(VLOOKUP(I150,'Actuator Reference'!$A$2:$H$54,2)),"-")</f>
        <v>SSC81U</v>
      </c>
      <c r="Q150" s="278" t="str">
        <f>IF(B150&gt;0,(VLOOKUP(I150,'Actuator Reference'!$A$2:$H$54,5)),"-")</f>
        <v>Float</v>
      </c>
      <c r="R150" s="278" t="str">
        <f>IF(B150&gt;0,(VLOOKUP(I150,'Actuator Reference'!$A$2:$H$54,6)),"-")</f>
        <v>NSR</v>
      </c>
      <c r="S150" s="278" t="str">
        <f>IF(B150&gt;0,(VLOOKUP(I150,'Actuator Reference'!$A$2:$H$54,7)),"-")</f>
        <v>24V</v>
      </c>
      <c r="T150" s="279" t="str">
        <f>IF(B150&gt;0,(VLOOKUP(I150,'Actuator Reference'!$A$2:$H$54,8)),"-")</f>
        <v>MT-Series</v>
      </c>
      <c r="AD150" s="41"/>
      <c r="AE150" s="41"/>
      <c r="AF150" s="35">
        <v>1</v>
      </c>
      <c r="AG150" s="35" t="s">
        <v>1097</v>
      </c>
      <c r="AH150" s="38" t="str">
        <f t="shared" si="10"/>
        <v>259-02036</v>
      </c>
      <c r="AI150" s="264" t="e">
        <f t="shared" si="11"/>
        <v>#REF!</v>
      </c>
    </row>
    <row r="151" spans="1:35" ht="14.25">
      <c r="A151" s="275" t="e">
        <f>'Box Schedule'!#REF!</f>
        <v>#REF!</v>
      </c>
      <c r="B151" s="262">
        <v>4</v>
      </c>
      <c r="C151" s="229" t="str">
        <f>IF((B151&gt;0),(VLOOKUP(J151,'Valve Reference'!$A$2:$K$389,3)),"-")</f>
        <v>0.5</v>
      </c>
      <c r="D151" s="230" t="s">
        <v>577</v>
      </c>
      <c r="E151" s="231">
        <f>IF((B151&gt;0),('Vlookup Tables'!$B$37),"-")</f>
        <v>5</v>
      </c>
      <c r="F151" s="51">
        <f t="shared" si="8"/>
        <v>1.7888543819998317</v>
      </c>
      <c r="G151" s="228">
        <f>IF((B151&gt;0),(VLOOKUP($B151,'Vlookup Tables'!$B$23:$F$33,2,TRUE)),"-")</f>
        <v>2.5</v>
      </c>
      <c r="H151" s="52">
        <f t="shared" si="9"/>
        <v>2.56</v>
      </c>
      <c r="I151" s="50">
        <f>IF((B151&gt;0),('Vlookup Tables'!$B$35),"-")</f>
        <v>259</v>
      </c>
      <c r="J151" s="265" t="str">
        <f>IF(B151&gt;0,(IF(D151="2-Way",VLOOKUP($G151,'Vlookup Tables'!$C$23:$F$33,2,FALSE),VLOOKUP($G151,'Vlookup Tables'!$C$23:$F$33,3,FALSE))),"-")</f>
        <v>02038</v>
      </c>
      <c r="K151" s="276" t="str">
        <f>IF(B151&gt;0,(VLOOKUP(J151,'Valve Reference'!$A$2:$K$389,4)),"-")</f>
        <v>Standard</v>
      </c>
      <c r="L151" s="276" t="str">
        <f>IF(B151&gt;0,(VLOOKUP(J151,'Valve Reference'!$A$2:$K$389,5)),"-")</f>
        <v>BR</v>
      </c>
      <c r="M151" s="276" t="str">
        <f>IF(B151&gt;0,(VLOOKUP(J151,'Valve Reference'!$A$2:$K$389,8)),"-")</f>
        <v>Linear</v>
      </c>
      <c r="N151" s="276" t="str">
        <f>IF(B151&gt;0,(VLOOKUP(J151,'Valve Reference'!$A$2:$K$389,10)),"-")</f>
        <v>FxF</v>
      </c>
      <c r="O151" s="277" t="str">
        <f>IF(B151&gt;0,(VLOOKUP(J151,'Valve Reference'!$A$2:$K$389,11)),"-")</f>
        <v>Globe-Powermite</v>
      </c>
      <c r="P151" s="278" t="str">
        <f>IF(B151&gt;0,(VLOOKUP(I151,'Actuator Reference'!$A$2:$H$54,2)),"-")</f>
        <v>SSC81U</v>
      </c>
      <c r="Q151" s="278" t="str">
        <f>IF(B151&gt;0,(VLOOKUP(I151,'Actuator Reference'!$A$2:$H$54,5)),"-")</f>
        <v>Float</v>
      </c>
      <c r="R151" s="278" t="str">
        <f>IF(B151&gt;0,(VLOOKUP(I151,'Actuator Reference'!$A$2:$H$54,6)),"-")</f>
        <v>NSR</v>
      </c>
      <c r="S151" s="278" t="str">
        <f>IF(B151&gt;0,(VLOOKUP(I151,'Actuator Reference'!$A$2:$H$54,7)),"-")</f>
        <v>24V</v>
      </c>
      <c r="T151" s="279" t="str">
        <f>IF(B151&gt;0,(VLOOKUP(I151,'Actuator Reference'!$A$2:$H$54,8)),"-")</f>
        <v>MT-Series</v>
      </c>
      <c r="AD151" s="41"/>
      <c r="AE151" s="41"/>
      <c r="AF151" s="35">
        <v>1</v>
      </c>
      <c r="AG151" s="35" t="s">
        <v>1097</v>
      </c>
      <c r="AH151" s="38" t="str">
        <f t="shared" si="10"/>
        <v>259-02038</v>
      </c>
      <c r="AI151" s="264" t="e">
        <f t="shared" si="11"/>
        <v>#REF!</v>
      </c>
    </row>
    <row r="152" spans="1:35" ht="14.25">
      <c r="A152" s="275" t="e">
        <f>'Box Schedule'!#REF!</f>
        <v>#REF!</v>
      </c>
      <c r="B152" s="262">
        <v>5</v>
      </c>
      <c r="C152" s="229" t="str">
        <f>IF((B152&gt;0),(VLOOKUP(J152,'Valve Reference'!$A$2:$K$389,3)),"-")</f>
        <v>0.5</v>
      </c>
      <c r="D152" s="230" t="s">
        <v>577</v>
      </c>
      <c r="E152" s="231">
        <f>IF((B152&gt;0),('Vlookup Tables'!$B$37),"-")</f>
        <v>5</v>
      </c>
      <c r="F152" s="51">
        <f t="shared" si="8"/>
        <v>2.2360679774997898</v>
      </c>
      <c r="G152" s="228">
        <f>IF((B152&gt;0),(VLOOKUP($B152,'Vlookup Tables'!$B$23:$F$33,2,TRUE)),"-")</f>
        <v>2.5</v>
      </c>
      <c r="H152" s="52">
        <f t="shared" si="9"/>
        <v>4</v>
      </c>
      <c r="I152" s="50">
        <f>IF((B152&gt;0),('Vlookup Tables'!$B$35),"-")</f>
        <v>259</v>
      </c>
      <c r="J152" s="265" t="str">
        <f>IF(B152&gt;0,(IF(D152="2-Way",VLOOKUP($G152,'Vlookup Tables'!$C$23:$F$33,2,FALSE),VLOOKUP($G152,'Vlookup Tables'!$C$23:$F$33,3,FALSE))),"-")</f>
        <v>02038</v>
      </c>
      <c r="K152" s="276" t="str">
        <f>IF(B152&gt;0,(VLOOKUP(J152,'Valve Reference'!$A$2:$K$389,4)),"-")</f>
        <v>Standard</v>
      </c>
      <c r="L152" s="276" t="str">
        <f>IF(B152&gt;0,(VLOOKUP(J152,'Valve Reference'!$A$2:$K$389,5)),"-")</f>
        <v>BR</v>
      </c>
      <c r="M152" s="276" t="str">
        <f>IF(B152&gt;0,(VLOOKUP(J152,'Valve Reference'!$A$2:$K$389,8)),"-")</f>
        <v>Linear</v>
      </c>
      <c r="N152" s="276" t="str">
        <f>IF(B152&gt;0,(VLOOKUP(J152,'Valve Reference'!$A$2:$K$389,10)),"-")</f>
        <v>FxF</v>
      </c>
      <c r="O152" s="277" t="str">
        <f>IF(B152&gt;0,(VLOOKUP(J152,'Valve Reference'!$A$2:$K$389,11)),"-")</f>
        <v>Globe-Powermite</v>
      </c>
      <c r="P152" s="278" t="str">
        <f>IF(B152&gt;0,(VLOOKUP(I152,'Actuator Reference'!$A$2:$H$54,2)),"-")</f>
        <v>SSC81U</v>
      </c>
      <c r="Q152" s="278" t="str">
        <f>IF(B152&gt;0,(VLOOKUP(I152,'Actuator Reference'!$A$2:$H$54,5)),"-")</f>
        <v>Float</v>
      </c>
      <c r="R152" s="278" t="str">
        <f>IF(B152&gt;0,(VLOOKUP(I152,'Actuator Reference'!$A$2:$H$54,6)),"-")</f>
        <v>NSR</v>
      </c>
      <c r="S152" s="278" t="str">
        <f>IF(B152&gt;0,(VLOOKUP(I152,'Actuator Reference'!$A$2:$H$54,7)),"-")</f>
        <v>24V</v>
      </c>
      <c r="T152" s="279" t="str">
        <f>IF(B152&gt;0,(VLOOKUP(I152,'Actuator Reference'!$A$2:$H$54,8)),"-")</f>
        <v>MT-Series</v>
      </c>
      <c r="AD152" s="41"/>
      <c r="AE152" s="41"/>
      <c r="AF152" s="35">
        <v>1</v>
      </c>
      <c r="AG152" s="35" t="s">
        <v>1097</v>
      </c>
      <c r="AH152" s="38" t="str">
        <f t="shared" si="10"/>
        <v>259-02038</v>
      </c>
      <c r="AI152" s="264" t="e">
        <f t="shared" si="11"/>
        <v>#REF!</v>
      </c>
    </row>
    <row r="153" spans="1:35" ht="14.25">
      <c r="A153" s="275" t="e">
        <f>'Box Schedule'!#REF!</f>
        <v>#REF!</v>
      </c>
      <c r="B153" s="262">
        <v>6</v>
      </c>
      <c r="C153" s="229" t="str">
        <f>IF((B153&gt;0),(VLOOKUP(J153,'Valve Reference'!$A$2:$K$389,3)),"-")</f>
        <v>0.5</v>
      </c>
      <c r="D153" s="230" t="s">
        <v>577</v>
      </c>
      <c r="E153" s="231">
        <f>IF((B153&gt;0),('Vlookup Tables'!$B$37),"-")</f>
        <v>5</v>
      </c>
      <c r="F153" s="51">
        <f t="shared" si="8"/>
        <v>2.6832815729997477</v>
      </c>
      <c r="G153" s="228">
        <f>IF((B153&gt;0),(VLOOKUP($B153,'Vlookup Tables'!$B$23:$F$33,2,TRUE)),"-")</f>
        <v>4</v>
      </c>
      <c r="H153" s="52">
        <f t="shared" si="9"/>
        <v>2.25</v>
      </c>
      <c r="I153" s="50">
        <f>IF((B153&gt;0),('Vlookup Tables'!$B$35),"-")</f>
        <v>259</v>
      </c>
      <c r="J153" s="265" t="str">
        <f>IF(B153&gt;0,(IF(D153="2-Way",VLOOKUP($G153,'Vlookup Tables'!$C$23:$F$33,2,FALSE),VLOOKUP($G153,'Vlookup Tables'!$C$23:$F$33,3,FALSE))),"-")</f>
        <v>02041</v>
      </c>
      <c r="K153" s="276" t="str">
        <f>IF(B153&gt;0,(VLOOKUP(J153,'Valve Reference'!$A$2:$K$389,4)),"-")</f>
        <v>Standard</v>
      </c>
      <c r="L153" s="276" t="str">
        <f>IF(B153&gt;0,(VLOOKUP(J153,'Valve Reference'!$A$2:$K$389,5)),"-")</f>
        <v>BR</v>
      </c>
      <c r="M153" s="276" t="str">
        <f>IF(B153&gt;0,(VLOOKUP(J153,'Valve Reference'!$A$2:$K$389,8)),"-")</f>
        <v>Linear</v>
      </c>
      <c r="N153" s="276" t="str">
        <f>IF(B153&gt;0,(VLOOKUP(J153,'Valve Reference'!$A$2:$K$389,10)),"-")</f>
        <v>FxF</v>
      </c>
      <c r="O153" s="277" t="str">
        <f>IF(B153&gt;0,(VLOOKUP(J153,'Valve Reference'!$A$2:$K$389,11)),"-")</f>
        <v>Globe-Powermite</v>
      </c>
      <c r="P153" s="278" t="str">
        <f>IF(B153&gt;0,(VLOOKUP(I153,'Actuator Reference'!$A$2:$H$54,2)),"-")</f>
        <v>SSC81U</v>
      </c>
      <c r="Q153" s="278" t="str">
        <f>IF(B153&gt;0,(VLOOKUP(I153,'Actuator Reference'!$A$2:$H$54,5)),"-")</f>
        <v>Float</v>
      </c>
      <c r="R153" s="278" t="str">
        <f>IF(B153&gt;0,(VLOOKUP(I153,'Actuator Reference'!$A$2:$H$54,6)),"-")</f>
        <v>NSR</v>
      </c>
      <c r="S153" s="278" t="str">
        <f>IF(B153&gt;0,(VLOOKUP(I153,'Actuator Reference'!$A$2:$H$54,7)),"-")</f>
        <v>24V</v>
      </c>
      <c r="T153" s="279" t="str">
        <f>IF(B153&gt;0,(VLOOKUP(I153,'Actuator Reference'!$A$2:$H$54,8)),"-")</f>
        <v>MT-Series</v>
      </c>
      <c r="AD153" s="41"/>
      <c r="AE153" s="41"/>
      <c r="AF153" s="35">
        <v>1</v>
      </c>
      <c r="AG153" s="35" t="s">
        <v>1097</v>
      </c>
      <c r="AH153" s="38" t="str">
        <f t="shared" si="10"/>
        <v>259-02041</v>
      </c>
      <c r="AI153" s="264" t="e">
        <f t="shared" si="11"/>
        <v>#REF!</v>
      </c>
    </row>
    <row r="154" spans="1:35" ht="14.25">
      <c r="A154" s="275" t="e">
        <f>'Box Schedule'!#REF!</f>
        <v>#REF!</v>
      </c>
      <c r="B154" s="262">
        <v>7</v>
      </c>
      <c r="C154" s="229" t="str">
        <f>IF((B154&gt;0),(VLOOKUP(J154,'Valve Reference'!$A$2:$K$389,3)),"-")</f>
        <v>0.5</v>
      </c>
      <c r="D154" s="230" t="s">
        <v>577</v>
      </c>
      <c r="E154" s="231">
        <f>IF((B154&gt;0),('Vlookup Tables'!$B$37),"-")</f>
        <v>5</v>
      </c>
      <c r="F154" s="51">
        <f t="shared" si="8"/>
        <v>3.1304951684997055</v>
      </c>
      <c r="G154" s="228">
        <f>IF((B154&gt;0),(VLOOKUP($B154,'Vlookup Tables'!$B$23:$F$33,2,TRUE)),"-")</f>
        <v>4</v>
      </c>
      <c r="H154" s="52">
        <f t="shared" si="9"/>
        <v>3.0625000000000004</v>
      </c>
      <c r="I154" s="50">
        <f>IF((B154&gt;0),('Vlookup Tables'!$B$35),"-")</f>
        <v>259</v>
      </c>
      <c r="J154" s="265" t="str">
        <f>IF(B154&gt;0,(IF(D154="2-Way",VLOOKUP($G154,'Vlookup Tables'!$C$23:$F$33,2,FALSE),VLOOKUP($G154,'Vlookup Tables'!$C$23:$F$33,3,FALSE))),"-")</f>
        <v>02041</v>
      </c>
      <c r="K154" s="276" t="str">
        <f>IF(B154&gt;0,(VLOOKUP(J154,'Valve Reference'!$A$2:$K$389,4)),"-")</f>
        <v>Standard</v>
      </c>
      <c r="L154" s="276" t="str">
        <f>IF(B154&gt;0,(VLOOKUP(J154,'Valve Reference'!$A$2:$K$389,5)),"-")</f>
        <v>BR</v>
      </c>
      <c r="M154" s="276" t="str">
        <f>IF(B154&gt;0,(VLOOKUP(J154,'Valve Reference'!$A$2:$K$389,8)),"-")</f>
        <v>Linear</v>
      </c>
      <c r="N154" s="276" t="str">
        <f>IF(B154&gt;0,(VLOOKUP(J154,'Valve Reference'!$A$2:$K$389,10)),"-")</f>
        <v>FxF</v>
      </c>
      <c r="O154" s="277" t="str">
        <f>IF(B154&gt;0,(VLOOKUP(J154,'Valve Reference'!$A$2:$K$389,11)),"-")</f>
        <v>Globe-Powermite</v>
      </c>
      <c r="P154" s="278" t="str">
        <f>IF(B154&gt;0,(VLOOKUP(I154,'Actuator Reference'!$A$2:$H$54,2)),"-")</f>
        <v>SSC81U</v>
      </c>
      <c r="Q154" s="278" t="str">
        <f>IF(B154&gt;0,(VLOOKUP(I154,'Actuator Reference'!$A$2:$H$54,5)),"-")</f>
        <v>Float</v>
      </c>
      <c r="R154" s="278" t="str">
        <f>IF(B154&gt;0,(VLOOKUP(I154,'Actuator Reference'!$A$2:$H$54,6)),"-")</f>
        <v>NSR</v>
      </c>
      <c r="S154" s="278" t="str">
        <f>IF(B154&gt;0,(VLOOKUP(I154,'Actuator Reference'!$A$2:$H$54,7)),"-")</f>
        <v>24V</v>
      </c>
      <c r="T154" s="279" t="str">
        <f>IF(B154&gt;0,(VLOOKUP(I154,'Actuator Reference'!$A$2:$H$54,8)),"-")</f>
        <v>MT-Series</v>
      </c>
      <c r="AD154" s="41"/>
      <c r="AE154" s="41"/>
      <c r="AF154" s="35">
        <v>1</v>
      </c>
      <c r="AG154" s="35" t="s">
        <v>1097</v>
      </c>
      <c r="AH154" s="38" t="str">
        <f t="shared" si="10"/>
        <v>259-02041</v>
      </c>
      <c r="AI154" s="264" t="e">
        <f t="shared" si="11"/>
        <v>#REF!</v>
      </c>
    </row>
    <row r="155" spans="1:35" ht="14.25">
      <c r="A155" s="275" t="e">
        <f>'Box Schedule'!#REF!</f>
        <v>#REF!</v>
      </c>
      <c r="B155" s="262">
        <v>8</v>
      </c>
      <c r="C155" s="229" t="str">
        <f>IF((B155&gt;0),(VLOOKUP(J155,'Valve Reference'!$A$2:$K$389,3)),"-")</f>
        <v>0.5</v>
      </c>
      <c r="D155" s="230" t="s">
        <v>577</v>
      </c>
      <c r="E155" s="231">
        <f>IF((B155&gt;0),('Vlookup Tables'!$B$37),"-")</f>
        <v>5</v>
      </c>
      <c r="F155" s="51">
        <f t="shared" si="8"/>
        <v>3.5777087639996634</v>
      </c>
      <c r="G155" s="228">
        <f>IF((B155&gt;0),(VLOOKUP($B155,'Vlookup Tables'!$B$23:$F$33,2,TRUE)),"-")</f>
        <v>4</v>
      </c>
      <c r="H155" s="52">
        <f t="shared" si="9"/>
        <v>4</v>
      </c>
      <c r="I155" s="50">
        <f>IF((B155&gt;0),('Vlookup Tables'!$B$35),"-")</f>
        <v>259</v>
      </c>
      <c r="J155" s="265" t="str">
        <f>IF(B155&gt;0,(IF(D155="2-Way",VLOOKUP($G155,'Vlookup Tables'!$C$23:$F$33,2,FALSE),VLOOKUP($G155,'Vlookup Tables'!$C$23:$F$33,3,FALSE))),"-")</f>
        <v>02041</v>
      </c>
      <c r="K155" s="276" t="str">
        <f>IF(B155&gt;0,(VLOOKUP(J155,'Valve Reference'!$A$2:$K$389,4)),"-")</f>
        <v>Standard</v>
      </c>
      <c r="L155" s="276" t="str">
        <f>IF(B155&gt;0,(VLOOKUP(J155,'Valve Reference'!$A$2:$K$389,5)),"-")</f>
        <v>BR</v>
      </c>
      <c r="M155" s="276" t="str">
        <f>IF(B155&gt;0,(VLOOKUP(J155,'Valve Reference'!$A$2:$K$389,8)),"-")</f>
        <v>Linear</v>
      </c>
      <c r="N155" s="276" t="str">
        <f>IF(B155&gt;0,(VLOOKUP(J155,'Valve Reference'!$A$2:$K$389,10)),"-")</f>
        <v>FxF</v>
      </c>
      <c r="O155" s="277" t="str">
        <f>IF(B155&gt;0,(VLOOKUP(J155,'Valve Reference'!$A$2:$K$389,11)),"-")</f>
        <v>Globe-Powermite</v>
      </c>
      <c r="P155" s="278" t="str">
        <f>IF(B155&gt;0,(VLOOKUP(I155,'Actuator Reference'!$A$2:$H$54,2)),"-")</f>
        <v>SSC81U</v>
      </c>
      <c r="Q155" s="278" t="str">
        <f>IF(B155&gt;0,(VLOOKUP(I155,'Actuator Reference'!$A$2:$H$54,5)),"-")</f>
        <v>Float</v>
      </c>
      <c r="R155" s="278" t="str">
        <f>IF(B155&gt;0,(VLOOKUP(I155,'Actuator Reference'!$A$2:$H$54,6)),"-")</f>
        <v>NSR</v>
      </c>
      <c r="S155" s="278" t="str">
        <f>IF(B155&gt;0,(VLOOKUP(I155,'Actuator Reference'!$A$2:$H$54,7)),"-")</f>
        <v>24V</v>
      </c>
      <c r="T155" s="279" t="str">
        <f>IF(B155&gt;0,(VLOOKUP(I155,'Actuator Reference'!$A$2:$H$54,8)),"-")</f>
        <v>MT-Series</v>
      </c>
      <c r="AD155" s="41"/>
      <c r="AE155" s="41"/>
      <c r="AF155" s="35">
        <v>1</v>
      </c>
      <c r="AG155" s="35" t="s">
        <v>1097</v>
      </c>
      <c r="AH155" s="38" t="str">
        <f t="shared" si="10"/>
        <v>259-02041</v>
      </c>
      <c r="AI155" s="264" t="e">
        <f t="shared" si="11"/>
        <v>#REF!</v>
      </c>
    </row>
    <row r="156" spans="1:35" ht="14.25">
      <c r="A156" s="275" t="e">
        <f>'Box Schedule'!#REF!</f>
        <v>#REF!</v>
      </c>
      <c r="B156" s="262">
        <v>9</v>
      </c>
      <c r="C156" s="229" t="str">
        <f>IF((B156&gt;0),(VLOOKUP(J156,'Valve Reference'!$A$2:$K$389,3)),"-")</f>
        <v>0.75</v>
      </c>
      <c r="D156" s="230" t="s">
        <v>577</v>
      </c>
      <c r="E156" s="231">
        <f>IF((B156&gt;0),('Vlookup Tables'!$B$37),"-")</f>
        <v>5</v>
      </c>
      <c r="F156" s="51">
        <f t="shared" si="8"/>
        <v>4.0249223594996213</v>
      </c>
      <c r="G156" s="228">
        <f>IF((B156&gt;0),(VLOOKUP($B156,'Vlookup Tables'!$B$23:$F$33,2,TRUE)),"-")</f>
        <v>6.3</v>
      </c>
      <c r="H156" s="52">
        <f t="shared" si="9"/>
        <v>2.0408163265306127</v>
      </c>
      <c r="I156" s="50">
        <f>IF((B156&gt;0),('Vlookup Tables'!$B$35),"-")</f>
        <v>259</v>
      </c>
      <c r="J156" s="265" t="str">
        <f>IF(B156&gt;0,(IF(D156="2-Way",VLOOKUP($G156,'Vlookup Tables'!$C$23:$F$33,2,FALSE),VLOOKUP($G156,'Vlookup Tables'!$C$23:$F$33,3,FALSE))),"-")</f>
        <v>02044</v>
      </c>
      <c r="K156" s="276" t="str">
        <f>IF(B156&gt;0,(VLOOKUP(J156,'Valve Reference'!$A$2:$K$389,4)),"-")</f>
        <v>Standard</v>
      </c>
      <c r="L156" s="276" t="str">
        <f>IF(B156&gt;0,(VLOOKUP(J156,'Valve Reference'!$A$2:$K$389,5)),"-")</f>
        <v>BR</v>
      </c>
      <c r="M156" s="276" t="str">
        <f>IF(B156&gt;0,(VLOOKUP(J156,'Valve Reference'!$A$2:$K$389,8)),"-")</f>
        <v>Linear</v>
      </c>
      <c r="N156" s="276" t="str">
        <f>IF(B156&gt;0,(VLOOKUP(J156,'Valve Reference'!$A$2:$K$389,10)),"-")</f>
        <v>FxF</v>
      </c>
      <c r="O156" s="277" t="str">
        <f>IF(B156&gt;0,(VLOOKUP(J156,'Valve Reference'!$A$2:$K$389,11)),"-")</f>
        <v>Globe-Powermite</v>
      </c>
      <c r="P156" s="278" t="str">
        <f>IF(B156&gt;0,(VLOOKUP(I156,'Actuator Reference'!$A$2:$H$54,2)),"-")</f>
        <v>SSC81U</v>
      </c>
      <c r="Q156" s="278" t="str">
        <f>IF(B156&gt;0,(VLOOKUP(I156,'Actuator Reference'!$A$2:$H$54,5)),"-")</f>
        <v>Float</v>
      </c>
      <c r="R156" s="278" t="str">
        <f>IF(B156&gt;0,(VLOOKUP(I156,'Actuator Reference'!$A$2:$H$54,6)),"-")</f>
        <v>NSR</v>
      </c>
      <c r="S156" s="278" t="str">
        <f>IF(B156&gt;0,(VLOOKUP(I156,'Actuator Reference'!$A$2:$H$54,7)),"-")</f>
        <v>24V</v>
      </c>
      <c r="T156" s="279" t="str">
        <f>IF(B156&gt;0,(VLOOKUP(I156,'Actuator Reference'!$A$2:$H$54,8)),"-")</f>
        <v>MT-Series</v>
      </c>
      <c r="AD156" s="41"/>
      <c r="AE156" s="41"/>
      <c r="AF156" s="35">
        <v>1</v>
      </c>
      <c r="AG156" s="35" t="s">
        <v>1097</v>
      </c>
      <c r="AH156" s="38" t="str">
        <f t="shared" si="10"/>
        <v>259-02044</v>
      </c>
      <c r="AI156" s="264" t="e">
        <f t="shared" si="11"/>
        <v>#REF!</v>
      </c>
    </row>
    <row r="157" spans="1:35" ht="14.25">
      <c r="A157" s="275" t="e">
        <f>'Box Schedule'!#REF!</f>
        <v>#REF!</v>
      </c>
      <c r="B157" s="262">
        <v>1</v>
      </c>
      <c r="C157" s="229" t="str">
        <f>IF((B157&gt;0),(VLOOKUP(J157,'Valve Reference'!$A$2:$K$389,3)),"-")</f>
        <v>0.5</v>
      </c>
      <c r="D157" s="230" t="s">
        <v>577</v>
      </c>
      <c r="E157" s="231">
        <f>IF((B157&gt;0),('Vlookup Tables'!$B$37),"-")</f>
        <v>5</v>
      </c>
      <c r="F157" s="51">
        <f t="shared" si="8"/>
        <v>0.44721359549995793</v>
      </c>
      <c r="G157" s="228">
        <f>IF((B157&gt;0),(VLOOKUP($B157,'Vlookup Tables'!$B$23:$F$33,2,TRUE)),"-")</f>
        <v>0.63</v>
      </c>
      <c r="H157" s="52">
        <f t="shared" si="9"/>
        <v>2.5195263290501382</v>
      </c>
      <c r="I157" s="50">
        <f>IF((B157&gt;0),('Vlookup Tables'!$B$35),"-")</f>
        <v>259</v>
      </c>
      <c r="J157" s="265" t="str">
        <f>IF(B157&gt;0,(IF(D157="2-Way",VLOOKUP($G157,'Vlookup Tables'!$C$23:$F$33,2,FALSE),VLOOKUP($G157,'Vlookup Tables'!$C$23:$F$33,3,FALSE))),"-")</f>
        <v>02032</v>
      </c>
      <c r="K157" s="276" t="str">
        <f>IF(B157&gt;0,(VLOOKUP(J157,'Valve Reference'!$A$2:$K$389,4)),"-")</f>
        <v>Standard</v>
      </c>
      <c r="L157" s="276" t="str">
        <f>IF(B157&gt;0,(VLOOKUP(J157,'Valve Reference'!$A$2:$K$389,5)),"-")</f>
        <v>BR</v>
      </c>
      <c r="M157" s="276" t="str">
        <f>IF(B157&gt;0,(VLOOKUP(J157,'Valve Reference'!$A$2:$K$389,8)),"-")</f>
        <v>Linear</v>
      </c>
      <c r="N157" s="276" t="str">
        <f>IF(B157&gt;0,(VLOOKUP(J157,'Valve Reference'!$A$2:$K$389,10)),"-")</f>
        <v>FxF</v>
      </c>
      <c r="O157" s="277" t="str">
        <f>IF(B157&gt;0,(VLOOKUP(J157,'Valve Reference'!$A$2:$K$389,11)),"-")</f>
        <v>Globe-Powermite</v>
      </c>
      <c r="P157" s="278" t="str">
        <f>IF(B157&gt;0,(VLOOKUP(I157,'Actuator Reference'!$A$2:$H$54,2)),"-")</f>
        <v>SSC81U</v>
      </c>
      <c r="Q157" s="278" t="str">
        <f>IF(B157&gt;0,(VLOOKUP(I157,'Actuator Reference'!$A$2:$H$54,5)),"-")</f>
        <v>Float</v>
      </c>
      <c r="R157" s="278" t="str">
        <f>IF(B157&gt;0,(VLOOKUP(I157,'Actuator Reference'!$A$2:$H$54,6)),"-")</f>
        <v>NSR</v>
      </c>
      <c r="S157" s="278" t="str">
        <f>IF(B157&gt;0,(VLOOKUP(I157,'Actuator Reference'!$A$2:$H$54,7)),"-")</f>
        <v>24V</v>
      </c>
      <c r="T157" s="279" t="str">
        <f>IF(B157&gt;0,(VLOOKUP(I157,'Actuator Reference'!$A$2:$H$54,8)),"-")</f>
        <v>MT-Series</v>
      </c>
      <c r="AD157" s="41"/>
      <c r="AE157" s="41"/>
      <c r="AF157" s="35">
        <v>1</v>
      </c>
      <c r="AG157" s="35" t="s">
        <v>1097</v>
      </c>
      <c r="AH157" s="38" t="str">
        <f t="shared" si="10"/>
        <v>259-02032</v>
      </c>
      <c r="AI157" s="264" t="e">
        <f t="shared" si="11"/>
        <v>#REF!</v>
      </c>
    </row>
    <row r="158" spans="1:35" ht="14.25">
      <c r="A158" s="275" t="e">
        <f>'Box Schedule'!#REF!</f>
        <v>#REF!</v>
      </c>
      <c r="B158" s="262">
        <v>2</v>
      </c>
      <c r="C158" s="229" t="str">
        <f>IF((B158&gt;0),(VLOOKUP(J158,'Valve Reference'!$A$2:$K$389,3)),"-")</f>
        <v>0.5</v>
      </c>
      <c r="D158" s="230" t="s">
        <v>577</v>
      </c>
      <c r="E158" s="231">
        <f>IF((B158&gt;0),('Vlookup Tables'!$B$37),"-")</f>
        <v>5</v>
      </c>
      <c r="F158" s="51">
        <f t="shared" si="8"/>
        <v>0.89442719099991586</v>
      </c>
      <c r="G158" s="228">
        <f>IF((B158&gt;0),(VLOOKUP($B158,'Vlookup Tables'!$B$23:$F$33,2,TRUE)),"-")</f>
        <v>1</v>
      </c>
      <c r="H158" s="52">
        <f t="shared" si="9"/>
        <v>4</v>
      </c>
      <c r="I158" s="50">
        <f>IF((B158&gt;0),('Vlookup Tables'!$B$35),"-")</f>
        <v>259</v>
      </c>
      <c r="J158" s="265" t="str">
        <f>IF(B158&gt;0,(IF(D158="2-Way",VLOOKUP($G158,'Vlookup Tables'!$C$23:$F$33,2,FALSE),VLOOKUP($G158,'Vlookup Tables'!$C$23:$F$33,3,FALSE))),"-")</f>
        <v>02034</v>
      </c>
      <c r="K158" s="276" t="str">
        <f>IF(B158&gt;0,(VLOOKUP(J158,'Valve Reference'!$A$2:$K$389,4)),"-")</f>
        <v>Standard</v>
      </c>
      <c r="L158" s="276" t="str">
        <f>IF(B158&gt;0,(VLOOKUP(J158,'Valve Reference'!$A$2:$K$389,5)),"-")</f>
        <v>BR</v>
      </c>
      <c r="M158" s="276" t="str">
        <f>IF(B158&gt;0,(VLOOKUP(J158,'Valve Reference'!$A$2:$K$389,8)),"-")</f>
        <v>Linear</v>
      </c>
      <c r="N158" s="276" t="str">
        <f>IF(B158&gt;0,(VLOOKUP(J158,'Valve Reference'!$A$2:$K$389,10)),"-")</f>
        <v>FxF</v>
      </c>
      <c r="O158" s="277" t="str">
        <f>IF(B158&gt;0,(VLOOKUP(J158,'Valve Reference'!$A$2:$K$389,11)),"-")</f>
        <v>Globe-Powermite</v>
      </c>
      <c r="P158" s="278" t="str">
        <f>IF(B158&gt;0,(VLOOKUP(I158,'Actuator Reference'!$A$2:$H$54,2)),"-")</f>
        <v>SSC81U</v>
      </c>
      <c r="Q158" s="278" t="str">
        <f>IF(B158&gt;0,(VLOOKUP(I158,'Actuator Reference'!$A$2:$H$54,5)),"-")</f>
        <v>Float</v>
      </c>
      <c r="R158" s="278" t="str">
        <f>IF(B158&gt;0,(VLOOKUP(I158,'Actuator Reference'!$A$2:$H$54,6)),"-")</f>
        <v>NSR</v>
      </c>
      <c r="S158" s="278" t="str">
        <f>IF(B158&gt;0,(VLOOKUP(I158,'Actuator Reference'!$A$2:$H$54,7)),"-")</f>
        <v>24V</v>
      </c>
      <c r="T158" s="279" t="str">
        <f>IF(B158&gt;0,(VLOOKUP(I158,'Actuator Reference'!$A$2:$H$54,8)),"-")</f>
        <v>MT-Series</v>
      </c>
      <c r="AD158" s="41"/>
      <c r="AE158" s="41"/>
      <c r="AF158" s="35">
        <v>1</v>
      </c>
      <c r="AG158" s="35" t="s">
        <v>1097</v>
      </c>
      <c r="AH158" s="38" t="str">
        <f t="shared" si="10"/>
        <v>259-02034</v>
      </c>
      <c r="AI158" s="264" t="e">
        <f t="shared" si="11"/>
        <v>#REF!</v>
      </c>
    </row>
    <row r="159" spans="1:35" ht="14.25">
      <c r="A159" s="275" t="e">
        <f>'Box Schedule'!#REF!</f>
        <v>#REF!</v>
      </c>
      <c r="B159" s="262">
        <v>3</v>
      </c>
      <c r="C159" s="229" t="str">
        <f>IF((B159&gt;0),(VLOOKUP(J159,'Valve Reference'!$A$2:$K$389,3)),"-")</f>
        <v>0.5</v>
      </c>
      <c r="D159" s="230" t="s">
        <v>577</v>
      </c>
      <c r="E159" s="231">
        <f>IF((B159&gt;0),('Vlookup Tables'!$B$37),"-")</f>
        <v>5</v>
      </c>
      <c r="F159" s="51">
        <f t="shared" si="8"/>
        <v>1.3416407864998738</v>
      </c>
      <c r="G159" s="228">
        <f>IF((B159&gt;0),(VLOOKUP($B159,'Vlookup Tables'!$B$23:$F$33,2,TRUE)),"-")</f>
        <v>1.6</v>
      </c>
      <c r="H159" s="52">
        <f t="shared" si="9"/>
        <v>3.515625</v>
      </c>
      <c r="I159" s="50">
        <f>IF((B159&gt;0),('Vlookup Tables'!$B$35),"-")</f>
        <v>259</v>
      </c>
      <c r="J159" s="265" t="str">
        <f>IF(B159&gt;0,(IF(D159="2-Way",VLOOKUP($G159,'Vlookup Tables'!$C$23:$F$33,2,FALSE),VLOOKUP($G159,'Vlookup Tables'!$C$23:$F$33,3,FALSE))),"-")</f>
        <v>02036</v>
      </c>
      <c r="K159" s="276" t="str">
        <f>IF(B159&gt;0,(VLOOKUP(J159,'Valve Reference'!$A$2:$K$389,4)),"-")</f>
        <v>Standard</v>
      </c>
      <c r="L159" s="276" t="str">
        <f>IF(B159&gt;0,(VLOOKUP(J159,'Valve Reference'!$A$2:$K$389,5)),"-")</f>
        <v>BR</v>
      </c>
      <c r="M159" s="276" t="str">
        <f>IF(B159&gt;0,(VLOOKUP(J159,'Valve Reference'!$A$2:$K$389,8)),"-")</f>
        <v>Linear</v>
      </c>
      <c r="N159" s="276" t="str">
        <f>IF(B159&gt;0,(VLOOKUP(J159,'Valve Reference'!$A$2:$K$389,10)),"-")</f>
        <v>FxF</v>
      </c>
      <c r="O159" s="277" t="str">
        <f>IF(B159&gt;0,(VLOOKUP(J159,'Valve Reference'!$A$2:$K$389,11)),"-")</f>
        <v>Globe-Powermite</v>
      </c>
      <c r="P159" s="278" t="str">
        <f>IF(B159&gt;0,(VLOOKUP(I159,'Actuator Reference'!$A$2:$H$54,2)),"-")</f>
        <v>SSC81U</v>
      </c>
      <c r="Q159" s="278" t="str">
        <f>IF(B159&gt;0,(VLOOKUP(I159,'Actuator Reference'!$A$2:$H$54,5)),"-")</f>
        <v>Float</v>
      </c>
      <c r="R159" s="278" t="str">
        <f>IF(B159&gt;0,(VLOOKUP(I159,'Actuator Reference'!$A$2:$H$54,6)),"-")</f>
        <v>NSR</v>
      </c>
      <c r="S159" s="278" t="str">
        <f>IF(B159&gt;0,(VLOOKUP(I159,'Actuator Reference'!$A$2:$H$54,7)),"-")</f>
        <v>24V</v>
      </c>
      <c r="T159" s="279" t="str">
        <f>IF(B159&gt;0,(VLOOKUP(I159,'Actuator Reference'!$A$2:$H$54,8)),"-")</f>
        <v>MT-Series</v>
      </c>
      <c r="AD159" s="41"/>
      <c r="AE159" s="41"/>
      <c r="AF159" s="35">
        <v>1</v>
      </c>
      <c r="AG159" s="35" t="s">
        <v>1097</v>
      </c>
      <c r="AH159" s="38" t="str">
        <f t="shared" si="10"/>
        <v>259-02036</v>
      </c>
      <c r="AI159" s="264" t="e">
        <f t="shared" si="11"/>
        <v>#REF!</v>
      </c>
    </row>
    <row r="160" spans="1:35" ht="14.25">
      <c r="A160" s="275" t="e">
        <f>'Box Schedule'!#REF!</f>
        <v>#REF!</v>
      </c>
      <c r="B160" s="262">
        <v>4</v>
      </c>
      <c r="C160" s="229" t="str">
        <f>IF((B160&gt;0),(VLOOKUP(J160,'Valve Reference'!$A$2:$K$389,3)),"-")</f>
        <v>0.5</v>
      </c>
      <c r="D160" s="230" t="s">
        <v>577</v>
      </c>
      <c r="E160" s="231">
        <f>IF((B160&gt;0),('Vlookup Tables'!$B$37),"-")</f>
        <v>5</v>
      </c>
      <c r="F160" s="51">
        <f t="shared" si="8"/>
        <v>1.7888543819998317</v>
      </c>
      <c r="G160" s="228">
        <f>IF((B160&gt;0),(VLOOKUP($B160,'Vlookup Tables'!$B$23:$F$33,2,TRUE)),"-")</f>
        <v>2.5</v>
      </c>
      <c r="H160" s="52">
        <f t="shared" si="9"/>
        <v>2.56</v>
      </c>
      <c r="I160" s="50">
        <f>IF((B160&gt;0),('Vlookup Tables'!$B$35),"-")</f>
        <v>259</v>
      </c>
      <c r="J160" s="265" t="str">
        <f>IF(B160&gt;0,(IF(D160="2-Way",VLOOKUP($G160,'Vlookup Tables'!$C$23:$F$33,2,FALSE),VLOOKUP($G160,'Vlookup Tables'!$C$23:$F$33,3,FALSE))),"-")</f>
        <v>02038</v>
      </c>
      <c r="K160" s="276" t="str">
        <f>IF(B160&gt;0,(VLOOKUP(J160,'Valve Reference'!$A$2:$K$389,4)),"-")</f>
        <v>Standard</v>
      </c>
      <c r="L160" s="276" t="str">
        <f>IF(B160&gt;0,(VLOOKUP(J160,'Valve Reference'!$A$2:$K$389,5)),"-")</f>
        <v>BR</v>
      </c>
      <c r="M160" s="276" t="str">
        <f>IF(B160&gt;0,(VLOOKUP(J160,'Valve Reference'!$A$2:$K$389,8)),"-")</f>
        <v>Linear</v>
      </c>
      <c r="N160" s="276" t="str">
        <f>IF(B160&gt;0,(VLOOKUP(J160,'Valve Reference'!$A$2:$K$389,10)),"-")</f>
        <v>FxF</v>
      </c>
      <c r="O160" s="277" t="str">
        <f>IF(B160&gt;0,(VLOOKUP(J160,'Valve Reference'!$A$2:$K$389,11)),"-")</f>
        <v>Globe-Powermite</v>
      </c>
      <c r="P160" s="278" t="str">
        <f>IF(B160&gt;0,(VLOOKUP(I160,'Actuator Reference'!$A$2:$H$54,2)),"-")</f>
        <v>SSC81U</v>
      </c>
      <c r="Q160" s="278" t="str">
        <f>IF(B160&gt;0,(VLOOKUP(I160,'Actuator Reference'!$A$2:$H$54,5)),"-")</f>
        <v>Float</v>
      </c>
      <c r="R160" s="278" t="str">
        <f>IF(B160&gt;0,(VLOOKUP(I160,'Actuator Reference'!$A$2:$H$54,6)),"-")</f>
        <v>NSR</v>
      </c>
      <c r="S160" s="278" t="str">
        <f>IF(B160&gt;0,(VLOOKUP(I160,'Actuator Reference'!$A$2:$H$54,7)),"-")</f>
        <v>24V</v>
      </c>
      <c r="T160" s="279" t="str">
        <f>IF(B160&gt;0,(VLOOKUP(I160,'Actuator Reference'!$A$2:$H$54,8)),"-")</f>
        <v>MT-Series</v>
      </c>
      <c r="AD160" s="41"/>
      <c r="AE160" s="41"/>
      <c r="AF160" s="35">
        <v>1</v>
      </c>
      <c r="AG160" s="35" t="s">
        <v>1097</v>
      </c>
      <c r="AH160" s="38" t="str">
        <f t="shared" si="10"/>
        <v>259-02038</v>
      </c>
      <c r="AI160" s="264" t="e">
        <f t="shared" si="11"/>
        <v>#REF!</v>
      </c>
    </row>
    <row r="161" spans="1:35" ht="14.25">
      <c r="A161" s="275" t="e">
        <f>'Box Schedule'!#REF!</f>
        <v>#REF!</v>
      </c>
      <c r="B161" s="262">
        <v>5</v>
      </c>
      <c r="C161" s="229" t="str">
        <f>IF((B161&gt;0),(VLOOKUP(J161,'Valve Reference'!$A$2:$K$389,3)),"-")</f>
        <v>0.5</v>
      </c>
      <c r="D161" s="230" t="s">
        <v>577</v>
      </c>
      <c r="E161" s="231">
        <f>IF((B161&gt;0),('Vlookup Tables'!$B$37),"-")</f>
        <v>5</v>
      </c>
      <c r="F161" s="51">
        <f t="shared" si="8"/>
        <v>2.2360679774997898</v>
      </c>
      <c r="G161" s="228">
        <f>IF((B161&gt;0),(VLOOKUP($B161,'Vlookup Tables'!$B$23:$F$33,2,TRUE)),"-")</f>
        <v>2.5</v>
      </c>
      <c r="H161" s="52">
        <f t="shared" si="9"/>
        <v>4</v>
      </c>
      <c r="I161" s="50">
        <f>IF((B161&gt;0),('Vlookup Tables'!$B$35),"-")</f>
        <v>259</v>
      </c>
      <c r="J161" s="265" t="str">
        <f>IF(B161&gt;0,(IF(D161="2-Way",VLOOKUP($G161,'Vlookup Tables'!$C$23:$F$33,2,FALSE),VLOOKUP($G161,'Vlookup Tables'!$C$23:$F$33,3,FALSE))),"-")</f>
        <v>02038</v>
      </c>
      <c r="K161" s="276" t="str">
        <f>IF(B161&gt;0,(VLOOKUP(J161,'Valve Reference'!$A$2:$K$389,4)),"-")</f>
        <v>Standard</v>
      </c>
      <c r="L161" s="276" t="str">
        <f>IF(B161&gt;0,(VLOOKUP(J161,'Valve Reference'!$A$2:$K$389,5)),"-")</f>
        <v>BR</v>
      </c>
      <c r="M161" s="276" t="str">
        <f>IF(B161&gt;0,(VLOOKUP(J161,'Valve Reference'!$A$2:$K$389,8)),"-")</f>
        <v>Linear</v>
      </c>
      <c r="N161" s="276" t="str">
        <f>IF(B161&gt;0,(VLOOKUP(J161,'Valve Reference'!$A$2:$K$389,10)),"-")</f>
        <v>FxF</v>
      </c>
      <c r="O161" s="277" t="str">
        <f>IF(B161&gt;0,(VLOOKUP(J161,'Valve Reference'!$A$2:$K$389,11)),"-")</f>
        <v>Globe-Powermite</v>
      </c>
      <c r="P161" s="278" t="str">
        <f>IF(B161&gt;0,(VLOOKUP(I161,'Actuator Reference'!$A$2:$H$54,2)),"-")</f>
        <v>SSC81U</v>
      </c>
      <c r="Q161" s="278" t="str">
        <f>IF(B161&gt;0,(VLOOKUP(I161,'Actuator Reference'!$A$2:$H$54,5)),"-")</f>
        <v>Float</v>
      </c>
      <c r="R161" s="278" t="str">
        <f>IF(B161&gt;0,(VLOOKUP(I161,'Actuator Reference'!$A$2:$H$54,6)),"-")</f>
        <v>NSR</v>
      </c>
      <c r="S161" s="278" t="str">
        <f>IF(B161&gt;0,(VLOOKUP(I161,'Actuator Reference'!$A$2:$H$54,7)),"-")</f>
        <v>24V</v>
      </c>
      <c r="T161" s="279" t="str">
        <f>IF(B161&gt;0,(VLOOKUP(I161,'Actuator Reference'!$A$2:$H$54,8)),"-")</f>
        <v>MT-Series</v>
      </c>
      <c r="AD161" s="41"/>
      <c r="AE161" s="41"/>
      <c r="AF161" s="35">
        <v>1</v>
      </c>
      <c r="AG161" s="35" t="s">
        <v>1097</v>
      </c>
      <c r="AH161" s="38" t="str">
        <f t="shared" si="10"/>
        <v>259-02038</v>
      </c>
      <c r="AI161" s="264" t="e">
        <f t="shared" si="11"/>
        <v>#REF!</v>
      </c>
    </row>
    <row r="162" spans="1:35" ht="14.25">
      <c r="A162" s="275" t="e">
        <f>'Box Schedule'!#REF!</f>
        <v>#REF!</v>
      </c>
      <c r="B162" s="262">
        <v>6</v>
      </c>
      <c r="C162" s="229" t="str">
        <f>IF((B162&gt;0),(VLOOKUP(J162,'Valve Reference'!$A$2:$K$389,3)),"-")</f>
        <v>0.5</v>
      </c>
      <c r="D162" s="230" t="s">
        <v>577</v>
      </c>
      <c r="E162" s="231">
        <f>IF((B162&gt;0),('Vlookup Tables'!$B$37),"-")</f>
        <v>5</v>
      </c>
      <c r="F162" s="51">
        <f t="shared" si="8"/>
        <v>2.6832815729997477</v>
      </c>
      <c r="G162" s="228">
        <f>IF((B162&gt;0),(VLOOKUP($B162,'Vlookup Tables'!$B$23:$F$33,2,TRUE)),"-")</f>
        <v>4</v>
      </c>
      <c r="H162" s="52">
        <f t="shared" si="9"/>
        <v>2.25</v>
      </c>
      <c r="I162" s="50">
        <f>IF((B162&gt;0),('Vlookup Tables'!$B$35),"-")</f>
        <v>259</v>
      </c>
      <c r="J162" s="265" t="str">
        <f>IF(B162&gt;0,(IF(D162="2-Way",VLOOKUP($G162,'Vlookup Tables'!$C$23:$F$33,2,FALSE),VLOOKUP($G162,'Vlookup Tables'!$C$23:$F$33,3,FALSE))),"-")</f>
        <v>02041</v>
      </c>
      <c r="K162" s="276" t="str">
        <f>IF(B162&gt;0,(VLOOKUP(J162,'Valve Reference'!$A$2:$K$389,4)),"-")</f>
        <v>Standard</v>
      </c>
      <c r="L162" s="276" t="str">
        <f>IF(B162&gt;0,(VLOOKUP(J162,'Valve Reference'!$A$2:$K$389,5)),"-")</f>
        <v>BR</v>
      </c>
      <c r="M162" s="276" t="str">
        <f>IF(B162&gt;0,(VLOOKUP(J162,'Valve Reference'!$A$2:$K$389,8)),"-")</f>
        <v>Linear</v>
      </c>
      <c r="N162" s="276" t="str">
        <f>IF(B162&gt;0,(VLOOKUP(J162,'Valve Reference'!$A$2:$K$389,10)),"-")</f>
        <v>FxF</v>
      </c>
      <c r="O162" s="277" t="str">
        <f>IF(B162&gt;0,(VLOOKUP(J162,'Valve Reference'!$A$2:$K$389,11)),"-")</f>
        <v>Globe-Powermite</v>
      </c>
      <c r="P162" s="278" t="str">
        <f>IF(B162&gt;0,(VLOOKUP(I162,'Actuator Reference'!$A$2:$H$54,2)),"-")</f>
        <v>SSC81U</v>
      </c>
      <c r="Q162" s="278" t="str">
        <f>IF(B162&gt;0,(VLOOKUP(I162,'Actuator Reference'!$A$2:$H$54,5)),"-")</f>
        <v>Float</v>
      </c>
      <c r="R162" s="278" t="str">
        <f>IF(B162&gt;0,(VLOOKUP(I162,'Actuator Reference'!$A$2:$H$54,6)),"-")</f>
        <v>NSR</v>
      </c>
      <c r="S162" s="278" t="str">
        <f>IF(B162&gt;0,(VLOOKUP(I162,'Actuator Reference'!$A$2:$H$54,7)),"-")</f>
        <v>24V</v>
      </c>
      <c r="T162" s="279" t="str">
        <f>IF(B162&gt;0,(VLOOKUP(I162,'Actuator Reference'!$A$2:$H$54,8)),"-")</f>
        <v>MT-Series</v>
      </c>
      <c r="AD162" s="41"/>
      <c r="AE162" s="41"/>
      <c r="AF162" s="35">
        <v>1</v>
      </c>
      <c r="AG162" s="35" t="s">
        <v>1097</v>
      </c>
      <c r="AH162" s="38" t="str">
        <f t="shared" si="10"/>
        <v>259-02041</v>
      </c>
      <c r="AI162" s="264" t="e">
        <f t="shared" si="11"/>
        <v>#REF!</v>
      </c>
    </row>
    <row r="163" spans="1:35" ht="14.25">
      <c r="A163" s="275" t="e">
        <f>'Box Schedule'!#REF!</f>
        <v>#REF!</v>
      </c>
      <c r="B163" s="262">
        <v>7</v>
      </c>
      <c r="C163" s="229" t="str">
        <f>IF((B163&gt;0),(VLOOKUP(J163,'Valve Reference'!$A$2:$K$389,3)),"-")</f>
        <v>0.5</v>
      </c>
      <c r="D163" s="230" t="s">
        <v>577</v>
      </c>
      <c r="E163" s="231">
        <f>IF((B163&gt;0),('Vlookup Tables'!$B$37),"-")</f>
        <v>5</v>
      </c>
      <c r="F163" s="51">
        <f t="shared" si="8"/>
        <v>3.1304951684997055</v>
      </c>
      <c r="G163" s="228">
        <f>IF((B163&gt;0),(VLOOKUP($B163,'Vlookup Tables'!$B$23:$F$33,2,TRUE)),"-")</f>
        <v>4</v>
      </c>
      <c r="H163" s="52">
        <f t="shared" si="9"/>
        <v>3.0625000000000004</v>
      </c>
      <c r="I163" s="50">
        <f>IF((B163&gt;0),('Vlookup Tables'!$B$35),"-")</f>
        <v>259</v>
      </c>
      <c r="J163" s="265" t="str">
        <f>IF(B163&gt;0,(IF(D163="2-Way",VLOOKUP($G163,'Vlookup Tables'!$C$23:$F$33,2,FALSE),VLOOKUP($G163,'Vlookup Tables'!$C$23:$F$33,3,FALSE))),"-")</f>
        <v>02041</v>
      </c>
      <c r="K163" s="276" t="str">
        <f>IF(B163&gt;0,(VLOOKUP(J163,'Valve Reference'!$A$2:$K$389,4)),"-")</f>
        <v>Standard</v>
      </c>
      <c r="L163" s="276" t="str">
        <f>IF(B163&gt;0,(VLOOKUP(J163,'Valve Reference'!$A$2:$K$389,5)),"-")</f>
        <v>BR</v>
      </c>
      <c r="M163" s="276" t="str">
        <f>IF(B163&gt;0,(VLOOKUP(J163,'Valve Reference'!$A$2:$K$389,8)),"-")</f>
        <v>Linear</v>
      </c>
      <c r="N163" s="276" t="str">
        <f>IF(B163&gt;0,(VLOOKUP(J163,'Valve Reference'!$A$2:$K$389,10)),"-")</f>
        <v>FxF</v>
      </c>
      <c r="O163" s="277" t="str">
        <f>IF(B163&gt;0,(VLOOKUP(J163,'Valve Reference'!$A$2:$K$389,11)),"-")</f>
        <v>Globe-Powermite</v>
      </c>
      <c r="P163" s="278" t="str">
        <f>IF(B163&gt;0,(VLOOKUP(I163,'Actuator Reference'!$A$2:$H$54,2)),"-")</f>
        <v>SSC81U</v>
      </c>
      <c r="Q163" s="278" t="str">
        <f>IF(B163&gt;0,(VLOOKUP(I163,'Actuator Reference'!$A$2:$H$54,5)),"-")</f>
        <v>Float</v>
      </c>
      <c r="R163" s="278" t="str">
        <f>IF(B163&gt;0,(VLOOKUP(I163,'Actuator Reference'!$A$2:$H$54,6)),"-")</f>
        <v>NSR</v>
      </c>
      <c r="S163" s="278" t="str">
        <f>IF(B163&gt;0,(VLOOKUP(I163,'Actuator Reference'!$A$2:$H$54,7)),"-")</f>
        <v>24V</v>
      </c>
      <c r="T163" s="279" t="str">
        <f>IF(B163&gt;0,(VLOOKUP(I163,'Actuator Reference'!$A$2:$H$54,8)),"-")</f>
        <v>MT-Series</v>
      </c>
      <c r="AD163" s="41"/>
      <c r="AE163" s="41"/>
      <c r="AF163" s="35">
        <v>1</v>
      </c>
      <c r="AG163" s="35" t="s">
        <v>1097</v>
      </c>
      <c r="AH163" s="38" t="str">
        <f t="shared" si="10"/>
        <v>259-02041</v>
      </c>
      <c r="AI163" s="264" t="e">
        <f t="shared" si="11"/>
        <v>#REF!</v>
      </c>
    </row>
    <row r="164" spans="1:35" ht="14.25">
      <c r="A164" s="275" t="e">
        <f>'Box Schedule'!#REF!</f>
        <v>#REF!</v>
      </c>
      <c r="B164" s="262">
        <v>8</v>
      </c>
      <c r="C164" s="229" t="str">
        <f>IF((B164&gt;0),(VLOOKUP(J164,'Valve Reference'!$A$2:$K$389,3)),"-")</f>
        <v>0.5</v>
      </c>
      <c r="D164" s="230" t="s">
        <v>577</v>
      </c>
      <c r="E164" s="231">
        <f>IF((B164&gt;0),('Vlookup Tables'!$B$37),"-")</f>
        <v>5</v>
      </c>
      <c r="F164" s="51">
        <f t="shared" si="8"/>
        <v>3.5777087639996634</v>
      </c>
      <c r="G164" s="228">
        <f>IF((B164&gt;0),(VLOOKUP($B164,'Vlookup Tables'!$B$23:$F$33,2,TRUE)),"-")</f>
        <v>4</v>
      </c>
      <c r="H164" s="52">
        <f t="shared" si="9"/>
        <v>4</v>
      </c>
      <c r="I164" s="50">
        <f>IF((B164&gt;0),('Vlookup Tables'!$B$35),"-")</f>
        <v>259</v>
      </c>
      <c r="J164" s="265" t="str">
        <f>IF(B164&gt;0,(IF(D164="2-Way",VLOOKUP($G164,'Vlookup Tables'!$C$23:$F$33,2,FALSE),VLOOKUP($G164,'Vlookup Tables'!$C$23:$F$33,3,FALSE))),"-")</f>
        <v>02041</v>
      </c>
      <c r="K164" s="276" t="str">
        <f>IF(B164&gt;0,(VLOOKUP(J164,'Valve Reference'!$A$2:$K$389,4)),"-")</f>
        <v>Standard</v>
      </c>
      <c r="L164" s="276" t="str">
        <f>IF(B164&gt;0,(VLOOKUP(J164,'Valve Reference'!$A$2:$K$389,5)),"-")</f>
        <v>BR</v>
      </c>
      <c r="M164" s="276" t="str">
        <f>IF(B164&gt;0,(VLOOKUP(J164,'Valve Reference'!$A$2:$K$389,8)),"-")</f>
        <v>Linear</v>
      </c>
      <c r="N164" s="276" t="str">
        <f>IF(B164&gt;0,(VLOOKUP(J164,'Valve Reference'!$A$2:$K$389,10)),"-")</f>
        <v>FxF</v>
      </c>
      <c r="O164" s="277" t="str">
        <f>IF(B164&gt;0,(VLOOKUP(J164,'Valve Reference'!$A$2:$K$389,11)),"-")</f>
        <v>Globe-Powermite</v>
      </c>
      <c r="P164" s="278" t="str">
        <f>IF(B164&gt;0,(VLOOKUP(I164,'Actuator Reference'!$A$2:$H$54,2)),"-")</f>
        <v>SSC81U</v>
      </c>
      <c r="Q164" s="278" t="str">
        <f>IF(B164&gt;0,(VLOOKUP(I164,'Actuator Reference'!$A$2:$H$54,5)),"-")</f>
        <v>Float</v>
      </c>
      <c r="R164" s="278" t="str">
        <f>IF(B164&gt;0,(VLOOKUP(I164,'Actuator Reference'!$A$2:$H$54,6)),"-")</f>
        <v>NSR</v>
      </c>
      <c r="S164" s="278" t="str">
        <f>IF(B164&gt;0,(VLOOKUP(I164,'Actuator Reference'!$A$2:$H$54,7)),"-")</f>
        <v>24V</v>
      </c>
      <c r="T164" s="279" t="str">
        <f>IF(B164&gt;0,(VLOOKUP(I164,'Actuator Reference'!$A$2:$H$54,8)),"-")</f>
        <v>MT-Series</v>
      </c>
      <c r="AD164" s="41"/>
      <c r="AE164" s="41"/>
      <c r="AF164" s="35">
        <v>1</v>
      </c>
      <c r="AG164" s="35" t="s">
        <v>1097</v>
      </c>
      <c r="AH164" s="38" t="str">
        <f t="shared" si="10"/>
        <v>259-02041</v>
      </c>
      <c r="AI164" s="264" t="e">
        <f t="shared" si="11"/>
        <v>#REF!</v>
      </c>
    </row>
    <row r="165" spans="1:35" ht="14.25">
      <c r="A165" s="275" t="e">
        <f>'Box Schedule'!#REF!</f>
        <v>#REF!</v>
      </c>
      <c r="B165" s="262">
        <v>9</v>
      </c>
      <c r="C165" s="229" t="str">
        <f>IF((B165&gt;0),(VLOOKUP(J165,'Valve Reference'!$A$2:$K$389,3)),"-")</f>
        <v>0.75</v>
      </c>
      <c r="D165" s="230" t="s">
        <v>577</v>
      </c>
      <c r="E165" s="231">
        <f>IF((B165&gt;0),('Vlookup Tables'!$B$37),"-")</f>
        <v>5</v>
      </c>
      <c r="F165" s="51">
        <f t="shared" si="8"/>
        <v>4.0249223594996213</v>
      </c>
      <c r="G165" s="228">
        <f>IF((B165&gt;0),(VLOOKUP($B165,'Vlookup Tables'!$B$23:$F$33,2,TRUE)),"-")</f>
        <v>6.3</v>
      </c>
      <c r="H165" s="52">
        <f t="shared" si="9"/>
        <v>2.0408163265306127</v>
      </c>
      <c r="I165" s="50">
        <f>IF((B165&gt;0),('Vlookup Tables'!$B$35),"-")</f>
        <v>259</v>
      </c>
      <c r="J165" s="265" t="str">
        <f>IF(B165&gt;0,(IF(D165="2-Way",VLOOKUP($G165,'Vlookup Tables'!$C$23:$F$33,2,FALSE),VLOOKUP($G165,'Vlookup Tables'!$C$23:$F$33,3,FALSE))),"-")</f>
        <v>02044</v>
      </c>
      <c r="K165" s="276" t="str">
        <f>IF(B165&gt;0,(VLOOKUP(J165,'Valve Reference'!$A$2:$K$389,4)),"-")</f>
        <v>Standard</v>
      </c>
      <c r="L165" s="276" t="str">
        <f>IF(B165&gt;0,(VLOOKUP(J165,'Valve Reference'!$A$2:$K$389,5)),"-")</f>
        <v>BR</v>
      </c>
      <c r="M165" s="276" t="str">
        <f>IF(B165&gt;0,(VLOOKUP(J165,'Valve Reference'!$A$2:$K$389,8)),"-")</f>
        <v>Linear</v>
      </c>
      <c r="N165" s="276" t="str">
        <f>IF(B165&gt;0,(VLOOKUP(J165,'Valve Reference'!$A$2:$K$389,10)),"-")</f>
        <v>FxF</v>
      </c>
      <c r="O165" s="277" t="str">
        <f>IF(B165&gt;0,(VLOOKUP(J165,'Valve Reference'!$A$2:$K$389,11)),"-")</f>
        <v>Globe-Powermite</v>
      </c>
      <c r="P165" s="278" t="str">
        <f>IF(B165&gt;0,(VLOOKUP(I165,'Actuator Reference'!$A$2:$H$54,2)),"-")</f>
        <v>SSC81U</v>
      </c>
      <c r="Q165" s="278" t="str">
        <f>IF(B165&gt;0,(VLOOKUP(I165,'Actuator Reference'!$A$2:$H$54,5)),"-")</f>
        <v>Float</v>
      </c>
      <c r="R165" s="278" t="str">
        <f>IF(B165&gt;0,(VLOOKUP(I165,'Actuator Reference'!$A$2:$H$54,6)),"-")</f>
        <v>NSR</v>
      </c>
      <c r="S165" s="278" t="str">
        <f>IF(B165&gt;0,(VLOOKUP(I165,'Actuator Reference'!$A$2:$H$54,7)),"-")</f>
        <v>24V</v>
      </c>
      <c r="T165" s="279" t="str">
        <f>IF(B165&gt;0,(VLOOKUP(I165,'Actuator Reference'!$A$2:$H$54,8)),"-")</f>
        <v>MT-Series</v>
      </c>
      <c r="AD165" s="41"/>
      <c r="AE165" s="41"/>
      <c r="AF165" s="35">
        <v>1</v>
      </c>
      <c r="AG165" s="35" t="s">
        <v>1097</v>
      </c>
      <c r="AH165" s="38" t="str">
        <f t="shared" si="10"/>
        <v>259-02044</v>
      </c>
      <c r="AI165" s="264" t="e">
        <f t="shared" si="11"/>
        <v>#REF!</v>
      </c>
    </row>
    <row r="166" spans="1:35" ht="14.25">
      <c r="A166" s="275" t="e">
        <f>'Box Schedule'!#REF!</f>
        <v>#REF!</v>
      </c>
      <c r="B166" s="262">
        <v>1</v>
      </c>
      <c r="C166" s="229" t="str">
        <f>IF((B166&gt;0),(VLOOKUP(J166,'Valve Reference'!$A$2:$K$389,3)),"-")</f>
        <v>0.5</v>
      </c>
      <c r="D166" s="230" t="s">
        <v>577</v>
      </c>
      <c r="E166" s="231">
        <f>IF((B166&gt;0),('Vlookup Tables'!$B$37),"-")</f>
        <v>5</v>
      </c>
      <c r="F166" s="51">
        <f t="shared" si="8"/>
        <v>0.44721359549995793</v>
      </c>
      <c r="G166" s="228">
        <f>IF((B166&gt;0),(VLOOKUP($B166,'Vlookup Tables'!$B$23:$F$33,2,TRUE)),"-")</f>
        <v>0.63</v>
      </c>
      <c r="H166" s="52">
        <f t="shared" si="9"/>
        <v>2.5195263290501382</v>
      </c>
      <c r="I166" s="50">
        <f>IF((B166&gt;0),('Vlookup Tables'!$B$35),"-")</f>
        <v>259</v>
      </c>
      <c r="J166" s="265" t="str">
        <f>IF(B166&gt;0,(IF(D166="2-Way",VLOOKUP($G166,'Vlookup Tables'!$C$23:$F$33,2,FALSE),VLOOKUP($G166,'Vlookup Tables'!$C$23:$F$33,3,FALSE))),"-")</f>
        <v>02032</v>
      </c>
      <c r="K166" s="276" t="str">
        <f>IF(B166&gt;0,(VLOOKUP(J166,'Valve Reference'!$A$2:$K$389,4)),"-")</f>
        <v>Standard</v>
      </c>
      <c r="L166" s="276" t="str">
        <f>IF(B166&gt;0,(VLOOKUP(J166,'Valve Reference'!$A$2:$K$389,5)),"-")</f>
        <v>BR</v>
      </c>
      <c r="M166" s="276" t="str">
        <f>IF(B166&gt;0,(VLOOKUP(J166,'Valve Reference'!$A$2:$K$389,8)),"-")</f>
        <v>Linear</v>
      </c>
      <c r="N166" s="276" t="str">
        <f>IF(B166&gt;0,(VLOOKUP(J166,'Valve Reference'!$A$2:$K$389,10)),"-")</f>
        <v>FxF</v>
      </c>
      <c r="O166" s="277" t="str">
        <f>IF(B166&gt;0,(VLOOKUP(J166,'Valve Reference'!$A$2:$K$389,11)),"-")</f>
        <v>Globe-Powermite</v>
      </c>
      <c r="P166" s="278" t="str">
        <f>IF(B166&gt;0,(VLOOKUP(I166,'Actuator Reference'!$A$2:$H$54,2)),"-")</f>
        <v>SSC81U</v>
      </c>
      <c r="Q166" s="278" t="str">
        <f>IF(B166&gt;0,(VLOOKUP(I166,'Actuator Reference'!$A$2:$H$54,5)),"-")</f>
        <v>Float</v>
      </c>
      <c r="R166" s="278" t="str">
        <f>IF(B166&gt;0,(VLOOKUP(I166,'Actuator Reference'!$A$2:$H$54,6)),"-")</f>
        <v>NSR</v>
      </c>
      <c r="S166" s="278" t="str">
        <f>IF(B166&gt;0,(VLOOKUP(I166,'Actuator Reference'!$A$2:$H$54,7)),"-")</f>
        <v>24V</v>
      </c>
      <c r="T166" s="279" t="str">
        <f>IF(B166&gt;0,(VLOOKUP(I166,'Actuator Reference'!$A$2:$H$54,8)),"-")</f>
        <v>MT-Series</v>
      </c>
      <c r="AD166" s="41"/>
      <c r="AE166" s="41"/>
      <c r="AF166" s="35">
        <v>1</v>
      </c>
      <c r="AG166" s="35" t="s">
        <v>1097</v>
      </c>
      <c r="AH166" s="38" t="str">
        <f t="shared" si="10"/>
        <v>259-02032</v>
      </c>
      <c r="AI166" s="264" t="e">
        <f t="shared" si="11"/>
        <v>#REF!</v>
      </c>
    </row>
    <row r="167" spans="1:35" ht="14.25">
      <c r="A167" s="275" t="e">
        <f>'Box Schedule'!#REF!</f>
        <v>#REF!</v>
      </c>
      <c r="B167" s="262">
        <v>2</v>
      </c>
      <c r="C167" s="229" t="str">
        <f>IF((B167&gt;0),(VLOOKUP(J167,'Valve Reference'!$A$2:$K$389,3)),"-")</f>
        <v>0.5</v>
      </c>
      <c r="D167" s="230" t="s">
        <v>577</v>
      </c>
      <c r="E167" s="231">
        <f>IF((B167&gt;0),('Vlookup Tables'!$B$37),"-")</f>
        <v>5</v>
      </c>
      <c r="F167" s="51">
        <f t="shared" si="8"/>
        <v>0.89442719099991586</v>
      </c>
      <c r="G167" s="228">
        <f>IF((B167&gt;0),(VLOOKUP($B167,'Vlookup Tables'!$B$23:$F$33,2,TRUE)),"-")</f>
        <v>1</v>
      </c>
      <c r="H167" s="52">
        <f t="shared" si="9"/>
        <v>4</v>
      </c>
      <c r="I167" s="50">
        <f>IF((B167&gt;0),('Vlookup Tables'!$B$35),"-")</f>
        <v>259</v>
      </c>
      <c r="J167" s="265" t="str">
        <f>IF(B167&gt;0,(IF(D167="2-Way",VLOOKUP($G167,'Vlookup Tables'!$C$23:$F$33,2,FALSE),VLOOKUP($G167,'Vlookup Tables'!$C$23:$F$33,3,FALSE))),"-")</f>
        <v>02034</v>
      </c>
      <c r="K167" s="276" t="str">
        <f>IF(B167&gt;0,(VLOOKUP(J167,'Valve Reference'!$A$2:$K$389,4)),"-")</f>
        <v>Standard</v>
      </c>
      <c r="L167" s="276" t="str">
        <f>IF(B167&gt;0,(VLOOKUP(J167,'Valve Reference'!$A$2:$K$389,5)),"-")</f>
        <v>BR</v>
      </c>
      <c r="M167" s="276" t="str">
        <f>IF(B167&gt;0,(VLOOKUP(J167,'Valve Reference'!$A$2:$K$389,8)),"-")</f>
        <v>Linear</v>
      </c>
      <c r="N167" s="276" t="str">
        <f>IF(B167&gt;0,(VLOOKUP(J167,'Valve Reference'!$A$2:$K$389,10)),"-")</f>
        <v>FxF</v>
      </c>
      <c r="O167" s="277" t="str">
        <f>IF(B167&gt;0,(VLOOKUP(J167,'Valve Reference'!$A$2:$K$389,11)),"-")</f>
        <v>Globe-Powermite</v>
      </c>
      <c r="P167" s="278" t="str">
        <f>IF(B167&gt;0,(VLOOKUP(I167,'Actuator Reference'!$A$2:$H$54,2)),"-")</f>
        <v>SSC81U</v>
      </c>
      <c r="Q167" s="278" t="str">
        <f>IF(B167&gt;0,(VLOOKUP(I167,'Actuator Reference'!$A$2:$H$54,5)),"-")</f>
        <v>Float</v>
      </c>
      <c r="R167" s="278" t="str">
        <f>IF(B167&gt;0,(VLOOKUP(I167,'Actuator Reference'!$A$2:$H$54,6)),"-")</f>
        <v>NSR</v>
      </c>
      <c r="S167" s="278" t="str">
        <f>IF(B167&gt;0,(VLOOKUP(I167,'Actuator Reference'!$A$2:$H$54,7)),"-")</f>
        <v>24V</v>
      </c>
      <c r="T167" s="279" t="str">
        <f>IF(B167&gt;0,(VLOOKUP(I167,'Actuator Reference'!$A$2:$H$54,8)),"-")</f>
        <v>MT-Series</v>
      </c>
      <c r="AD167" s="41"/>
      <c r="AE167" s="41"/>
      <c r="AF167" s="35">
        <v>1</v>
      </c>
      <c r="AG167" s="35" t="s">
        <v>1097</v>
      </c>
      <c r="AH167" s="38" t="str">
        <f t="shared" si="10"/>
        <v>259-02034</v>
      </c>
      <c r="AI167" s="264" t="e">
        <f t="shared" si="11"/>
        <v>#REF!</v>
      </c>
    </row>
    <row r="168" spans="1:35" ht="14.25">
      <c r="A168" s="275" t="e">
        <f>'Box Schedule'!#REF!</f>
        <v>#REF!</v>
      </c>
      <c r="B168" s="262">
        <v>3</v>
      </c>
      <c r="C168" s="229" t="str">
        <f>IF((B168&gt;0),(VLOOKUP(J168,'Valve Reference'!$A$2:$K$389,3)),"-")</f>
        <v>0.5</v>
      </c>
      <c r="D168" s="230" t="s">
        <v>577</v>
      </c>
      <c r="E168" s="231">
        <f>IF((B168&gt;0),('Vlookup Tables'!$B$37),"-")</f>
        <v>5</v>
      </c>
      <c r="F168" s="51">
        <f t="shared" si="8"/>
        <v>1.3416407864998738</v>
      </c>
      <c r="G168" s="228">
        <f>IF((B168&gt;0),(VLOOKUP($B168,'Vlookup Tables'!$B$23:$F$33,2,TRUE)),"-")</f>
        <v>1.6</v>
      </c>
      <c r="H168" s="52">
        <f t="shared" si="9"/>
        <v>3.515625</v>
      </c>
      <c r="I168" s="50">
        <f>IF((B168&gt;0),('Vlookup Tables'!$B$35),"-")</f>
        <v>259</v>
      </c>
      <c r="J168" s="265" t="str">
        <f>IF(B168&gt;0,(IF(D168="2-Way",VLOOKUP($G168,'Vlookup Tables'!$C$23:$F$33,2,FALSE),VLOOKUP($G168,'Vlookup Tables'!$C$23:$F$33,3,FALSE))),"-")</f>
        <v>02036</v>
      </c>
      <c r="K168" s="276" t="str">
        <f>IF(B168&gt;0,(VLOOKUP(J168,'Valve Reference'!$A$2:$K$389,4)),"-")</f>
        <v>Standard</v>
      </c>
      <c r="L168" s="276" t="str">
        <f>IF(B168&gt;0,(VLOOKUP(J168,'Valve Reference'!$A$2:$K$389,5)),"-")</f>
        <v>BR</v>
      </c>
      <c r="M168" s="276" t="str">
        <f>IF(B168&gt;0,(VLOOKUP(J168,'Valve Reference'!$A$2:$K$389,8)),"-")</f>
        <v>Linear</v>
      </c>
      <c r="N168" s="276" t="str">
        <f>IF(B168&gt;0,(VLOOKUP(J168,'Valve Reference'!$A$2:$K$389,10)),"-")</f>
        <v>FxF</v>
      </c>
      <c r="O168" s="277" t="str">
        <f>IF(B168&gt;0,(VLOOKUP(J168,'Valve Reference'!$A$2:$K$389,11)),"-")</f>
        <v>Globe-Powermite</v>
      </c>
      <c r="P168" s="278" t="str">
        <f>IF(B168&gt;0,(VLOOKUP(I168,'Actuator Reference'!$A$2:$H$54,2)),"-")</f>
        <v>SSC81U</v>
      </c>
      <c r="Q168" s="278" t="str">
        <f>IF(B168&gt;0,(VLOOKUP(I168,'Actuator Reference'!$A$2:$H$54,5)),"-")</f>
        <v>Float</v>
      </c>
      <c r="R168" s="278" t="str">
        <f>IF(B168&gt;0,(VLOOKUP(I168,'Actuator Reference'!$A$2:$H$54,6)),"-")</f>
        <v>NSR</v>
      </c>
      <c r="S168" s="278" t="str">
        <f>IF(B168&gt;0,(VLOOKUP(I168,'Actuator Reference'!$A$2:$H$54,7)),"-")</f>
        <v>24V</v>
      </c>
      <c r="T168" s="279" t="str">
        <f>IF(B168&gt;0,(VLOOKUP(I168,'Actuator Reference'!$A$2:$H$54,8)),"-")</f>
        <v>MT-Series</v>
      </c>
      <c r="AD168" s="41"/>
      <c r="AE168" s="41"/>
      <c r="AF168" s="35">
        <v>1</v>
      </c>
      <c r="AG168" s="35" t="s">
        <v>1097</v>
      </c>
      <c r="AH168" s="38" t="str">
        <f t="shared" si="10"/>
        <v>259-02036</v>
      </c>
      <c r="AI168" s="264" t="e">
        <f t="shared" si="11"/>
        <v>#REF!</v>
      </c>
    </row>
    <row r="169" spans="1:35" ht="14.25">
      <c r="A169" s="275" t="e">
        <f>'Box Schedule'!#REF!</f>
        <v>#REF!</v>
      </c>
      <c r="B169" s="262">
        <v>4</v>
      </c>
      <c r="C169" s="229" t="str">
        <f>IF((B169&gt;0),(VLOOKUP(J169,'Valve Reference'!$A$2:$K$389,3)),"-")</f>
        <v>0.5</v>
      </c>
      <c r="D169" s="230" t="s">
        <v>577</v>
      </c>
      <c r="E169" s="231">
        <f>IF((B169&gt;0),('Vlookup Tables'!$B$37),"-")</f>
        <v>5</v>
      </c>
      <c r="F169" s="51">
        <f t="shared" si="8"/>
        <v>1.7888543819998317</v>
      </c>
      <c r="G169" s="228">
        <f>IF((B169&gt;0),(VLOOKUP($B169,'Vlookup Tables'!$B$23:$F$33,2,TRUE)),"-")</f>
        <v>2.5</v>
      </c>
      <c r="H169" s="52">
        <f t="shared" si="9"/>
        <v>2.56</v>
      </c>
      <c r="I169" s="50">
        <f>IF((B169&gt;0),('Vlookup Tables'!$B$35),"-")</f>
        <v>259</v>
      </c>
      <c r="J169" s="265" t="str">
        <f>IF(B169&gt;0,(IF(D169="2-Way",VLOOKUP($G169,'Vlookup Tables'!$C$23:$F$33,2,FALSE),VLOOKUP($G169,'Vlookup Tables'!$C$23:$F$33,3,FALSE))),"-")</f>
        <v>02038</v>
      </c>
      <c r="K169" s="276" t="str">
        <f>IF(B169&gt;0,(VLOOKUP(J169,'Valve Reference'!$A$2:$K$389,4)),"-")</f>
        <v>Standard</v>
      </c>
      <c r="L169" s="276" t="str">
        <f>IF(B169&gt;0,(VLOOKUP(J169,'Valve Reference'!$A$2:$K$389,5)),"-")</f>
        <v>BR</v>
      </c>
      <c r="M169" s="276" t="str">
        <f>IF(B169&gt;0,(VLOOKUP(J169,'Valve Reference'!$A$2:$K$389,8)),"-")</f>
        <v>Linear</v>
      </c>
      <c r="N169" s="276" t="str">
        <f>IF(B169&gt;0,(VLOOKUP(J169,'Valve Reference'!$A$2:$K$389,10)),"-")</f>
        <v>FxF</v>
      </c>
      <c r="O169" s="277" t="str">
        <f>IF(B169&gt;0,(VLOOKUP(J169,'Valve Reference'!$A$2:$K$389,11)),"-")</f>
        <v>Globe-Powermite</v>
      </c>
      <c r="P169" s="278" t="str">
        <f>IF(B169&gt;0,(VLOOKUP(I169,'Actuator Reference'!$A$2:$H$54,2)),"-")</f>
        <v>SSC81U</v>
      </c>
      <c r="Q169" s="278" t="str">
        <f>IF(B169&gt;0,(VLOOKUP(I169,'Actuator Reference'!$A$2:$H$54,5)),"-")</f>
        <v>Float</v>
      </c>
      <c r="R169" s="278" t="str">
        <f>IF(B169&gt;0,(VLOOKUP(I169,'Actuator Reference'!$A$2:$H$54,6)),"-")</f>
        <v>NSR</v>
      </c>
      <c r="S169" s="278" t="str">
        <f>IF(B169&gt;0,(VLOOKUP(I169,'Actuator Reference'!$A$2:$H$54,7)),"-")</f>
        <v>24V</v>
      </c>
      <c r="T169" s="279" t="str">
        <f>IF(B169&gt;0,(VLOOKUP(I169,'Actuator Reference'!$A$2:$H$54,8)),"-")</f>
        <v>MT-Series</v>
      </c>
      <c r="AD169" s="41"/>
      <c r="AE169" s="41"/>
      <c r="AF169" s="35">
        <v>1</v>
      </c>
      <c r="AG169" s="35" t="s">
        <v>1097</v>
      </c>
      <c r="AH169" s="38" t="str">
        <f t="shared" si="10"/>
        <v>259-02038</v>
      </c>
      <c r="AI169" s="264" t="e">
        <f t="shared" si="11"/>
        <v>#REF!</v>
      </c>
    </row>
    <row r="170" spans="1:35" ht="14.25">
      <c r="A170" s="275" t="e">
        <f>'Box Schedule'!#REF!</f>
        <v>#REF!</v>
      </c>
      <c r="B170" s="262">
        <v>5</v>
      </c>
      <c r="C170" s="229" t="str">
        <f>IF((B170&gt;0),(VLOOKUP(J170,'Valve Reference'!$A$2:$K$389,3)),"-")</f>
        <v>0.5</v>
      </c>
      <c r="D170" s="230" t="s">
        <v>577</v>
      </c>
      <c r="E170" s="231">
        <f>IF((B170&gt;0),('Vlookup Tables'!$B$37),"-")</f>
        <v>5</v>
      </c>
      <c r="F170" s="51">
        <f t="shared" si="8"/>
        <v>2.2360679774997898</v>
      </c>
      <c r="G170" s="228">
        <f>IF((B170&gt;0),(VLOOKUP($B170,'Vlookup Tables'!$B$23:$F$33,2,TRUE)),"-")</f>
        <v>2.5</v>
      </c>
      <c r="H170" s="52">
        <f t="shared" si="9"/>
        <v>4</v>
      </c>
      <c r="I170" s="50">
        <f>IF((B170&gt;0),('Vlookup Tables'!$B$35),"-")</f>
        <v>259</v>
      </c>
      <c r="J170" s="265" t="str">
        <f>IF(B170&gt;0,(IF(D170="2-Way",VLOOKUP($G170,'Vlookup Tables'!$C$23:$F$33,2,FALSE),VLOOKUP($G170,'Vlookup Tables'!$C$23:$F$33,3,FALSE))),"-")</f>
        <v>02038</v>
      </c>
      <c r="K170" s="276" t="str">
        <f>IF(B170&gt;0,(VLOOKUP(J170,'Valve Reference'!$A$2:$K$389,4)),"-")</f>
        <v>Standard</v>
      </c>
      <c r="L170" s="276" t="str">
        <f>IF(B170&gt;0,(VLOOKUP(J170,'Valve Reference'!$A$2:$K$389,5)),"-")</f>
        <v>BR</v>
      </c>
      <c r="M170" s="276" t="str">
        <f>IF(B170&gt;0,(VLOOKUP(J170,'Valve Reference'!$A$2:$K$389,8)),"-")</f>
        <v>Linear</v>
      </c>
      <c r="N170" s="276" t="str">
        <f>IF(B170&gt;0,(VLOOKUP(J170,'Valve Reference'!$A$2:$K$389,10)),"-")</f>
        <v>FxF</v>
      </c>
      <c r="O170" s="277" t="str">
        <f>IF(B170&gt;0,(VLOOKUP(J170,'Valve Reference'!$A$2:$K$389,11)),"-")</f>
        <v>Globe-Powermite</v>
      </c>
      <c r="P170" s="278" t="str">
        <f>IF(B170&gt;0,(VLOOKUP(I170,'Actuator Reference'!$A$2:$H$54,2)),"-")</f>
        <v>SSC81U</v>
      </c>
      <c r="Q170" s="278" t="str">
        <f>IF(B170&gt;0,(VLOOKUP(I170,'Actuator Reference'!$A$2:$H$54,5)),"-")</f>
        <v>Float</v>
      </c>
      <c r="R170" s="278" t="str">
        <f>IF(B170&gt;0,(VLOOKUP(I170,'Actuator Reference'!$A$2:$H$54,6)),"-")</f>
        <v>NSR</v>
      </c>
      <c r="S170" s="278" t="str">
        <f>IF(B170&gt;0,(VLOOKUP(I170,'Actuator Reference'!$A$2:$H$54,7)),"-")</f>
        <v>24V</v>
      </c>
      <c r="T170" s="279" t="str">
        <f>IF(B170&gt;0,(VLOOKUP(I170,'Actuator Reference'!$A$2:$H$54,8)),"-")</f>
        <v>MT-Series</v>
      </c>
      <c r="AD170" s="41"/>
      <c r="AE170" s="41"/>
      <c r="AF170" s="35">
        <v>1</v>
      </c>
      <c r="AG170" s="35" t="s">
        <v>1097</v>
      </c>
      <c r="AH170" s="38" t="str">
        <f t="shared" si="10"/>
        <v>259-02038</v>
      </c>
      <c r="AI170" s="264" t="e">
        <f t="shared" si="11"/>
        <v>#REF!</v>
      </c>
    </row>
    <row r="171" spans="1:35" ht="14.25">
      <c r="A171" s="275" t="e">
        <f>'Box Schedule'!#REF!</f>
        <v>#REF!</v>
      </c>
      <c r="B171" s="262">
        <v>6</v>
      </c>
      <c r="C171" s="229" t="str">
        <f>IF((B171&gt;0),(VLOOKUP(J171,'Valve Reference'!$A$2:$K$389,3)),"-")</f>
        <v>0.5</v>
      </c>
      <c r="D171" s="230" t="s">
        <v>577</v>
      </c>
      <c r="E171" s="231">
        <f>IF((B171&gt;0),('Vlookup Tables'!$B$37),"-")</f>
        <v>5</v>
      </c>
      <c r="F171" s="51">
        <f t="shared" si="8"/>
        <v>2.6832815729997477</v>
      </c>
      <c r="G171" s="228">
        <f>IF((B171&gt;0),(VLOOKUP($B171,'Vlookup Tables'!$B$23:$F$33,2,TRUE)),"-")</f>
        <v>4</v>
      </c>
      <c r="H171" s="52">
        <f t="shared" si="9"/>
        <v>2.25</v>
      </c>
      <c r="I171" s="50">
        <f>IF((B171&gt;0),('Vlookup Tables'!$B$35),"-")</f>
        <v>259</v>
      </c>
      <c r="J171" s="265" t="str">
        <f>IF(B171&gt;0,(IF(D171="2-Way",VLOOKUP($G171,'Vlookup Tables'!$C$23:$F$33,2,FALSE),VLOOKUP($G171,'Vlookup Tables'!$C$23:$F$33,3,FALSE))),"-")</f>
        <v>02041</v>
      </c>
      <c r="K171" s="276" t="str">
        <f>IF(B171&gt;0,(VLOOKUP(J171,'Valve Reference'!$A$2:$K$389,4)),"-")</f>
        <v>Standard</v>
      </c>
      <c r="L171" s="276" t="str">
        <f>IF(B171&gt;0,(VLOOKUP(J171,'Valve Reference'!$A$2:$K$389,5)),"-")</f>
        <v>BR</v>
      </c>
      <c r="M171" s="276" t="str">
        <f>IF(B171&gt;0,(VLOOKUP(J171,'Valve Reference'!$A$2:$K$389,8)),"-")</f>
        <v>Linear</v>
      </c>
      <c r="N171" s="276" t="str">
        <f>IF(B171&gt;0,(VLOOKUP(J171,'Valve Reference'!$A$2:$K$389,10)),"-")</f>
        <v>FxF</v>
      </c>
      <c r="O171" s="277" t="str">
        <f>IF(B171&gt;0,(VLOOKUP(J171,'Valve Reference'!$A$2:$K$389,11)),"-")</f>
        <v>Globe-Powermite</v>
      </c>
      <c r="P171" s="278" t="str">
        <f>IF(B171&gt;0,(VLOOKUP(I171,'Actuator Reference'!$A$2:$H$54,2)),"-")</f>
        <v>SSC81U</v>
      </c>
      <c r="Q171" s="278" t="str">
        <f>IF(B171&gt;0,(VLOOKUP(I171,'Actuator Reference'!$A$2:$H$54,5)),"-")</f>
        <v>Float</v>
      </c>
      <c r="R171" s="278" t="str">
        <f>IF(B171&gt;0,(VLOOKUP(I171,'Actuator Reference'!$A$2:$H$54,6)),"-")</f>
        <v>NSR</v>
      </c>
      <c r="S171" s="278" t="str">
        <f>IF(B171&gt;0,(VLOOKUP(I171,'Actuator Reference'!$A$2:$H$54,7)),"-")</f>
        <v>24V</v>
      </c>
      <c r="T171" s="279" t="str">
        <f>IF(B171&gt;0,(VLOOKUP(I171,'Actuator Reference'!$A$2:$H$54,8)),"-")</f>
        <v>MT-Series</v>
      </c>
      <c r="AD171" s="41"/>
      <c r="AE171" s="41"/>
      <c r="AF171" s="35">
        <v>1</v>
      </c>
      <c r="AG171" s="35" t="s">
        <v>1097</v>
      </c>
      <c r="AH171" s="38" t="str">
        <f t="shared" si="10"/>
        <v>259-02041</v>
      </c>
      <c r="AI171" s="264" t="e">
        <f t="shared" si="11"/>
        <v>#REF!</v>
      </c>
    </row>
    <row r="172" spans="1:35" ht="14.25">
      <c r="A172" s="275" t="e">
        <f>'Box Schedule'!#REF!</f>
        <v>#REF!</v>
      </c>
      <c r="B172" s="262">
        <v>7</v>
      </c>
      <c r="C172" s="229" t="str">
        <f>IF((B172&gt;0),(VLOOKUP(J172,'Valve Reference'!$A$2:$K$389,3)),"-")</f>
        <v>0.5</v>
      </c>
      <c r="D172" s="230" t="s">
        <v>577</v>
      </c>
      <c r="E172" s="231">
        <f>IF((B172&gt;0),('Vlookup Tables'!$B$37),"-")</f>
        <v>5</v>
      </c>
      <c r="F172" s="51">
        <f t="shared" si="8"/>
        <v>3.1304951684997055</v>
      </c>
      <c r="G172" s="228">
        <f>IF((B172&gt;0),(VLOOKUP($B172,'Vlookup Tables'!$B$23:$F$33,2,TRUE)),"-")</f>
        <v>4</v>
      </c>
      <c r="H172" s="52">
        <f t="shared" si="9"/>
        <v>3.0625000000000004</v>
      </c>
      <c r="I172" s="50">
        <f>IF((B172&gt;0),('Vlookup Tables'!$B$35),"-")</f>
        <v>259</v>
      </c>
      <c r="J172" s="265" t="str">
        <f>IF(B172&gt;0,(IF(D172="2-Way",VLOOKUP($G172,'Vlookup Tables'!$C$23:$F$33,2,FALSE),VLOOKUP($G172,'Vlookup Tables'!$C$23:$F$33,3,FALSE))),"-")</f>
        <v>02041</v>
      </c>
      <c r="K172" s="276" t="str">
        <f>IF(B172&gt;0,(VLOOKUP(J172,'Valve Reference'!$A$2:$K$389,4)),"-")</f>
        <v>Standard</v>
      </c>
      <c r="L172" s="276" t="str">
        <f>IF(B172&gt;0,(VLOOKUP(J172,'Valve Reference'!$A$2:$K$389,5)),"-")</f>
        <v>BR</v>
      </c>
      <c r="M172" s="276" t="str">
        <f>IF(B172&gt;0,(VLOOKUP(J172,'Valve Reference'!$A$2:$K$389,8)),"-")</f>
        <v>Linear</v>
      </c>
      <c r="N172" s="276" t="str">
        <f>IF(B172&gt;0,(VLOOKUP(J172,'Valve Reference'!$A$2:$K$389,10)),"-")</f>
        <v>FxF</v>
      </c>
      <c r="O172" s="277" t="str">
        <f>IF(B172&gt;0,(VLOOKUP(J172,'Valve Reference'!$A$2:$K$389,11)),"-")</f>
        <v>Globe-Powermite</v>
      </c>
      <c r="P172" s="278" t="str">
        <f>IF(B172&gt;0,(VLOOKUP(I172,'Actuator Reference'!$A$2:$H$54,2)),"-")</f>
        <v>SSC81U</v>
      </c>
      <c r="Q172" s="278" t="str">
        <f>IF(B172&gt;0,(VLOOKUP(I172,'Actuator Reference'!$A$2:$H$54,5)),"-")</f>
        <v>Float</v>
      </c>
      <c r="R172" s="278" t="str">
        <f>IF(B172&gt;0,(VLOOKUP(I172,'Actuator Reference'!$A$2:$H$54,6)),"-")</f>
        <v>NSR</v>
      </c>
      <c r="S172" s="278" t="str">
        <f>IF(B172&gt;0,(VLOOKUP(I172,'Actuator Reference'!$A$2:$H$54,7)),"-")</f>
        <v>24V</v>
      </c>
      <c r="T172" s="279" t="str">
        <f>IF(B172&gt;0,(VLOOKUP(I172,'Actuator Reference'!$A$2:$H$54,8)),"-")</f>
        <v>MT-Series</v>
      </c>
      <c r="AD172" s="41"/>
      <c r="AE172" s="41"/>
      <c r="AF172" s="35">
        <v>1</v>
      </c>
      <c r="AG172" s="35" t="s">
        <v>1097</v>
      </c>
      <c r="AH172" s="38" t="str">
        <f t="shared" si="10"/>
        <v>259-02041</v>
      </c>
      <c r="AI172" s="264" t="e">
        <f t="shared" si="11"/>
        <v>#REF!</v>
      </c>
    </row>
    <row r="173" spans="1:35" ht="14.25">
      <c r="A173" s="275" t="e">
        <f>'Box Schedule'!#REF!</f>
        <v>#REF!</v>
      </c>
      <c r="B173" s="262">
        <v>8</v>
      </c>
      <c r="C173" s="229" t="str">
        <f>IF((B173&gt;0),(VLOOKUP(J173,'Valve Reference'!$A$2:$K$389,3)),"-")</f>
        <v>0.5</v>
      </c>
      <c r="D173" s="230" t="s">
        <v>577</v>
      </c>
      <c r="E173" s="231">
        <f>IF((B173&gt;0),('Vlookup Tables'!$B$37),"-")</f>
        <v>5</v>
      </c>
      <c r="F173" s="51">
        <f t="shared" si="8"/>
        <v>3.5777087639996634</v>
      </c>
      <c r="G173" s="228">
        <f>IF((B173&gt;0),(VLOOKUP($B173,'Vlookup Tables'!$B$23:$F$33,2,TRUE)),"-")</f>
        <v>4</v>
      </c>
      <c r="H173" s="52">
        <f t="shared" si="9"/>
        <v>4</v>
      </c>
      <c r="I173" s="50">
        <f>IF((B173&gt;0),('Vlookup Tables'!$B$35),"-")</f>
        <v>259</v>
      </c>
      <c r="J173" s="265" t="str">
        <f>IF(B173&gt;0,(IF(D173="2-Way",VLOOKUP($G173,'Vlookup Tables'!$C$23:$F$33,2,FALSE),VLOOKUP($G173,'Vlookup Tables'!$C$23:$F$33,3,FALSE))),"-")</f>
        <v>02041</v>
      </c>
      <c r="K173" s="276" t="str">
        <f>IF(B173&gt;0,(VLOOKUP(J173,'Valve Reference'!$A$2:$K$389,4)),"-")</f>
        <v>Standard</v>
      </c>
      <c r="L173" s="276" t="str">
        <f>IF(B173&gt;0,(VLOOKUP(J173,'Valve Reference'!$A$2:$K$389,5)),"-")</f>
        <v>BR</v>
      </c>
      <c r="M173" s="276" t="str">
        <f>IF(B173&gt;0,(VLOOKUP(J173,'Valve Reference'!$A$2:$K$389,8)),"-")</f>
        <v>Linear</v>
      </c>
      <c r="N173" s="276" t="str">
        <f>IF(B173&gt;0,(VLOOKUP(J173,'Valve Reference'!$A$2:$K$389,10)),"-")</f>
        <v>FxF</v>
      </c>
      <c r="O173" s="277" t="str">
        <f>IF(B173&gt;0,(VLOOKUP(J173,'Valve Reference'!$A$2:$K$389,11)),"-")</f>
        <v>Globe-Powermite</v>
      </c>
      <c r="P173" s="278" t="str">
        <f>IF(B173&gt;0,(VLOOKUP(I173,'Actuator Reference'!$A$2:$H$54,2)),"-")</f>
        <v>SSC81U</v>
      </c>
      <c r="Q173" s="278" t="str">
        <f>IF(B173&gt;0,(VLOOKUP(I173,'Actuator Reference'!$A$2:$H$54,5)),"-")</f>
        <v>Float</v>
      </c>
      <c r="R173" s="278" t="str">
        <f>IF(B173&gt;0,(VLOOKUP(I173,'Actuator Reference'!$A$2:$H$54,6)),"-")</f>
        <v>NSR</v>
      </c>
      <c r="S173" s="278" t="str">
        <f>IF(B173&gt;0,(VLOOKUP(I173,'Actuator Reference'!$A$2:$H$54,7)),"-")</f>
        <v>24V</v>
      </c>
      <c r="T173" s="279" t="str">
        <f>IF(B173&gt;0,(VLOOKUP(I173,'Actuator Reference'!$A$2:$H$54,8)),"-")</f>
        <v>MT-Series</v>
      </c>
      <c r="AD173" s="41"/>
      <c r="AE173" s="41"/>
      <c r="AF173" s="35">
        <v>1</v>
      </c>
      <c r="AG173" s="35" t="s">
        <v>1097</v>
      </c>
      <c r="AH173" s="38" t="str">
        <f t="shared" si="10"/>
        <v>259-02041</v>
      </c>
      <c r="AI173" s="264" t="e">
        <f t="shared" si="11"/>
        <v>#REF!</v>
      </c>
    </row>
    <row r="174" spans="1:35" ht="14.25">
      <c r="A174" s="275" t="e">
        <f>'Box Schedule'!#REF!</f>
        <v>#REF!</v>
      </c>
      <c r="B174" s="262">
        <v>9</v>
      </c>
      <c r="C174" s="229" t="str">
        <f>IF((B174&gt;0),(VLOOKUP(J174,'Valve Reference'!$A$2:$K$389,3)),"-")</f>
        <v>0.75</v>
      </c>
      <c r="D174" s="230" t="s">
        <v>577</v>
      </c>
      <c r="E174" s="231">
        <f>IF((B174&gt;0),('Vlookup Tables'!$B$37),"-")</f>
        <v>5</v>
      </c>
      <c r="F174" s="51">
        <f t="shared" si="8"/>
        <v>4.0249223594996213</v>
      </c>
      <c r="G174" s="228">
        <f>IF((B174&gt;0),(VLOOKUP($B174,'Vlookup Tables'!$B$23:$F$33,2,TRUE)),"-")</f>
        <v>6.3</v>
      </c>
      <c r="H174" s="52">
        <f t="shared" si="9"/>
        <v>2.0408163265306127</v>
      </c>
      <c r="I174" s="50">
        <f>IF((B174&gt;0),('Vlookup Tables'!$B$35),"-")</f>
        <v>259</v>
      </c>
      <c r="J174" s="265" t="str">
        <f>IF(B174&gt;0,(IF(D174="2-Way",VLOOKUP($G174,'Vlookup Tables'!$C$23:$F$33,2,FALSE),VLOOKUP($G174,'Vlookup Tables'!$C$23:$F$33,3,FALSE))),"-")</f>
        <v>02044</v>
      </c>
      <c r="K174" s="276" t="str">
        <f>IF(B174&gt;0,(VLOOKUP(J174,'Valve Reference'!$A$2:$K$389,4)),"-")</f>
        <v>Standard</v>
      </c>
      <c r="L174" s="276" t="str">
        <f>IF(B174&gt;0,(VLOOKUP(J174,'Valve Reference'!$A$2:$K$389,5)),"-")</f>
        <v>BR</v>
      </c>
      <c r="M174" s="276" t="str">
        <f>IF(B174&gt;0,(VLOOKUP(J174,'Valve Reference'!$A$2:$K$389,8)),"-")</f>
        <v>Linear</v>
      </c>
      <c r="N174" s="276" t="str">
        <f>IF(B174&gt;0,(VLOOKUP(J174,'Valve Reference'!$A$2:$K$389,10)),"-")</f>
        <v>FxF</v>
      </c>
      <c r="O174" s="277" t="str">
        <f>IF(B174&gt;0,(VLOOKUP(J174,'Valve Reference'!$A$2:$K$389,11)),"-")</f>
        <v>Globe-Powermite</v>
      </c>
      <c r="P174" s="278" t="str">
        <f>IF(B174&gt;0,(VLOOKUP(I174,'Actuator Reference'!$A$2:$H$54,2)),"-")</f>
        <v>SSC81U</v>
      </c>
      <c r="Q174" s="278" t="str">
        <f>IF(B174&gt;0,(VLOOKUP(I174,'Actuator Reference'!$A$2:$H$54,5)),"-")</f>
        <v>Float</v>
      </c>
      <c r="R174" s="278" t="str">
        <f>IF(B174&gt;0,(VLOOKUP(I174,'Actuator Reference'!$A$2:$H$54,6)),"-")</f>
        <v>NSR</v>
      </c>
      <c r="S174" s="278" t="str">
        <f>IF(B174&gt;0,(VLOOKUP(I174,'Actuator Reference'!$A$2:$H$54,7)),"-")</f>
        <v>24V</v>
      </c>
      <c r="T174" s="279" t="str">
        <f>IF(B174&gt;0,(VLOOKUP(I174,'Actuator Reference'!$A$2:$H$54,8)),"-")</f>
        <v>MT-Series</v>
      </c>
      <c r="AD174" s="41"/>
      <c r="AE174" s="41"/>
      <c r="AF174" s="35">
        <v>1</v>
      </c>
      <c r="AG174" s="35" t="s">
        <v>1097</v>
      </c>
      <c r="AH174" s="38" t="str">
        <f t="shared" si="10"/>
        <v>259-02044</v>
      </c>
      <c r="AI174" s="264" t="e">
        <f t="shared" si="11"/>
        <v>#REF!</v>
      </c>
    </row>
    <row r="175" spans="1:35" ht="14.25">
      <c r="A175" s="275" t="e">
        <f>'Box Schedule'!#REF!</f>
        <v>#REF!</v>
      </c>
      <c r="B175" s="262">
        <v>1</v>
      </c>
      <c r="C175" s="229" t="str">
        <f>IF((B175&gt;0),(VLOOKUP(J175,'Valve Reference'!$A$2:$K$389,3)),"-")</f>
        <v>0.5</v>
      </c>
      <c r="D175" s="230" t="s">
        <v>577</v>
      </c>
      <c r="E175" s="231">
        <f>IF((B175&gt;0),('Vlookup Tables'!$B$37),"-")</f>
        <v>5</v>
      </c>
      <c r="F175" s="51">
        <f t="shared" si="8"/>
        <v>0.44721359549995793</v>
      </c>
      <c r="G175" s="228">
        <f>IF((B175&gt;0),(VLOOKUP($B175,'Vlookup Tables'!$B$23:$F$33,2,TRUE)),"-")</f>
        <v>0.63</v>
      </c>
      <c r="H175" s="52">
        <f t="shared" si="9"/>
        <v>2.5195263290501382</v>
      </c>
      <c r="I175" s="50">
        <f>IF((B175&gt;0),('Vlookup Tables'!$B$35),"-")</f>
        <v>259</v>
      </c>
      <c r="J175" s="265" t="str">
        <f>IF(B175&gt;0,(IF(D175="2-Way",VLOOKUP($G175,'Vlookup Tables'!$C$23:$F$33,2,FALSE),VLOOKUP($G175,'Vlookup Tables'!$C$23:$F$33,3,FALSE))),"-")</f>
        <v>02032</v>
      </c>
      <c r="K175" s="276" t="str">
        <f>IF(B175&gt;0,(VLOOKUP(J175,'Valve Reference'!$A$2:$K$389,4)),"-")</f>
        <v>Standard</v>
      </c>
      <c r="L175" s="276" t="str">
        <f>IF(B175&gt;0,(VLOOKUP(J175,'Valve Reference'!$A$2:$K$389,5)),"-")</f>
        <v>BR</v>
      </c>
      <c r="M175" s="276" t="str">
        <f>IF(B175&gt;0,(VLOOKUP(J175,'Valve Reference'!$A$2:$K$389,8)),"-")</f>
        <v>Linear</v>
      </c>
      <c r="N175" s="276" t="str">
        <f>IF(B175&gt;0,(VLOOKUP(J175,'Valve Reference'!$A$2:$K$389,10)),"-")</f>
        <v>FxF</v>
      </c>
      <c r="O175" s="277" t="str">
        <f>IF(B175&gt;0,(VLOOKUP(J175,'Valve Reference'!$A$2:$K$389,11)),"-")</f>
        <v>Globe-Powermite</v>
      </c>
      <c r="P175" s="278" t="str">
        <f>IF(B175&gt;0,(VLOOKUP(I175,'Actuator Reference'!$A$2:$H$54,2)),"-")</f>
        <v>SSC81U</v>
      </c>
      <c r="Q175" s="278" t="str">
        <f>IF(B175&gt;0,(VLOOKUP(I175,'Actuator Reference'!$A$2:$H$54,5)),"-")</f>
        <v>Float</v>
      </c>
      <c r="R175" s="278" t="str">
        <f>IF(B175&gt;0,(VLOOKUP(I175,'Actuator Reference'!$A$2:$H$54,6)),"-")</f>
        <v>NSR</v>
      </c>
      <c r="S175" s="278" t="str">
        <f>IF(B175&gt;0,(VLOOKUP(I175,'Actuator Reference'!$A$2:$H$54,7)),"-")</f>
        <v>24V</v>
      </c>
      <c r="T175" s="279" t="str">
        <f>IF(B175&gt;0,(VLOOKUP(I175,'Actuator Reference'!$A$2:$H$54,8)),"-")</f>
        <v>MT-Series</v>
      </c>
      <c r="AD175" s="41"/>
      <c r="AE175" s="41"/>
      <c r="AF175" s="35">
        <v>1</v>
      </c>
      <c r="AG175" s="35" t="s">
        <v>1097</v>
      </c>
      <c r="AH175" s="38" t="str">
        <f t="shared" si="10"/>
        <v>259-02032</v>
      </c>
      <c r="AI175" s="264" t="e">
        <f t="shared" si="11"/>
        <v>#REF!</v>
      </c>
    </row>
    <row r="176" spans="1:35" ht="14.25">
      <c r="A176" s="275" t="e">
        <f>'Box Schedule'!#REF!</f>
        <v>#REF!</v>
      </c>
      <c r="B176" s="262">
        <v>2</v>
      </c>
      <c r="C176" s="229" t="str">
        <f>IF((B176&gt;0),(VLOOKUP(J176,'Valve Reference'!$A$2:$K$389,3)),"-")</f>
        <v>0.5</v>
      </c>
      <c r="D176" s="230" t="s">
        <v>577</v>
      </c>
      <c r="E176" s="231">
        <f>IF((B176&gt;0),('Vlookup Tables'!$B$37),"-")</f>
        <v>5</v>
      </c>
      <c r="F176" s="51">
        <f t="shared" si="8"/>
        <v>0.89442719099991586</v>
      </c>
      <c r="G176" s="228">
        <f>IF((B176&gt;0),(VLOOKUP($B176,'Vlookup Tables'!$B$23:$F$33,2,TRUE)),"-")</f>
        <v>1</v>
      </c>
      <c r="H176" s="52">
        <f t="shared" si="9"/>
        <v>4</v>
      </c>
      <c r="I176" s="50">
        <f>IF((B176&gt;0),('Vlookup Tables'!$B$35),"-")</f>
        <v>259</v>
      </c>
      <c r="J176" s="265" t="str">
        <f>IF(B176&gt;0,(IF(D176="2-Way",VLOOKUP($G176,'Vlookup Tables'!$C$23:$F$33,2,FALSE),VLOOKUP($G176,'Vlookup Tables'!$C$23:$F$33,3,FALSE))),"-")</f>
        <v>02034</v>
      </c>
      <c r="K176" s="276" t="str">
        <f>IF(B176&gt;0,(VLOOKUP(J176,'Valve Reference'!$A$2:$K$389,4)),"-")</f>
        <v>Standard</v>
      </c>
      <c r="L176" s="276" t="str">
        <f>IF(B176&gt;0,(VLOOKUP(J176,'Valve Reference'!$A$2:$K$389,5)),"-")</f>
        <v>BR</v>
      </c>
      <c r="M176" s="276" t="str">
        <f>IF(B176&gt;0,(VLOOKUP(J176,'Valve Reference'!$A$2:$K$389,8)),"-")</f>
        <v>Linear</v>
      </c>
      <c r="N176" s="276" t="str">
        <f>IF(B176&gt;0,(VLOOKUP(J176,'Valve Reference'!$A$2:$K$389,10)),"-")</f>
        <v>FxF</v>
      </c>
      <c r="O176" s="277" t="str">
        <f>IF(B176&gt;0,(VLOOKUP(J176,'Valve Reference'!$A$2:$K$389,11)),"-")</f>
        <v>Globe-Powermite</v>
      </c>
      <c r="P176" s="278" t="str">
        <f>IF(B176&gt;0,(VLOOKUP(I176,'Actuator Reference'!$A$2:$H$54,2)),"-")</f>
        <v>SSC81U</v>
      </c>
      <c r="Q176" s="278" t="str">
        <f>IF(B176&gt;0,(VLOOKUP(I176,'Actuator Reference'!$A$2:$H$54,5)),"-")</f>
        <v>Float</v>
      </c>
      <c r="R176" s="278" t="str">
        <f>IF(B176&gt;0,(VLOOKUP(I176,'Actuator Reference'!$A$2:$H$54,6)),"-")</f>
        <v>NSR</v>
      </c>
      <c r="S176" s="278" t="str">
        <f>IF(B176&gt;0,(VLOOKUP(I176,'Actuator Reference'!$A$2:$H$54,7)),"-")</f>
        <v>24V</v>
      </c>
      <c r="T176" s="279" t="str">
        <f>IF(B176&gt;0,(VLOOKUP(I176,'Actuator Reference'!$A$2:$H$54,8)),"-")</f>
        <v>MT-Series</v>
      </c>
      <c r="AD176" s="41"/>
      <c r="AE176" s="41"/>
      <c r="AF176" s="35">
        <v>1</v>
      </c>
      <c r="AG176" s="35" t="s">
        <v>1097</v>
      </c>
      <c r="AH176" s="38" t="str">
        <f t="shared" si="10"/>
        <v>259-02034</v>
      </c>
      <c r="AI176" s="264" t="e">
        <f t="shared" si="11"/>
        <v>#REF!</v>
      </c>
    </row>
    <row r="177" spans="1:35" ht="14.25">
      <c r="A177" s="275" t="e">
        <f>'Box Schedule'!#REF!</f>
        <v>#REF!</v>
      </c>
      <c r="B177" s="262">
        <v>3</v>
      </c>
      <c r="C177" s="229" t="str">
        <f>IF((B177&gt;0),(VLOOKUP(J177,'Valve Reference'!$A$2:$K$389,3)),"-")</f>
        <v>0.5</v>
      </c>
      <c r="D177" s="230" t="s">
        <v>577</v>
      </c>
      <c r="E177" s="231">
        <f>IF((B177&gt;0),('Vlookup Tables'!$B$37),"-")</f>
        <v>5</v>
      </c>
      <c r="F177" s="51">
        <f t="shared" si="8"/>
        <v>1.3416407864998738</v>
      </c>
      <c r="G177" s="228">
        <f>IF((B177&gt;0),(VLOOKUP($B177,'Vlookup Tables'!$B$23:$F$33,2,TRUE)),"-")</f>
        <v>1.6</v>
      </c>
      <c r="H177" s="52">
        <f t="shared" si="9"/>
        <v>3.515625</v>
      </c>
      <c r="I177" s="50">
        <f>IF((B177&gt;0),('Vlookup Tables'!$B$35),"-")</f>
        <v>259</v>
      </c>
      <c r="J177" s="265" t="str">
        <f>IF(B177&gt;0,(IF(D177="2-Way",VLOOKUP($G177,'Vlookup Tables'!$C$23:$F$33,2,FALSE),VLOOKUP($G177,'Vlookup Tables'!$C$23:$F$33,3,FALSE))),"-")</f>
        <v>02036</v>
      </c>
      <c r="K177" s="276" t="str">
        <f>IF(B177&gt;0,(VLOOKUP(J177,'Valve Reference'!$A$2:$K$389,4)),"-")</f>
        <v>Standard</v>
      </c>
      <c r="L177" s="276" t="str">
        <f>IF(B177&gt;0,(VLOOKUP(J177,'Valve Reference'!$A$2:$K$389,5)),"-")</f>
        <v>BR</v>
      </c>
      <c r="M177" s="276" t="str">
        <f>IF(B177&gt;0,(VLOOKUP(J177,'Valve Reference'!$A$2:$K$389,8)),"-")</f>
        <v>Linear</v>
      </c>
      <c r="N177" s="276" t="str">
        <f>IF(B177&gt;0,(VLOOKUP(J177,'Valve Reference'!$A$2:$K$389,10)),"-")</f>
        <v>FxF</v>
      </c>
      <c r="O177" s="277" t="str">
        <f>IF(B177&gt;0,(VLOOKUP(J177,'Valve Reference'!$A$2:$K$389,11)),"-")</f>
        <v>Globe-Powermite</v>
      </c>
      <c r="P177" s="278" t="str">
        <f>IF(B177&gt;0,(VLOOKUP(I177,'Actuator Reference'!$A$2:$H$54,2)),"-")</f>
        <v>SSC81U</v>
      </c>
      <c r="Q177" s="278" t="str">
        <f>IF(B177&gt;0,(VLOOKUP(I177,'Actuator Reference'!$A$2:$H$54,5)),"-")</f>
        <v>Float</v>
      </c>
      <c r="R177" s="278" t="str">
        <f>IF(B177&gt;0,(VLOOKUP(I177,'Actuator Reference'!$A$2:$H$54,6)),"-")</f>
        <v>NSR</v>
      </c>
      <c r="S177" s="278" t="str">
        <f>IF(B177&gt;0,(VLOOKUP(I177,'Actuator Reference'!$A$2:$H$54,7)),"-")</f>
        <v>24V</v>
      </c>
      <c r="T177" s="279" t="str">
        <f>IF(B177&gt;0,(VLOOKUP(I177,'Actuator Reference'!$A$2:$H$54,8)),"-")</f>
        <v>MT-Series</v>
      </c>
      <c r="AD177" s="41"/>
      <c r="AE177" s="41"/>
      <c r="AF177" s="35">
        <v>1</v>
      </c>
      <c r="AG177" s="35" t="s">
        <v>1097</v>
      </c>
      <c r="AH177" s="38" t="str">
        <f t="shared" si="10"/>
        <v>259-02036</v>
      </c>
      <c r="AI177" s="264" t="e">
        <f t="shared" si="11"/>
        <v>#REF!</v>
      </c>
    </row>
    <row r="178" spans="1:35" ht="14.25">
      <c r="A178" s="275" t="e">
        <f>'Box Schedule'!#REF!</f>
        <v>#REF!</v>
      </c>
      <c r="B178" s="262">
        <v>4</v>
      </c>
      <c r="C178" s="229" t="str">
        <f>IF((B178&gt;0),(VLOOKUP(J178,'Valve Reference'!$A$2:$K$389,3)),"-")</f>
        <v>0.5</v>
      </c>
      <c r="D178" s="230" t="s">
        <v>577</v>
      </c>
      <c r="E178" s="231">
        <f>IF((B178&gt;0),('Vlookup Tables'!$B$37),"-")</f>
        <v>5</v>
      </c>
      <c r="F178" s="51">
        <f t="shared" si="8"/>
        <v>1.7888543819998317</v>
      </c>
      <c r="G178" s="228">
        <f>IF((B178&gt;0),(VLOOKUP($B178,'Vlookup Tables'!$B$23:$F$33,2,TRUE)),"-")</f>
        <v>2.5</v>
      </c>
      <c r="H178" s="52">
        <f t="shared" si="9"/>
        <v>2.56</v>
      </c>
      <c r="I178" s="50">
        <f>IF((B178&gt;0),('Vlookup Tables'!$B$35),"-")</f>
        <v>259</v>
      </c>
      <c r="J178" s="265" t="str">
        <f>IF(B178&gt;0,(IF(D178="2-Way",VLOOKUP($G178,'Vlookup Tables'!$C$23:$F$33,2,FALSE),VLOOKUP($G178,'Vlookup Tables'!$C$23:$F$33,3,FALSE))),"-")</f>
        <v>02038</v>
      </c>
      <c r="K178" s="276" t="str">
        <f>IF(B178&gt;0,(VLOOKUP(J178,'Valve Reference'!$A$2:$K$389,4)),"-")</f>
        <v>Standard</v>
      </c>
      <c r="L178" s="276" t="str">
        <f>IF(B178&gt;0,(VLOOKUP(J178,'Valve Reference'!$A$2:$K$389,5)),"-")</f>
        <v>BR</v>
      </c>
      <c r="M178" s="276" t="str">
        <f>IF(B178&gt;0,(VLOOKUP(J178,'Valve Reference'!$A$2:$K$389,8)),"-")</f>
        <v>Linear</v>
      </c>
      <c r="N178" s="276" t="str">
        <f>IF(B178&gt;0,(VLOOKUP(J178,'Valve Reference'!$A$2:$K$389,10)),"-")</f>
        <v>FxF</v>
      </c>
      <c r="O178" s="277" t="str">
        <f>IF(B178&gt;0,(VLOOKUP(J178,'Valve Reference'!$A$2:$K$389,11)),"-")</f>
        <v>Globe-Powermite</v>
      </c>
      <c r="P178" s="278" t="str">
        <f>IF(B178&gt;0,(VLOOKUP(I178,'Actuator Reference'!$A$2:$H$54,2)),"-")</f>
        <v>SSC81U</v>
      </c>
      <c r="Q178" s="278" t="str">
        <f>IF(B178&gt;0,(VLOOKUP(I178,'Actuator Reference'!$A$2:$H$54,5)),"-")</f>
        <v>Float</v>
      </c>
      <c r="R178" s="278" t="str">
        <f>IF(B178&gt;0,(VLOOKUP(I178,'Actuator Reference'!$A$2:$H$54,6)),"-")</f>
        <v>NSR</v>
      </c>
      <c r="S178" s="278" t="str">
        <f>IF(B178&gt;0,(VLOOKUP(I178,'Actuator Reference'!$A$2:$H$54,7)),"-")</f>
        <v>24V</v>
      </c>
      <c r="T178" s="279" t="str">
        <f>IF(B178&gt;0,(VLOOKUP(I178,'Actuator Reference'!$A$2:$H$54,8)),"-")</f>
        <v>MT-Series</v>
      </c>
      <c r="AD178" s="41"/>
      <c r="AE178" s="41"/>
      <c r="AF178" s="35">
        <v>1</v>
      </c>
      <c r="AG178" s="35" t="s">
        <v>1097</v>
      </c>
      <c r="AH178" s="38" t="str">
        <f t="shared" si="10"/>
        <v>259-02038</v>
      </c>
      <c r="AI178" s="264" t="e">
        <f t="shared" si="11"/>
        <v>#REF!</v>
      </c>
    </row>
    <row r="179" spans="1:35" ht="14.25">
      <c r="A179" s="275" t="e">
        <f>'Box Schedule'!#REF!</f>
        <v>#REF!</v>
      </c>
      <c r="B179" s="262">
        <v>5</v>
      </c>
      <c r="C179" s="229" t="str">
        <f>IF((B179&gt;0),(VLOOKUP(J179,'Valve Reference'!$A$2:$K$389,3)),"-")</f>
        <v>0.5</v>
      </c>
      <c r="D179" s="230" t="s">
        <v>577</v>
      </c>
      <c r="E179" s="231">
        <f>IF((B179&gt;0),('Vlookup Tables'!$B$37),"-")</f>
        <v>5</v>
      </c>
      <c r="F179" s="51">
        <f t="shared" si="8"/>
        <v>2.2360679774997898</v>
      </c>
      <c r="G179" s="228">
        <f>IF((B179&gt;0),(VLOOKUP($B179,'Vlookup Tables'!$B$23:$F$33,2,TRUE)),"-")</f>
        <v>2.5</v>
      </c>
      <c r="H179" s="52">
        <f t="shared" si="9"/>
        <v>4</v>
      </c>
      <c r="I179" s="50">
        <f>IF((B179&gt;0),('Vlookup Tables'!$B$35),"-")</f>
        <v>259</v>
      </c>
      <c r="J179" s="265" t="str">
        <f>IF(B179&gt;0,(IF(D179="2-Way",VLOOKUP($G179,'Vlookup Tables'!$C$23:$F$33,2,FALSE),VLOOKUP($G179,'Vlookup Tables'!$C$23:$F$33,3,FALSE))),"-")</f>
        <v>02038</v>
      </c>
      <c r="K179" s="276" t="str">
        <f>IF(B179&gt;0,(VLOOKUP(J179,'Valve Reference'!$A$2:$K$389,4)),"-")</f>
        <v>Standard</v>
      </c>
      <c r="L179" s="276" t="str">
        <f>IF(B179&gt;0,(VLOOKUP(J179,'Valve Reference'!$A$2:$K$389,5)),"-")</f>
        <v>BR</v>
      </c>
      <c r="M179" s="276" t="str">
        <f>IF(B179&gt;0,(VLOOKUP(J179,'Valve Reference'!$A$2:$K$389,8)),"-")</f>
        <v>Linear</v>
      </c>
      <c r="N179" s="276" t="str">
        <f>IF(B179&gt;0,(VLOOKUP(J179,'Valve Reference'!$A$2:$K$389,10)),"-")</f>
        <v>FxF</v>
      </c>
      <c r="O179" s="277" t="str">
        <f>IF(B179&gt;0,(VLOOKUP(J179,'Valve Reference'!$A$2:$K$389,11)),"-")</f>
        <v>Globe-Powermite</v>
      </c>
      <c r="P179" s="278" t="str">
        <f>IF(B179&gt;0,(VLOOKUP(I179,'Actuator Reference'!$A$2:$H$54,2)),"-")</f>
        <v>SSC81U</v>
      </c>
      <c r="Q179" s="278" t="str">
        <f>IF(B179&gt;0,(VLOOKUP(I179,'Actuator Reference'!$A$2:$H$54,5)),"-")</f>
        <v>Float</v>
      </c>
      <c r="R179" s="278" t="str">
        <f>IF(B179&gt;0,(VLOOKUP(I179,'Actuator Reference'!$A$2:$H$54,6)),"-")</f>
        <v>NSR</v>
      </c>
      <c r="S179" s="278" t="str">
        <f>IF(B179&gt;0,(VLOOKUP(I179,'Actuator Reference'!$A$2:$H$54,7)),"-")</f>
        <v>24V</v>
      </c>
      <c r="T179" s="279" t="str">
        <f>IF(B179&gt;0,(VLOOKUP(I179,'Actuator Reference'!$A$2:$H$54,8)),"-")</f>
        <v>MT-Series</v>
      </c>
      <c r="AD179" s="41"/>
      <c r="AE179" s="41"/>
      <c r="AF179" s="35">
        <v>1</v>
      </c>
      <c r="AG179" s="35" t="s">
        <v>1097</v>
      </c>
      <c r="AH179" s="38" t="str">
        <f t="shared" si="10"/>
        <v>259-02038</v>
      </c>
      <c r="AI179" s="264" t="e">
        <f t="shared" si="11"/>
        <v>#REF!</v>
      </c>
    </row>
    <row r="180" spans="1:35" ht="14.25">
      <c r="A180" s="275" t="e">
        <f>'Box Schedule'!#REF!</f>
        <v>#REF!</v>
      </c>
      <c r="B180" s="262">
        <v>6</v>
      </c>
      <c r="C180" s="229" t="str">
        <f>IF((B180&gt;0),(VLOOKUP(J180,'Valve Reference'!$A$2:$K$389,3)),"-")</f>
        <v>0.5</v>
      </c>
      <c r="D180" s="230" t="s">
        <v>577</v>
      </c>
      <c r="E180" s="231">
        <f>IF((B180&gt;0),('Vlookup Tables'!$B$37),"-")</f>
        <v>5</v>
      </c>
      <c r="F180" s="51">
        <f t="shared" si="8"/>
        <v>2.6832815729997477</v>
      </c>
      <c r="G180" s="228">
        <f>IF((B180&gt;0),(VLOOKUP($B180,'Vlookup Tables'!$B$23:$F$33,2,TRUE)),"-")</f>
        <v>4</v>
      </c>
      <c r="H180" s="52">
        <f t="shared" si="9"/>
        <v>2.25</v>
      </c>
      <c r="I180" s="50">
        <f>IF((B180&gt;0),('Vlookup Tables'!$B$35),"-")</f>
        <v>259</v>
      </c>
      <c r="J180" s="265" t="str">
        <f>IF(B180&gt;0,(IF(D180="2-Way",VLOOKUP($G180,'Vlookup Tables'!$C$23:$F$33,2,FALSE),VLOOKUP($G180,'Vlookup Tables'!$C$23:$F$33,3,FALSE))),"-")</f>
        <v>02041</v>
      </c>
      <c r="K180" s="276" t="str">
        <f>IF(B180&gt;0,(VLOOKUP(J180,'Valve Reference'!$A$2:$K$389,4)),"-")</f>
        <v>Standard</v>
      </c>
      <c r="L180" s="276" t="str">
        <f>IF(B180&gt;0,(VLOOKUP(J180,'Valve Reference'!$A$2:$K$389,5)),"-")</f>
        <v>BR</v>
      </c>
      <c r="M180" s="276" t="str">
        <f>IF(B180&gt;0,(VLOOKUP(J180,'Valve Reference'!$A$2:$K$389,8)),"-")</f>
        <v>Linear</v>
      </c>
      <c r="N180" s="276" t="str">
        <f>IF(B180&gt;0,(VLOOKUP(J180,'Valve Reference'!$A$2:$K$389,10)),"-")</f>
        <v>FxF</v>
      </c>
      <c r="O180" s="277" t="str">
        <f>IF(B180&gt;0,(VLOOKUP(J180,'Valve Reference'!$A$2:$K$389,11)),"-")</f>
        <v>Globe-Powermite</v>
      </c>
      <c r="P180" s="278" t="str">
        <f>IF(B180&gt;0,(VLOOKUP(I180,'Actuator Reference'!$A$2:$H$54,2)),"-")</f>
        <v>SSC81U</v>
      </c>
      <c r="Q180" s="278" t="str">
        <f>IF(B180&gt;0,(VLOOKUP(I180,'Actuator Reference'!$A$2:$H$54,5)),"-")</f>
        <v>Float</v>
      </c>
      <c r="R180" s="278" t="str">
        <f>IF(B180&gt;0,(VLOOKUP(I180,'Actuator Reference'!$A$2:$H$54,6)),"-")</f>
        <v>NSR</v>
      </c>
      <c r="S180" s="278" t="str">
        <f>IF(B180&gt;0,(VLOOKUP(I180,'Actuator Reference'!$A$2:$H$54,7)),"-")</f>
        <v>24V</v>
      </c>
      <c r="T180" s="279" t="str">
        <f>IF(B180&gt;0,(VLOOKUP(I180,'Actuator Reference'!$A$2:$H$54,8)),"-")</f>
        <v>MT-Series</v>
      </c>
      <c r="AD180" s="41"/>
      <c r="AE180" s="41"/>
      <c r="AF180" s="35">
        <v>1</v>
      </c>
      <c r="AG180" s="35" t="s">
        <v>1097</v>
      </c>
      <c r="AH180" s="38" t="str">
        <f t="shared" si="10"/>
        <v>259-02041</v>
      </c>
      <c r="AI180" s="264" t="e">
        <f t="shared" si="11"/>
        <v>#REF!</v>
      </c>
    </row>
    <row r="181" spans="1:35" ht="14.25">
      <c r="A181" s="275" t="e">
        <f>'Box Schedule'!#REF!</f>
        <v>#REF!</v>
      </c>
      <c r="B181" s="262">
        <v>7</v>
      </c>
      <c r="C181" s="229" t="str">
        <f>IF((B181&gt;0),(VLOOKUP(J181,'Valve Reference'!$A$2:$K$389,3)),"-")</f>
        <v>0.5</v>
      </c>
      <c r="D181" s="230" t="s">
        <v>577</v>
      </c>
      <c r="E181" s="231">
        <f>IF((B181&gt;0),('Vlookup Tables'!$B$37),"-")</f>
        <v>5</v>
      </c>
      <c r="F181" s="51">
        <f t="shared" si="8"/>
        <v>3.1304951684997055</v>
      </c>
      <c r="G181" s="228">
        <f>IF((B181&gt;0),(VLOOKUP($B181,'Vlookup Tables'!$B$23:$F$33,2,TRUE)),"-")</f>
        <v>4</v>
      </c>
      <c r="H181" s="52">
        <f t="shared" si="9"/>
        <v>3.0625000000000004</v>
      </c>
      <c r="I181" s="50">
        <f>IF((B181&gt;0),('Vlookup Tables'!$B$35),"-")</f>
        <v>259</v>
      </c>
      <c r="J181" s="265" t="str">
        <f>IF(B181&gt;0,(IF(D181="2-Way",VLOOKUP($G181,'Vlookup Tables'!$C$23:$F$33,2,FALSE),VLOOKUP($G181,'Vlookup Tables'!$C$23:$F$33,3,FALSE))),"-")</f>
        <v>02041</v>
      </c>
      <c r="K181" s="276" t="str">
        <f>IF(B181&gt;0,(VLOOKUP(J181,'Valve Reference'!$A$2:$K$389,4)),"-")</f>
        <v>Standard</v>
      </c>
      <c r="L181" s="276" t="str">
        <f>IF(B181&gt;0,(VLOOKUP(J181,'Valve Reference'!$A$2:$K$389,5)),"-")</f>
        <v>BR</v>
      </c>
      <c r="M181" s="276" t="str">
        <f>IF(B181&gt;0,(VLOOKUP(J181,'Valve Reference'!$A$2:$K$389,8)),"-")</f>
        <v>Linear</v>
      </c>
      <c r="N181" s="276" t="str">
        <f>IF(B181&gt;0,(VLOOKUP(J181,'Valve Reference'!$A$2:$K$389,10)),"-")</f>
        <v>FxF</v>
      </c>
      <c r="O181" s="277" t="str">
        <f>IF(B181&gt;0,(VLOOKUP(J181,'Valve Reference'!$A$2:$K$389,11)),"-")</f>
        <v>Globe-Powermite</v>
      </c>
      <c r="P181" s="278" t="str">
        <f>IF(B181&gt;0,(VLOOKUP(I181,'Actuator Reference'!$A$2:$H$54,2)),"-")</f>
        <v>SSC81U</v>
      </c>
      <c r="Q181" s="278" t="str">
        <f>IF(B181&gt;0,(VLOOKUP(I181,'Actuator Reference'!$A$2:$H$54,5)),"-")</f>
        <v>Float</v>
      </c>
      <c r="R181" s="278" t="str">
        <f>IF(B181&gt;0,(VLOOKUP(I181,'Actuator Reference'!$A$2:$H$54,6)),"-")</f>
        <v>NSR</v>
      </c>
      <c r="S181" s="278" t="str">
        <f>IF(B181&gt;0,(VLOOKUP(I181,'Actuator Reference'!$A$2:$H$54,7)),"-")</f>
        <v>24V</v>
      </c>
      <c r="T181" s="279" t="str">
        <f>IF(B181&gt;0,(VLOOKUP(I181,'Actuator Reference'!$A$2:$H$54,8)),"-")</f>
        <v>MT-Series</v>
      </c>
      <c r="AD181" s="41"/>
      <c r="AE181" s="41"/>
      <c r="AF181" s="35">
        <v>1</v>
      </c>
      <c r="AG181" s="35" t="s">
        <v>1097</v>
      </c>
      <c r="AH181" s="38" t="str">
        <f t="shared" si="10"/>
        <v>259-02041</v>
      </c>
      <c r="AI181" s="264" t="e">
        <f t="shared" si="11"/>
        <v>#REF!</v>
      </c>
    </row>
    <row r="182" spans="1:35" ht="14.25">
      <c r="A182" s="275" t="e">
        <f>'Box Schedule'!#REF!</f>
        <v>#REF!</v>
      </c>
      <c r="B182" s="262">
        <v>8</v>
      </c>
      <c r="C182" s="229" t="str">
        <f>IF((B182&gt;0),(VLOOKUP(J182,'Valve Reference'!$A$2:$K$389,3)),"-")</f>
        <v>0.5</v>
      </c>
      <c r="D182" s="230" t="s">
        <v>577</v>
      </c>
      <c r="E182" s="231">
        <f>IF((B182&gt;0),('Vlookup Tables'!$B$37),"-")</f>
        <v>5</v>
      </c>
      <c r="F182" s="51">
        <f t="shared" si="8"/>
        <v>3.5777087639996634</v>
      </c>
      <c r="G182" s="228">
        <f>IF((B182&gt;0),(VLOOKUP($B182,'Vlookup Tables'!$B$23:$F$33,2,TRUE)),"-")</f>
        <v>4</v>
      </c>
      <c r="H182" s="52">
        <f t="shared" si="9"/>
        <v>4</v>
      </c>
      <c r="I182" s="50">
        <f>IF((B182&gt;0),('Vlookup Tables'!$B$35),"-")</f>
        <v>259</v>
      </c>
      <c r="J182" s="265" t="str">
        <f>IF(B182&gt;0,(IF(D182="2-Way",VLOOKUP($G182,'Vlookup Tables'!$C$23:$F$33,2,FALSE),VLOOKUP($G182,'Vlookup Tables'!$C$23:$F$33,3,FALSE))),"-")</f>
        <v>02041</v>
      </c>
      <c r="K182" s="276" t="str">
        <f>IF(B182&gt;0,(VLOOKUP(J182,'Valve Reference'!$A$2:$K$389,4)),"-")</f>
        <v>Standard</v>
      </c>
      <c r="L182" s="276" t="str">
        <f>IF(B182&gt;0,(VLOOKUP(J182,'Valve Reference'!$A$2:$K$389,5)),"-")</f>
        <v>BR</v>
      </c>
      <c r="M182" s="276" t="str">
        <f>IF(B182&gt;0,(VLOOKUP(J182,'Valve Reference'!$A$2:$K$389,8)),"-")</f>
        <v>Linear</v>
      </c>
      <c r="N182" s="276" t="str">
        <f>IF(B182&gt;0,(VLOOKUP(J182,'Valve Reference'!$A$2:$K$389,10)),"-")</f>
        <v>FxF</v>
      </c>
      <c r="O182" s="277" t="str">
        <f>IF(B182&gt;0,(VLOOKUP(J182,'Valve Reference'!$A$2:$K$389,11)),"-")</f>
        <v>Globe-Powermite</v>
      </c>
      <c r="P182" s="278" t="str">
        <f>IF(B182&gt;0,(VLOOKUP(I182,'Actuator Reference'!$A$2:$H$54,2)),"-")</f>
        <v>SSC81U</v>
      </c>
      <c r="Q182" s="278" t="str">
        <f>IF(B182&gt;0,(VLOOKUP(I182,'Actuator Reference'!$A$2:$H$54,5)),"-")</f>
        <v>Float</v>
      </c>
      <c r="R182" s="278" t="str">
        <f>IF(B182&gt;0,(VLOOKUP(I182,'Actuator Reference'!$A$2:$H$54,6)),"-")</f>
        <v>NSR</v>
      </c>
      <c r="S182" s="278" t="str">
        <f>IF(B182&gt;0,(VLOOKUP(I182,'Actuator Reference'!$A$2:$H$54,7)),"-")</f>
        <v>24V</v>
      </c>
      <c r="T182" s="279" t="str">
        <f>IF(B182&gt;0,(VLOOKUP(I182,'Actuator Reference'!$A$2:$H$54,8)),"-")</f>
        <v>MT-Series</v>
      </c>
      <c r="AD182" s="41"/>
      <c r="AE182" s="41"/>
      <c r="AF182" s="35">
        <v>1</v>
      </c>
      <c r="AG182" s="35" t="s">
        <v>1097</v>
      </c>
      <c r="AH182" s="38" t="str">
        <f t="shared" si="10"/>
        <v>259-02041</v>
      </c>
      <c r="AI182" s="264" t="e">
        <f t="shared" si="11"/>
        <v>#REF!</v>
      </c>
    </row>
    <row r="183" spans="1:35" ht="14.25">
      <c r="A183" s="275" t="e">
        <f>'Box Schedule'!#REF!</f>
        <v>#REF!</v>
      </c>
      <c r="B183" s="262">
        <v>9</v>
      </c>
      <c r="C183" s="229" t="str">
        <f>IF((B183&gt;0),(VLOOKUP(J183,'Valve Reference'!$A$2:$K$389,3)),"-")</f>
        <v>0.75</v>
      </c>
      <c r="D183" s="230" t="s">
        <v>577</v>
      </c>
      <c r="E183" s="231">
        <f>IF((B183&gt;0),('Vlookup Tables'!$B$37),"-")</f>
        <v>5</v>
      </c>
      <c r="F183" s="51">
        <f t="shared" si="8"/>
        <v>4.0249223594996213</v>
      </c>
      <c r="G183" s="228">
        <f>IF((B183&gt;0),(VLOOKUP($B183,'Vlookup Tables'!$B$23:$F$33,2,TRUE)),"-")</f>
        <v>6.3</v>
      </c>
      <c r="H183" s="52">
        <f t="shared" si="9"/>
        <v>2.0408163265306127</v>
      </c>
      <c r="I183" s="50">
        <f>IF((B183&gt;0),('Vlookup Tables'!$B$35),"-")</f>
        <v>259</v>
      </c>
      <c r="J183" s="265" t="str">
        <f>IF(B183&gt;0,(IF(D183="2-Way",VLOOKUP($G183,'Vlookup Tables'!$C$23:$F$33,2,FALSE),VLOOKUP($G183,'Vlookup Tables'!$C$23:$F$33,3,FALSE))),"-")</f>
        <v>02044</v>
      </c>
      <c r="K183" s="276" t="str">
        <f>IF(B183&gt;0,(VLOOKUP(J183,'Valve Reference'!$A$2:$K$389,4)),"-")</f>
        <v>Standard</v>
      </c>
      <c r="L183" s="276" t="str">
        <f>IF(B183&gt;0,(VLOOKUP(J183,'Valve Reference'!$A$2:$K$389,5)),"-")</f>
        <v>BR</v>
      </c>
      <c r="M183" s="276" t="str">
        <f>IF(B183&gt;0,(VLOOKUP(J183,'Valve Reference'!$A$2:$K$389,8)),"-")</f>
        <v>Linear</v>
      </c>
      <c r="N183" s="276" t="str">
        <f>IF(B183&gt;0,(VLOOKUP(J183,'Valve Reference'!$A$2:$K$389,10)),"-")</f>
        <v>FxF</v>
      </c>
      <c r="O183" s="277" t="str">
        <f>IF(B183&gt;0,(VLOOKUP(J183,'Valve Reference'!$A$2:$K$389,11)),"-")</f>
        <v>Globe-Powermite</v>
      </c>
      <c r="P183" s="278" t="str">
        <f>IF(B183&gt;0,(VLOOKUP(I183,'Actuator Reference'!$A$2:$H$54,2)),"-")</f>
        <v>SSC81U</v>
      </c>
      <c r="Q183" s="278" t="str">
        <f>IF(B183&gt;0,(VLOOKUP(I183,'Actuator Reference'!$A$2:$H$54,5)),"-")</f>
        <v>Float</v>
      </c>
      <c r="R183" s="278" t="str">
        <f>IF(B183&gt;0,(VLOOKUP(I183,'Actuator Reference'!$A$2:$H$54,6)),"-")</f>
        <v>NSR</v>
      </c>
      <c r="S183" s="278" t="str">
        <f>IF(B183&gt;0,(VLOOKUP(I183,'Actuator Reference'!$A$2:$H$54,7)),"-")</f>
        <v>24V</v>
      </c>
      <c r="T183" s="279" t="str">
        <f>IF(B183&gt;0,(VLOOKUP(I183,'Actuator Reference'!$A$2:$H$54,8)),"-")</f>
        <v>MT-Series</v>
      </c>
      <c r="AD183" s="41"/>
      <c r="AE183" s="41"/>
      <c r="AF183" s="35">
        <v>1</v>
      </c>
      <c r="AG183" s="35" t="s">
        <v>1097</v>
      </c>
      <c r="AH183" s="38" t="str">
        <f t="shared" si="10"/>
        <v>259-02044</v>
      </c>
      <c r="AI183" s="264" t="e">
        <f t="shared" si="11"/>
        <v>#REF!</v>
      </c>
    </row>
    <row r="184" spans="1:35" ht="14.25">
      <c r="A184" s="275" t="e">
        <f>'Box Schedule'!#REF!</f>
        <v>#REF!</v>
      </c>
      <c r="B184" s="262">
        <v>1</v>
      </c>
      <c r="C184" s="229" t="str">
        <f>IF((B184&gt;0),(VLOOKUP(J184,'Valve Reference'!$A$2:$K$389,3)),"-")</f>
        <v>0.5</v>
      </c>
      <c r="D184" s="230" t="s">
        <v>577</v>
      </c>
      <c r="E184" s="231">
        <f>IF((B184&gt;0),('Vlookup Tables'!$B$37),"-")</f>
        <v>5</v>
      </c>
      <c r="F184" s="51">
        <f t="shared" si="8"/>
        <v>0.44721359549995793</v>
      </c>
      <c r="G184" s="228">
        <f>IF((B184&gt;0),(VLOOKUP($B184,'Vlookup Tables'!$B$23:$F$33,2,TRUE)),"-")</f>
        <v>0.63</v>
      </c>
      <c r="H184" s="52">
        <f t="shared" si="9"/>
        <v>2.5195263290501382</v>
      </c>
      <c r="I184" s="50">
        <f>IF((B184&gt;0),('Vlookup Tables'!$B$35),"-")</f>
        <v>259</v>
      </c>
      <c r="J184" s="265" t="str">
        <f>IF(B184&gt;0,(IF(D184="2-Way",VLOOKUP($G184,'Vlookup Tables'!$C$23:$F$33,2,FALSE),VLOOKUP($G184,'Vlookup Tables'!$C$23:$F$33,3,FALSE))),"-")</f>
        <v>02032</v>
      </c>
      <c r="K184" s="276" t="str">
        <f>IF(B184&gt;0,(VLOOKUP(J184,'Valve Reference'!$A$2:$K$389,4)),"-")</f>
        <v>Standard</v>
      </c>
      <c r="L184" s="276" t="str">
        <f>IF(B184&gt;0,(VLOOKUP(J184,'Valve Reference'!$A$2:$K$389,5)),"-")</f>
        <v>BR</v>
      </c>
      <c r="M184" s="276" t="str">
        <f>IF(B184&gt;0,(VLOOKUP(J184,'Valve Reference'!$A$2:$K$389,8)),"-")</f>
        <v>Linear</v>
      </c>
      <c r="N184" s="276" t="str">
        <f>IF(B184&gt;0,(VLOOKUP(J184,'Valve Reference'!$A$2:$K$389,10)),"-")</f>
        <v>FxF</v>
      </c>
      <c r="O184" s="277" t="str">
        <f>IF(B184&gt;0,(VLOOKUP(J184,'Valve Reference'!$A$2:$K$389,11)),"-")</f>
        <v>Globe-Powermite</v>
      </c>
      <c r="P184" s="278" t="str">
        <f>IF(B184&gt;0,(VLOOKUP(I184,'Actuator Reference'!$A$2:$H$54,2)),"-")</f>
        <v>SSC81U</v>
      </c>
      <c r="Q184" s="278" t="str">
        <f>IF(B184&gt;0,(VLOOKUP(I184,'Actuator Reference'!$A$2:$H$54,5)),"-")</f>
        <v>Float</v>
      </c>
      <c r="R184" s="278" t="str">
        <f>IF(B184&gt;0,(VLOOKUP(I184,'Actuator Reference'!$A$2:$H$54,6)),"-")</f>
        <v>NSR</v>
      </c>
      <c r="S184" s="278" t="str">
        <f>IF(B184&gt;0,(VLOOKUP(I184,'Actuator Reference'!$A$2:$H$54,7)),"-")</f>
        <v>24V</v>
      </c>
      <c r="T184" s="279" t="str">
        <f>IF(B184&gt;0,(VLOOKUP(I184,'Actuator Reference'!$A$2:$H$54,8)),"-")</f>
        <v>MT-Series</v>
      </c>
      <c r="AD184" s="41"/>
      <c r="AE184" s="41"/>
      <c r="AF184" s="35">
        <v>1</v>
      </c>
      <c r="AG184" s="35" t="s">
        <v>1097</v>
      </c>
      <c r="AH184" s="38" t="str">
        <f t="shared" si="10"/>
        <v>259-02032</v>
      </c>
      <c r="AI184" s="264" t="e">
        <f t="shared" si="11"/>
        <v>#REF!</v>
      </c>
    </row>
    <row r="185" spans="1:35" ht="14.25">
      <c r="A185" s="275" t="e">
        <f>'Box Schedule'!#REF!</f>
        <v>#REF!</v>
      </c>
      <c r="B185" s="262">
        <v>2</v>
      </c>
      <c r="C185" s="229" t="str">
        <f>IF((B185&gt;0),(VLOOKUP(J185,'Valve Reference'!$A$2:$K$389,3)),"-")</f>
        <v>0.5</v>
      </c>
      <c r="D185" s="230" t="s">
        <v>577</v>
      </c>
      <c r="E185" s="231">
        <f>IF((B185&gt;0),('Vlookup Tables'!$B$37),"-")</f>
        <v>5</v>
      </c>
      <c r="F185" s="51">
        <f t="shared" si="8"/>
        <v>0.89442719099991586</v>
      </c>
      <c r="G185" s="228">
        <f>IF((B185&gt;0),(VLOOKUP($B185,'Vlookup Tables'!$B$23:$F$33,2,TRUE)),"-")</f>
        <v>1</v>
      </c>
      <c r="H185" s="52">
        <f t="shared" si="9"/>
        <v>4</v>
      </c>
      <c r="I185" s="50">
        <f>IF((B185&gt;0),('Vlookup Tables'!$B$35),"-")</f>
        <v>259</v>
      </c>
      <c r="J185" s="265" t="str">
        <f>IF(B185&gt;0,(IF(D185="2-Way",VLOOKUP($G185,'Vlookup Tables'!$C$23:$F$33,2,FALSE),VLOOKUP($G185,'Vlookup Tables'!$C$23:$F$33,3,FALSE))),"-")</f>
        <v>02034</v>
      </c>
      <c r="K185" s="276" t="str">
        <f>IF(B185&gt;0,(VLOOKUP(J185,'Valve Reference'!$A$2:$K$389,4)),"-")</f>
        <v>Standard</v>
      </c>
      <c r="L185" s="276" t="str">
        <f>IF(B185&gt;0,(VLOOKUP(J185,'Valve Reference'!$A$2:$K$389,5)),"-")</f>
        <v>BR</v>
      </c>
      <c r="M185" s="276" t="str">
        <f>IF(B185&gt;0,(VLOOKUP(J185,'Valve Reference'!$A$2:$K$389,8)),"-")</f>
        <v>Linear</v>
      </c>
      <c r="N185" s="276" t="str">
        <f>IF(B185&gt;0,(VLOOKUP(J185,'Valve Reference'!$A$2:$K$389,10)),"-")</f>
        <v>FxF</v>
      </c>
      <c r="O185" s="277" t="str">
        <f>IF(B185&gt;0,(VLOOKUP(J185,'Valve Reference'!$A$2:$K$389,11)),"-")</f>
        <v>Globe-Powermite</v>
      </c>
      <c r="P185" s="278" t="str">
        <f>IF(B185&gt;0,(VLOOKUP(I185,'Actuator Reference'!$A$2:$H$54,2)),"-")</f>
        <v>SSC81U</v>
      </c>
      <c r="Q185" s="278" t="str">
        <f>IF(B185&gt;0,(VLOOKUP(I185,'Actuator Reference'!$A$2:$H$54,5)),"-")</f>
        <v>Float</v>
      </c>
      <c r="R185" s="278" t="str">
        <f>IF(B185&gt;0,(VLOOKUP(I185,'Actuator Reference'!$A$2:$H$54,6)),"-")</f>
        <v>NSR</v>
      </c>
      <c r="S185" s="278" t="str">
        <f>IF(B185&gt;0,(VLOOKUP(I185,'Actuator Reference'!$A$2:$H$54,7)),"-")</f>
        <v>24V</v>
      </c>
      <c r="T185" s="279" t="str">
        <f>IF(B185&gt;0,(VLOOKUP(I185,'Actuator Reference'!$A$2:$H$54,8)),"-")</f>
        <v>MT-Series</v>
      </c>
      <c r="AD185" s="41"/>
      <c r="AE185" s="41"/>
      <c r="AF185" s="35">
        <v>1</v>
      </c>
      <c r="AG185" s="35" t="s">
        <v>1097</v>
      </c>
      <c r="AH185" s="38" t="str">
        <f t="shared" si="10"/>
        <v>259-02034</v>
      </c>
      <c r="AI185" s="264" t="e">
        <f t="shared" si="11"/>
        <v>#REF!</v>
      </c>
    </row>
    <row r="186" spans="1:35" ht="14.25">
      <c r="A186" s="275" t="e">
        <f>'Box Schedule'!#REF!</f>
        <v>#REF!</v>
      </c>
      <c r="B186" s="262">
        <v>3</v>
      </c>
      <c r="C186" s="229" t="str">
        <f>IF((B186&gt;0),(VLOOKUP(J186,'Valve Reference'!$A$2:$K$389,3)),"-")</f>
        <v>0.5</v>
      </c>
      <c r="D186" s="230" t="s">
        <v>577</v>
      </c>
      <c r="E186" s="231">
        <f>IF((B186&gt;0),('Vlookup Tables'!$B$37),"-")</f>
        <v>5</v>
      </c>
      <c r="F186" s="51">
        <f t="shared" si="8"/>
        <v>1.3416407864998738</v>
      </c>
      <c r="G186" s="228">
        <f>IF((B186&gt;0),(VLOOKUP($B186,'Vlookup Tables'!$B$23:$F$33,2,TRUE)),"-")</f>
        <v>1.6</v>
      </c>
      <c r="H186" s="52">
        <f t="shared" si="9"/>
        <v>3.515625</v>
      </c>
      <c r="I186" s="50">
        <f>IF((B186&gt;0),('Vlookup Tables'!$B$35),"-")</f>
        <v>259</v>
      </c>
      <c r="J186" s="265" t="str">
        <f>IF(B186&gt;0,(IF(D186="2-Way",VLOOKUP($G186,'Vlookup Tables'!$C$23:$F$33,2,FALSE),VLOOKUP($G186,'Vlookup Tables'!$C$23:$F$33,3,FALSE))),"-")</f>
        <v>02036</v>
      </c>
      <c r="K186" s="276" t="str">
        <f>IF(B186&gt;0,(VLOOKUP(J186,'Valve Reference'!$A$2:$K$389,4)),"-")</f>
        <v>Standard</v>
      </c>
      <c r="L186" s="276" t="str">
        <f>IF(B186&gt;0,(VLOOKUP(J186,'Valve Reference'!$A$2:$K$389,5)),"-")</f>
        <v>BR</v>
      </c>
      <c r="M186" s="276" t="str">
        <f>IF(B186&gt;0,(VLOOKUP(J186,'Valve Reference'!$A$2:$K$389,8)),"-")</f>
        <v>Linear</v>
      </c>
      <c r="N186" s="276" t="str">
        <f>IF(B186&gt;0,(VLOOKUP(J186,'Valve Reference'!$A$2:$K$389,10)),"-")</f>
        <v>FxF</v>
      </c>
      <c r="O186" s="277" t="str">
        <f>IF(B186&gt;0,(VLOOKUP(J186,'Valve Reference'!$A$2:$K$389,11)),"-")</f>
        <v>Globe-Powermite</v>
      </c>
      <c r="P186" s="278" t="str">
        <f>IF(B186&gt;0,(VLOOKUP(I186,'Actuator Reference'!$A$2:$H$54,2)),"-")</f>
        <v>SSC81U</v>
      </c>
      <c r="Q186" s="278" t="str">
        <f>IF(B186&gt;0,(VLOOKUP(I186,'Actuator Reference'!$A$2:$H$54,5)),"-")</f>
        <v>Float</v>
      </c>
      <c r="R186" s="278" t="str">
        <f>IF(B186&gt;0,(VLOOKUP(I186,'Actuator Reference'!$A$2:$H$54,6)),"-")</f>
        <v>NSR</v>
      </c>
      <c r="S186" s="278" t="str">
        <f>IF(B186&gt;0,(VLOOKUP(I186,'Actuator Reference'!$A$2:$H$54,7)),"-")</f>
        <v>24V</v>
      </c>
      <c r="T186" s="279" t="str">
        <f>IF(B186&gt;0,(VLOOKUP(I186,'Actuator Reference'!$A$2:$H$54,8)),"-")</f>
        <v>MT-Series</v>
      </c>
      <c r="AD186" s="41"/>
      <c r="AE186" s="41"/>
      <c r="AF186" s="35">
        <v>1</v>
      </c>
      <c r="AG186" s="35" t="s">
        <v>1097</v>
      </c>
      <c r="AH186" s="38" t="str">
        <f t="shared" si="10"/>
        <v>259-02036</v>
      </c>
      <c r="AI186" s="264" t="e">
        <f t="shared" si="11"/>
        <v>#REF!</v>
      </c>
    </row>
    <row r="187" spans="1:35" ht="14.25">
      <c r="A187" s="275" t="e">
        <f>'Box Schedule'!#REF!</f>
        <v>#REF!</v>
      </c>
      <c r="B187" s="262">
        <v>4</v>
      </c>
      <c r="C187" s="229" t="str">
        <f>IF((B187&gt;0),(VLOOKUP(J187,'Valve Reference'!$A$2:$K$389,3)),"-")</f>
        <v>0.5</v>
      </c>
      <c r="D187" s="230" t="s">
        <v>577</v>
      </c>
      <c r="E187" s="231">
        <f>IF((B187&gt;0),('Vlookup Tables'!$B$37),"-")</f>
        <v>5</v>
      </c>
      <c r="F187" s="51">
        <f t="shared" si="8"/>
        <v>1.7888543819998317</v>
      </c>
      <c r="G187" s="228">
        <f>IF((B187&gt;0),(VLOOKUP($B187,'Vlookup Tables'!$B$23:$F$33,2,TRUE)),"-")</f>
        <v>2.5</v>
      </c>
      <c r="H187" s="52">
        <f t="shared" si="9"/>
        <v>2.56</v>
      </c>
      <c r="I187" s="50">
        <f>IF((B187&gt;0),('Vlookup Tables'!$B$35),"-")</f>
        <v>259</v>
      </c>
      <c r="J187" s="265" t="str">
        <f>IF(B187&gt;0,(IF(D187="2-Way",VLOOKUP($G187,'Vlookup Tables'!$C$23:$F$33,2,FALSE),VLOOKUP($G187,'Vlookup Tables'!$C$23:$F$33,3,FALSE))),"-")</f>
        <v>02038</v>
      </c>
      <c r="K187" s="276" t="str">
        <f>IF(B187&gt;0,(VLOOKUP(J187,'Valve Reference'!$A$2:$K$389,4)),"-")</f>
        <v>Standard</v>
      </c>
      <c r="L187" s="276" t="str">
        <f>IF(B187&gt;0,(VLOOKUP(J187,'Valve Reference'!$A$2:$K$389,5)),"-")</f>
        <v>BR</v>
      </c>
      <c r="M187" s="276" t="str">
        <f>IF(B187&gt;0,(VLOOKUP(J187,'Valve Reference'!$A$2:$K$389,8)),"-")</f>
        <v>Linear</v>
      </c>
      <c r="N187" s="276" t="str">
        <f>IF(B187&gt;0,(VLOOKUP(J187,'Valve Reference'!$A$2:$K$389,10)),"-")</f>
        <v>FxF</v>
      </c>
      <c r="O187" s="277" t="str">
        <f>IF(B187&gt;0,(VLOOKUP(J187,'Valve Reference'!$A$2:$K$389,11)),"-")</f>
        <v>Globe-Powermite</v>
      </c>
      <c r="P187" s="278" t="str">
        <f>IF(B187&gt;0,(VLOOKUP(I187,'Actuator Reference'!$A$2:$H$54,2)),"-")</f>
        <v>SSC81U</v>
      </c>
      <c r="Q187" s="278" t="str">
        <f>IF(B187&gt;0,(VLOOKUP(I187,'Actuator Reference'!$A$2:$H$54,5)),"-")</f>
        <v>Float</v>
      </c>
      <c r="R187" s="278" t="str">
        <f>IF(B187&gt;0,(VLOOKUP(I187,'Actuator Reference'!$A$2:$H$54,6)),"-")</f>
        <v>NSR</v>
      </c>
      <c r="S187" s="278" t="str">
        <f>IF(B187&gt;0,(VLOOKUP(I187,'Actuator Reference'!$A$2:$H$54,7)),"-")</f>
        <v>24V</v>
      </c>
      <c r="T187" s="279" t="str">
        <f>IF(B187&gt;0,(VLOOKUP(I187,'Actuator Reference'!$A$2:$H$54,8)),"-")</f>
        <v>MT-Series</v>
      </c>
      <c r="AD187" s="41"/>
      <c r="AE187" s="41"/>
      <c r="AF187" s="35">
        <v>1</v>
      </c>
      <c r="AG187" s="35" t="s">
        <v>1097</v>
      </c>
      <c r="AH187" s="38" t="str">
        <f t="shared" si="10"/>
        <v>259-02038</v>
      </c>
      <c r="AI187" s="264" t="e">
        <f t="shared" si="11"/>
        <v>#REF!</v>
      </c>
    </row>
    <row r="188" spans="1:35" ht="14.25">
      <c r="A188" s="275" t="e">
        <f>'Box Schedule'!#REF!</f>
        <v>#REF!</v>
      </c>
      <c r="B188" s="262">
        <v>5</v>
      </c>
      <c r="C188" s="229" t="str">
        <f>IF((B188&gt;0),(VLOOKUP(J188,'Valve Reference'!$A$2:$K$389,3)),"-")</f>
        <v>0.5</v>
      </c>
      <c r="D188" s="230" t="s">
        <v>577</v>
      </c>
      <c r="E188" s="231">
        <f>IF((B188&gt;0),('Vlookup Tables'!$B$37),"-")</f>
        <v>5</v>
      </c>
      <c r="F188" s="51">
        <f t="shared" si="8"/>
        <v>2.2360679774997898</v>
      </c>
      <c r="G188" s="228">
        <f>IF((B188&gt;0),(VLOOKUP($B188,'Vlookup Tables'!$B$23:$F$33,2,TRUE)),"-")</f>
        <v>2.5</v>
      </c>
      <c r="H188" s="52">
        <f t="shared" si="9"/>
        <v>4</v>
      </c>
      <c r="I188" s="50">
        <f>IF((B188&gt;0),('Vlookup Tables'!$B$35),"-")</f>
        <v>259</v>
      </c>
      <c r="J188" s="265" t="str">
        <f>IF(B188&gt;0,(IF(D188="2-Way",VLOOKUP($G188,'Vlookup Tables'!$C$23:$F$33,2,FALSE),VLOOKUP($G188,'Vlookup Tables'!$C$23:$F$33,3,FALSE))),"-")</f>
        <v>02038</v>
      </c>
      <c r="K188" s="276" t="str">
        <f>IF(B188&gt;0,(VLOOKUP(J188,'Valve Reference'!$A$2:$K$389,4)),"-")</f>
        <v>Standard</v>
      </c>
      <c r="L188" s="276" t="str">
        <f>IF(B188&gt;0,(VLOOKUP(J188,'Valve Reference'!$A$2:$K$389,5)),"-")</f>
        <v>BR</v>
      </c>
      <c r="M188" s="276" t="str">
        <f>IF(B188&gt;0,(VLOOKUP(J188,'Valve Reference'!$A$2:$K$389,8)),"-")</f>
        <v>Linear</v>
      </c>
      <c r="N188" s="276" t="str">
        <f>IF(B188&gt;0,(VLOOKUP(J188,'Valve Reference'!$A$2:$K$389,10)),"-")</f>
        <v>FxF</v>
      </c>
      <c r="O188" s="277" t="str">
        <f>IF(B188&gt;0,(VLOOKUP(J188,'Valve Reference'!$A$2:$K$389,11)),"-")</f>
        <v>Globe-Powermite</v>
      </c>
      <c r="P188" s="278" t="str">
        <f>IF(B188&gt;0,(VLOOKUP(I188,'Actuator Reference'!$A$2:$H$54,2)),"-")</f>
        <v>SSC81U</v>
      </c>
      <c r="Q188" s="278" t="str">
        <f>IF(B188&gt;0,(VLOOKUP(I188,'Actuator Reference'!$A$2:$H$54,5)),"-")</f>
        <v>Float</v>
      </c>
      <c r="R188" s="278" t="str">
        <f>IF(B188&gt;0,(VLOOKUP(I188,'Actuator Reference'!$A$2:$H$54,6)),"-")</f>
        <v>NSR</v>
      </c>
      <c r="S188" s="278" t="str">
        <f>IF(B188&gt;0,(VLOOKUP(I188,'Actuator Reference'!$A$2:$H$54,7)),"-")</f>
        <v>24V</v>
      </c>
      <c r="T188" s="279" t="str">
        <f>IF(B188&gt;0,(VLOOKUP(I188,'Actuator Reference'!$A$2:$H$54,8)),"-")</f>
        <v>MT-Series</v>
      </c>
      <c r="AD188" s="41"/>
      <c r="AE188" s="41"/>
      <c r="AF188" s="35">
        <v>1</v>
      </c>
      <c r="AG188" s="35" t="s">
        <v>1097</v>
      </c>
      <c r="AH188" s="38" t="str">
        <f t="shared" si="10"/>
        <v>259-02038</v>
      </c>
      <c r="AI188" s="264" t="e">
        <f t="shared" si="11"/>
        <v>#REF!</v>
      </c>
    </row>
    <row r="189" spans="1:35" ht="14.25">
      <c r="A189" s="275" t="e">
        <f>'Box Schedule'!#REF!</f>
        <v>#REF!</v>
      </c>
      <c r="B189" s="262">
        <v>6</v>
      </c>
      <c r="C189" s="229" t="str">
        <f>IF((B189&gt;0),(VLOOKUP(J189,'Valve Reference'!$A$2:$K$389,3)),"-")</f>
        <v>0.5</v>
      </c>
      <c r="D189" s="230" t="s">
        <v>577</v>
      </c>
      <c r="E189" s="231">
        <f>IF((B189&gt;0),('Vlookup Tables'!$B$37),"-")</f>
        <v>5</v>
      </c>
      <c r="F189" s="51">
        <f t="shared" si="8"/>
        <v>2.6832815729997477</v>
      </c>
      <c r="G189" s="228">
        <f>IF((B189&gt;0),(VLOOKUP($B189,'Vlookup Tables'!$B$23:$F$33,2,TRUE)),"-")</f>
        <v>4</v>
      </c>
      <c r="H189" s="52">
        <f t="shared" si="9"/>
        <v>2.25</v>
      </c>
      <c r="I189" s="50">
        <f>IF((B189&gt;0),('Vlookup Tables'!$B$35),"-")</f>
        <v>259</v>
      </c>
      <c r="J189" s="265" t="str">
        <f>IF(B189&gt;0,(IF(D189="2-Way",VLOOKUP($G189,'Vlookup Tables'!$C$23:$F$33,2,FALSE),VLOOKUP($G189,'Vlookup Tables'!$C$23:$F$33,3,FALSE))),"-")</f>
        <v>02041</v>
      </c>
      <c r="K189" s="276" t="str">
        <f>IF(B189&gt;0,(VLOOKUP(J189,'Valve Reference'!$A$2:$K$389,4)),"-")</f>
        <v>Standard</v>
      </c>
      <c r="L189" s="276" t="str">
        <f>IF(B189&gt;0,(VLOOKUP(J189,'Valve Reference'!$A$2:$K$389,5)),"-")</f>
        <v>BR</v>
      </c>
      <c r="M189" s="276" t="str">
        <f>IF(B189&gt;0,(VLOOKUP(J189,'Valve Reference'!$A$2:$K$389,8)),"-")</f>
        <v>Linear</v>
      </c>
      <c r="N189" s="276" t="str">
        <f>IF(B189&gt;0,(VLOOKUP(J189,'Valve Reference'!$A$2:$K$389,10)),"-")</f>
        <v>FxF</v>
      </c>
      <c r="O189" s="277" t="str">
        <f>IF(B189&gt;0,(VLOOKUP(J189,'Valve Reference'!$A$2:$K$389,11)),"-")</f>
        <v>Globe-Powermite</v>
      </c>
      <c r="P189" s="278" t="str">
        <f>IF(B189&gt;0,(VLOOKUP(I189,'Actuator Reference'!$A$2:$H$54,2)),"-")</f>
        <v>SSC81U</v>
      </c>
      <c r="Q189" s="278" t="str">
        <f>IF(B189&gt;0,(VLOOKUP(I189,'Actuator Reference'!$A$2:$H$54,5)),"-")</f>
        <v>Float</v>
      </c>
      <c r="R189" s="278" t="str">
        <f>IF(B189&gt;0,(VLOOKUP(I189,'Actuator Reference'!$A$2:$H$54,6)),"-")</f>
        <v>NSR</v>
      </c>
      <c r="S189" s="278" t="str">
        <f>IF(B189&gt;0,(VLOOKUP(I189,'Actuator Reference'!$A$2:$H$54,7)),"-")</f>
        <v>24V</v>
      </c>
      <c r="T189" s="279" t="str">
        <f>IF(B189&gt;0,(VLOOKUP(I189,'Actuator Reference'!$A$2:$H$54,8)),"-")</f>
        <v>MT-Series</v>
      </c>
      <c r="AD189" s="41"/>
      <c r="AE189" s="41"/>
      <c r="AF189" s="35">
        <v>1</v>
      </c>
      <c r="AG189" s="35" t="s">
        <v>1097</v>
      </c>
      <c r="AH189" s="38" t="str">
        <f t="shared" si="10"/>
        <v>259-02041</v>
      </c>
      <c r="AI189" s="264" t="e">
        <f t="shared" si="11"/>
        <v>#REF!</v>
      </c>
    </row>
    <row r="190" spans="1:35" ht="14.25">
      <c r="A190" s="275" t="e">
        <f>'Box Schedule'!#REF!</f>
        <v>#REF!</v>
      </c>
      <c r="B190" s="262">
        <v>7</v>
      </c>
      <c r="C190" s="229" t="str">
        <f>IF((B190&gt;0),(VLOOKUP(J190,'Valve Reference'!$A$2:$K$389,3)),"-")</f>
        <v>0.5</v>
      </c>
      <c r="D190" s="230" t="s">
        <v>577</v>
      </c>
      <c r="E190" s="231">
        <f>IF((B190&gt;0),('Vlookup Tables'!$B$37),"-")</f>
        <v>5</v>
      </c>
      <c r="F190" s="51">
        <f t="shared" si="8"/>
        <v>3.1304951684997055</v>
      </c>
      <c r="G190" s="228">
        <f>IF((B190&gt;0),(VLOOKUP($B190,'Vlookup Tables'!$B$23:$F$33,2,TRUE)),"-")</f>
        <v>4</v>
      </c>
      <c r="H190" s="52">
        <f t="shared" si="9"/>
        <v>3.0625000000000004</v>
      </c>
      <c r="I190" s="50">
        <f>IF((B190&gt;0),('Vlookup Tables'!$B$35),"-")</f>
        <v>259</v>
      </c>
      <c r="J190" s="265" t="str">
        <f>IF(B190&gt;0,(IF(D190="2-Way",VLOOKUP($G190,'Vlookup Tables'!$C$23:$F$33,2,FALSE),VLOOKUP($G190,'Vlookup Tables'!$C$23:$F$33,3,FALSE))),"-")</f>
        <v>02041</v>
      </c>
      <c r="K190" s="276" t="str">
        <f>IF(B190&gt;0,(VLOOKUP(J190,'Valve Reference'!$A$2:$K$389,4)),"-")</f>
        <v>Standard</v>
      </c>
      <c r="L190" s="276" t="str">
        <f>IF(B190&gt;0,(VLOOKUP(J190,'Valve Reference'!$A$2:$K$389,5)),"-")</f>
        <v>BR</v>
      </c>
      <c r="M190" s="276" t="str">
        <f>IF(B190&gt;0,(VLOOKUP(J190,'Valve Reference'!$A$2:$K$389,8)),"-")</f>
        <v>Linear</v>
      </c>
      <c r="N190" s="276" t="str">
        <f>IF(B190&gt;0,(VLOOKUP(J190,'Valve Reference'!$A$2:$K$389,10)),"-")</f>
        <v>FxF</v>
      </c>
      <c r="O190" s="277" t="str">
        <f>IF(B190&gt;0,(VLOOKUP(J190,'Valve Reference'!$A$2:$K$389,11)),"-")</f>
        <v>Globe-Powermite</v>
      </c>
      <c r="P190" s="278" t="str">
        <f>IF(B190&gt;0,(VLOOKUP(I190,'Actuator Reference'!$A$2:$H$54,2)),"-")</f>
        <v>SSC81U</v>
      </c>
      <c r="Q190" s="278" t="str">
        <f>IF(B190&gt;0,(VLOOKUP(I190,'Actuator Reference'!$A$2:$H$54,5)),"-")</f>
        <v>Float</v>
      </c>
      <c r="R190" s="278" t="str">
        <f>IF(B190&gt;0,(VLOOKUP(I190,'Actuator Reference'!$A$2:$H$54,6)),"-")</f>
        <v>NSR</v>
      </c>
      <c r="S190" s="278" t="str">
        <f>IF(B190&gt;0,(VLOOKUP(I190,'Actuator Reference'!$A$2:$H$54,7)),"-")</f>
        <v>24V</v>
      </c>
      <c r="T190" s="279" t="str">
        <f>IF(B190&gt;0,(VLOOKUP(I190,'Actuator Reference'!$A$2:$H$54,8)),"-")</f>
        <v>MT-Series</v>
      </c>
      <c r="AD190" s="41"/>
      <c r="AE190" s="41"/>
      <c r="AF190" s="35">
        <v>1</v>
      </c>
      <c r="AG190" s="35" t="s">
        <v>1097</v>
      </c>
      <c r="AH190" s="38" t="str">
        <f t="shared" si="10"/>
        <v>259-02041</v>
      </c>
      <c r="AI190" s="264" t="e">
        <f t="shared" si="11"/>
        <v>#REF!</v>
      </c>
    </row>
    <row r="191" spans="1:35" ht="14.25">
      <c r="A191" s="275" t="e">
        <f>'Box Schedule'!#REF!</f>
        <v>#REF!</v>
      </c>
      <c r="B191" s="262">
        <v>8</v>
      </c>
      <c r="C191" s="229" t="str">
        <f>IF((B191&gt;0),(VLOOKUP(J191,'Valve Reference'!$A$2:$K$389,3)),"-")</f>
        <v>0.5</v>
      </c>
      <c r="D191" s="230" t="s">
        <v>577</v>
      </c>
      <c r="E191" s="231">
        <f>IF((B191&gt;0),('Vlookup Tables'!$B$37),"-")</f>
        <v>5</v>
      </c>
      <c r="F191" s="51">
        <f t="shared" si="8"/>
        <v>3.5777087639996634</v>
      </c>
      <c r="G191" s="228">
        <f>IF((B191&gt;0),(VLOOKUP($B191,'Vlookup Tables'!$B$23:$F$33,2,TRUE)),"-")</f>
        <v>4</v>
      </c>
      <c r="H191" s="52">
        <f t="shared" si="9"/>
        <v>4</v>
      </c>
      <c r="I191" s="50">
        <f>IF((B191&gt;0),('Vlookup Tables'!$B$35),"-")</f>
        <v>259</v>
      </c>
      <c r="J191" s="265" t="str">
        <f>IF(B191&gt;0,(IF(D191="2-Way",VLOOKUP($G191,'Vlookup Tables'!$C$23:$F$33,2,FALSE),VLOOKUP($G191,'Vlookup Tables'!$C$23:$F$33,3,FALSE))),"-")</f>
        <v>02041</v>
      </c>
      <c r="K191" s="276" t="str">
        <f>IF(B191&gt;0,(VLOOKUP(J191,'Valve Reference'!$A$2:$K$389,4)),"-")</f>
        <v>Standard</v>
      </c>
      <c r="L191" s="276" t="str">
        <f>IF(B191&gt;0,(VLOOKUP(J191,'Valve Reference'!$A$2:$K$389,5)),"-")</f>
        <v>BR</v>
      </c>
      <c r="M191" s="276" t="str">
        <f>IF(B191&gt;0,(VLOOKUP(J191,'Valve Reference'!$A$2:$K$389,8)),"-")</f>
        <v>Linear</v>
      </c>
      <c r="N191" s="276" t="str">
        <f>IF(B191&gt;0,(VLOOKUP(J191,'Valve Reference'!$A$2:$K$389,10)),"-")</f>
        <v>FxF</v>
      </c>
      <c r="O191" s="277" t="str">
        <f>IF(B191&gt;0,(VLOOKUP(J191,'Valve Reference'!$A$2:$K$389,11)),"-")</f>
        <v>Globe-Powermite</v>
      </c>
      <c r="P191" s="278" t="str">
        <f>IF(B191&gt;0,(VLOOKUP(I191,'Actuator Reference'!$A$2:$H$54,2)),"-")</f>
        <v>SSC81U</v>
      </c>
      <c r="Q191" s="278" t="str">
        <f>IF(B191&gt;0,(VLOOKUP(I191,'Actuator Reference'!$A$2:$H$54,5)),"-")</f>
        <v>Float</v>
      </c>
      <c r="R191" s="278" t="str">
        <f>IF(B191&gt;0,(VLOOKUP(I191,'Actuator Reference'!$A$2:$H$54,6)),"-")</f>
        <v>NSR</v>
      </c>
      <c r="S191" s="278" t="str">
        <f>IF(B191&gt;0,(VLOOKUP(I191,'Actuator Reference'!$A$2:$H$54,7)),"-")</f>
        <v>24V</v>
      </c>
      <c r="T191" s="279" t="str">
        <f>IF(B191&gt;0,(VLOOKUP(I191,'Actuator Reference'!$A$2:$H$54,8)),"-")</f>
        <v>MT-Series</v>
      </c>
      <c r="AD191" s="41"/>
      <c r="AE191" s="41"/>
      <c r="AF191" s="35">
        <v>1</v>
      </c>
      <c r="AG191" s="35" t="s">
        <v>1097</v>
      </c>
      <c r="AH191" s="38" t="str">
        <f t="shared" si="10"/>
        <v>259-02041</v>
      </c>
      <c r="AI191" s="264" t="e">
        <f t="shared" si="11"/>
        <v>#REF!</v>
      </c>
    </row>
    <row r="192" spans="1:35" ht="14.25">
      <c r="A192" s="275" t="e">
        <f>'Box Schedule'!#REF!</f>
        <v>#REF!</v>
      </c>
      <c r="B192" s="262">
        <v>9</v>
      </c>
      <c r="C192" s="229" t="str">
        <f>IF((B192&gt;0),(VLOOKUP(J192,'Valve Reference'!$A$2:$K$389,3)),"-")</f>
        <v>0.75</v>
      </c>
      <c r="D192" s="230" t="s">
        <v>577</v>
      </c>
      <c r="E192" s="231">
        <f>IF((B192&gt;0),('Vlookup Tables'!$B$37),"-")</f>
        <v>5</v>
      </c>
      <c r="F192" s="51">
        <f t="shared" si="8"/>
        <v>4.0249223594996213</v>
      </c>
      <c r="G192" s="228">
        <f>IF((B192&gt;0),(VLOOKUP($B192,'Vlookup Tables'!$B$23:$F$33,2,TRUE)),"-")</f>
        <v>6.3</v>
      </c>
      <c r="H192" s="52">
        <f t="shared" si="9"/>
        <v>2.0408163265306127</v>
      </c>
      <c r="I192" s="50">
        <f>IF((B192&gt;0),('Vlookup Tables'!$B$35),"-")</f>
        <v>259</v>
      </c>
      <c r="J192" s="265" t="str">
        <f>IF(B192&gt;0,(IF(D192="2-Way",VLOOKUP($G192,'Vlookup Tables'!$C$23:$F$33,2,FALSE),VLOOKUP($G192,'Vlookup Tables'!$C$23:$F$33,3,FALSE))),"-")</f>
        <v>02044</v>
      </c>
      <c r="K192" s="276" t="str">
        <f>IF(B192&gt;0,(VLOOKUP(J192,'Valve Reference'!$A$2:$K$389,4)),"-")</f>
        <v>Standard</v>
      </c>
      <c r="L192" s="276" t="str">
        <f>IF(B192&gt;0,(VLOOKUP(J192,'Valve Reference'!$A$2:$K$389,5)),"-")</f>
        <v>BR</v>
      </c>
      <c r="M192" s="276" t="str">
        <f>IF(B192&gt;0,(VLOOKUP(J192,'Valve Reference'!$A$2:$K$389,8)),"-")</f>
        <v>Linear</v>
      </c>
      <c r="N192" s="276" t="str">
        <f>IF(B192&gt;0,(VLOOKUP(J192,'Valve Reference'!$A$2:$K$389,10)),"-")</f>
        <v>FxF</v>
      </c>
      <c r="O192" s="277" t="str">
        <f>IF(B192&gt;0,(VLOOKUP(J192,'Valve Reference'!$A$2:$K$389,11)),"-")</f>
        <v>Globe-Powermite</v>
      </c>
      <c r="P192" s="278" t="str">
        <f>IF(B192&gt;0,(VLOOKUP(I192,'Actuator Reference'!$A$2:$H$54,2)),"-")</f>
        <v>SSC81U</v>
      </c>
      <c r="Q192" s="278" t="str">
        <f>IF(B192&gt;0,(VLOOKUP(I192,'Actuator Reference'!$A$2:$H$54,5)),"-")</f>
        <v>Float</v>
      </c>
      <c r="R192" s="278" t="str">
        <f>IF(B192&gt;0,(VLOOKUP(I192,'Actuator Reference'!$A$2:$H$54,6)),"-")</f>
        <v>NSR</v>
      </c>
      <c r="S192" s="278" t="str">
        <f>IF(B192&gt;0,(VLOOKUP(I192,'Actuator Reference'!$A$2:$H$54,7)),"-")</f>
        <v>24V</v>
      </c>
      <c r="T192" s="279" t="str">
        <f>IF(B192&gt;0,(VLOOKUP(I192,'Actuator Reference'!$A$2:$H$54,8)),"-")</f>
        <v>MT-Series</v>
      </c>
      <c r="AD192" s="41"/>
      <c r="AE192" s="41"/>
      <c r="AF192" s="35">
        <v>1</v>
      </c>
      <c r="AG192" s="35" t="s">
        <v>1097</v>
      </c>
      <c r="AH192" s="38" t="str">
        <f t="shared" si="10"/>
        <v>259-02044</v>
      </c>
      <c r="AI192" s="264" t="e">
        <f t="shared" si="11"/>
        <v>#REF!</v>
      </c>
    </row>
    <row r="193" spans="1:35" ht="14.25">
      <c r="A193" s="275" t="e">
        <f>'Box Schedule'!#REF!</f>
        <v>#REF!</v>
      </c>
      <c r="B193" s="262">
        <v>1</v>
      </c>
      <c r="C193" s="229" t="str">
        <f>IF((B193&gt;0),(VLOOKUP(J193,'Valve Reference'!$A$2:$K$389,3)),"-")</f>
        <v>0.5</v>
      </c>
      <c r="D193" s="230" t="s">
        <v>577</v>
      </c>
      <c r="E193" s="231">
        <f>IF((B193&gt;0),('Vlookup Tables'!$B$37),"-")</f>
        <v>5</v>
      </c>
      <c r="F193" s="51">
        <f t="shared" si="8"/>
        <v>0.44721359549995793</v>
      </c>
      <c r="G193" s="228">
        <f>IF((B193&gt;0),(VLOOKUP($B193,'Vlookup Tables'!$B$23:$F$33,2,TRUE)),"-")</f>
        <v>0.63</v>
      </c>
      <c r="H193" s="52">
        <f t="shared" si="9"/>
        <v>2.5195263290501382</v>
      </c>
      <c r="I193" s="50">
        <f>IF((B193&gt;0),('Vlookup Tables'!$B$35),"-")</f>
        <v>259</v>
      </c>
      <c r="J193" s="265" t="str">
        <f>IF(B193&gt;0,(IF(D193="2-Way",VLOOKUP($G193,'Vlookup Tables'!$C$23:$F$33,2,FALSE),VLOOKUP($G193,'Vlookup Tables'!$C$23:$F$33,3,FALSE))),"-")</f>
        <v>02032</v>
      </c>
      <c r="K193" s="276" t="str">
        <f>IF(B193&gt;0,(VLOOKUP(J193,'Valve Reference'!$A$2:$K$389,4)),"-")</f>
        <v>Standard</v>
      </c>
      <c r="L193" s="276" t="str">
        <f>IF(B193&gt;0,(VLOOKUP(J193,'Valve Reference'!$A$2:$K$389,5)),"-")</f>
        <v>BR</v>
      </c>
      <c r="M193" s="276" t="str">
        <f>IF(B193&gt;0,(VLOOKUP(J193,'Valve Reference'!$A$2:$K$389,8)),"-")</f>
        <v>Linear</v>
      </c>
      <c r="N193" s="276" t="str">
        <f>IF(B193&gt;0,(VLOOKUP(J193,'Valve Reference'!$A$2:$K$389,10)),"-")</f>
        <v>FxF</v>
      </c>
      <c r="O193" s="277" t="str">
        <f>IF(B193&gt;0,(VLOOKUP(J193,'Valve Reference'!$A$2:$K$389,11)),"-")</f>
        <v>Globe-Powermite</v>
      </c>
      <c r="P193" s="278" t="str">
        <f>IF(B193&gt;0,(VLOOKUP(I193,'Actuator Reference'!$A$2:$H$54,2)),"-")</f>
        <v>SSC81U</v>
      </c>
      <c r="Q193" s="278" t="str">
        <f>IF(B193&gt;0,(VLOOKUP(I193,'Actuator Reference'!$A$2:$H$54,5)),"-")</f>
        <v>Float</v>
      </c>
      <c r="R193" s="278" t="str">
        <f>IF(B193&gt;0,(VLOOKUP(I193,'Actuator Reference'!$A$2:$H$54,6)),"-")</f>
        <v>NSR</v>
      </c>
      <c r="S193" s="278" t="str">
        <f>IF(B193&gt;0,(VLOOKUP(I193,'Actuator Reference'!$A$2:$H$54,7)),"-")</f>
        <v>24V</v>
      </c>
      <c r="T193" s="279" t="str">
        <f>IF(B193&gt;0,(VLOOKUP(I193,'Actuator Reference'!$A$2:$H$54,8)),"-")</f>
        <v>MT-Series</v>
      </c>
      <c r="AD193" s="41"/>
      <c r="AE193" s="41"/>
      <c r="AF193" s="35">
        <v>1</v>
      </c>
      <c r="AG193" s="35" t="s">
        <v>1097</v>
      </c>
      <c r="AH193" s="38" t="str">
        <f t="shared" si="10"/>
        <v>259-02032</v>
      </c>
      <c r="AI193" s="264" t="e">
        <f t="shared" si="11"/>
        <v>#REF!</v>
      </c>
    </row>
    <row r="194" spans="1:35" ht="14.25">
      <c r="A194" s="275" t="e">
        <f>'Box Schedule'!#REF!</f>
        <v>#REF!</v>
      </c>
      <c r="B194" s="262">
        <v>2</v>
      </c>
      <c r="C194" s="229" t="str">
        <f>IF((B194&gt;0),(VLOOKUP(J194,'Valve Reference'!$A$2:$K$389,3)),"-")</f>
        <v>0.5</v>
      </c>
      <c r="D194" s="230" t="s">
        <v>577</v>
      </c>
      <c r="E194" s="231">
        <f>IF((B194&gt;0),('Vlookup Tables'!$B$37),"-")</f>
        <v>5</v>
      </c>
      <c r="F194" s="51">
        <f t="shared" si="8"/>
        <v>0.89442719099991586</v>
      </c>
      <c r="G194" s="228">
        <f>IF((B194&gt;0),(VLOOKUP($B194,'Vlookup Tables'!$B$23:$F$33,2,TRUE)),"-")</f>
        <v>1</v>
      </c>
      <c r="H194" s="52">
        <f t="shared" si="9"/>
        <v>4</v>
      </c>
      <c r="I194" s="50">
        <f>IF((B194&gt;0),('Vlookup Tables'!$B$35),"-")</f>
        <v>259</v>
      </c>
      <c r="J194" s="265" t="str">
        <f>IF(B194&gt;0,(IF(D194="2-Way",VLOOKUP($G194,'Vlookup Tables'!$C$23:$F$33,2,FALSE),VLOOKUP($G194,'Vlookup Tables'!$C$23:$F$33,3,FALSE))),"-")</f>
        <v>02034</v>
      </c>
      <c r="K194" s="276" t="str">
        <f>IF(B194&gt;0,(VLOOKUP(J194,'Valve Reference'!$A$2:$K$389,4)),"-")</f>
        <v>Standard</v>
      </c>
      <c r="L194" s="276" t="str">
        <f>IF(B194&gt;0,(VLOOKUP(J194,'Valve Reference'!$A$2:$K$389,5)),"-")</f>
        <v>BR</v>
      </c>
      <c r="M194" s="276" t="str">
        <f>IF(B194&gt;0,(VLOOKUP(J194,'Valve Reference'!$A$2:$K$389,8)),"-")</f>
        <v>Linear</v>
      </c>
      <c r="N194" s="276" t="str">
        <f>IF(B194&gt;0,(VLOOKUP(J194,'Valve Reference'!$A$2:$K$389,10)),"-")</f>
        <v>FxF</v>
      </c>
      <c r="O194" s="277" t="str">
        <f>IF(B194&gt;0,(VLOOKUP(J194,'Valve Reference'!$A$2:$K$389,11)),"-")</f>
        <v>Globe-Powermite</v>
      </c>
      <c r="P194" s="278" t="str">
        <f>IF(B194&gt;0,(VLOOKUP(I194,'Actuator Reference'!$A$2:$H$54,2)),"-")</f>
        <v>SSC81U</v>
      </c>
      <c r="Q194" s="278" t="str">
        <f>IF(B194&gt;0,(VLOOKUP(I194,'Actuator Reference'!$A$2:$H$54,5)),"-")</f>
        <v>Float</v>
      </c>
      <c r="R194" s="278" t="str">
        <f>IF(B194&gt;0,(VLOOKUP(I194,'Actuator Reference'!$A$2:$H$54,6)),"-")</f>
        <v>NSR</v>
      </c>
      <c r="S194" s="278" t="str">
        <f>IF(B194&gt;0,(VLOOKUP(I194,'Actuator Reference'!$A$2:$H$54,7)),"-")</f>
        <v>24V</v>
      </c>
      <c r="T194" s="279" t="str">
        <f>IF(B194&gt;0,(VLOOKUP(I194,'Actuator Reference'!$A$2:$H$54,8)),"-")</f>
        <v>MT-Series</v>
      </c>
      <c r="AD194" s="41"/>
      <c r="AE194" s="41"/>
      <c r="AF194" s="35">
        <v>1</v>
      </c>
      <c r="AG194" s="35" t="s">
        <v>1097</v>
      </c>
      <c r="AH194" s="38" t="str">
        <f t="shared" si="10"/>
        <v>259-02034</v>
      </c>
      <c r="AI194" s="264" t="e">
        <f t="shared" si="11"/>
        <v>#REF!</v>
      </c>
    </row>
    <row r="195" spans="1:35" ht="14.25">
      <c r="A195" s="275" t="e">
        <f>'Box Schedule'!#REF!</f>
        <v>#REF!</v>
      </c>
      <c r="B195" s="262">
        <v>3</v>
      </c>
      <c r="C195" s="229" t="str">
        <f>IF((B195&gt;0),(VLOOKUP(J195,'Valve Reference'!$A$2:$K$389,3)),"-")</f>
        <v>0.5</v>
      </c>
      <c r="D195" s="230" t="s">
        <v>577</v>
      </c>
      <c r="E195" s="231">
        <f>IF((B195&gt;0),('Vlookup Tables'!$B$37),"-")</f>
        <v>5</v>
      </c>
      <c r="F195" s="51">
        <f t="shared" si="8"/>
        <v>1.3416407864998738</v>
      </c>
      <c r="G195" s="228">
        <f>IF((B195&gt;0),(VLOOKUP($B195,'Vlookup Tables'!$B$23:$F$33,2,TRUE)),"-")</f>
        <v>1.6</v>
      </c>
      <c r="H195" s="52">
        <f t="shared" si="9"/>
        <v>3.515625</v>
      </c>
      <c r="I195" s="50">
        <f>IF((B195&gt;0),('Vlookup Tables'!$B$35),"-")</f>
        <v>259</v>
      </c>
      <c r="J195" s="265" t="str">
        <f>IF(B195&gt;0,(IF(D195="2-Way",VLOOKUP($G195,'Vlookup Tables'!$C$23:$F$33,2,FALSE),VLOOKUP($G195,'Vlookup Tables'!$C$23:$F$33,3,FALSE))),"-")</f>
        <v>02036</v>
      </c>
      <c r="K195" s="276" t="str">
        <f>IF(B195&gt;0,(VLOOKUP(J195,'Valve Reference'!$A$2:$K$389,4)),"-")</f>
        <v>Standard</v>
      </c>
      <c r="L195" s="276" t="str">
        <f>IF(B195&gt;0,(VLOOKUP(J195,'Valve Reference'!$A$2:$K$389,5)),"-")</f>
        <v>BR</v>
      </c>
      <c r="M195" s="276" t="str">
        <f>IF(B195&gt;0,(VLOOKUP(J195,'Valve Reference'!$A$2:$K$389,8)),"-")</f>
        <v>Linear</v>
      </c>
      <c r="N195" s="276" t="str">
        <f>IF(B195&gt;0,(VLOOKUP(J195,'Valve Reference'!$A$2:$K$389,10)),"-")</f>
        <v>FxF</v>
      </c>
      <c r="O195" s="277" t="str">
        <f>IF(B195&gt;0,(VLOOKUP(J195,'Valve Reference'!$A$2:$K$389,11)),"-")</f>
        <v>Globe-Powermite</v>
      </c>
      <c r="P195" s="278" t="str">
        <f>IF(B195&gt;0,(VLOOKUP(I195,'Actuator Reference'!$A$2:$H$54,2)),"-")</f>
        <v>SSC81U</v>
      </c>
      <c r="Q195" s="278" t="str">
        <f>IF(B195&gt;0,(VLOOKUP(I195,'Actuator Reference'!$A$2:$H$54,5)),"-")</f>
        <v>Float</v>
      </c>
      <c r="R195" s="278" t="str">
        <f>IF(B195&gt;0,(VLOOKUP(I195,'Actuator Reference'!$A$2:$H$54,6)),"-")</f>
        <v>NSR</v>
      </c>
      <c r="S195" s="278" t="str">
        <f>IF(B195&gt;0,(VLOOKUP(I195,'Actuator Reference'!$A$2:$H$54,7)),"-")</f>
        <v>24V</v>
      </c>
      <c r="T195" s="279" t="str">
        <f>IF(B195&gt;0,(VLOOKUP(I195,'Actuator Reference'!$A$2:$H$54,8)),"-")</f>
        <v>MT-Series</v>
      </c>
      <c r="AD195" s="41"/>
      <c r="AE195" s="41"/>
      <c r="AF195" s="35">
        <v>1</v>
      </c>
      <c r="AG195" s="35" t="s">
        <v>1097</v>
      </c>
      <c r="AH195" s="38" t="str">
        <f t="shared" si="10"/>
        <v>259-02036</v>
      </c>
      <c r="AI195" s="264" t="e">
        <f t="shared" si="11"/>
        <v>#REF!</v>
      </c>
    </row>
    <row r="196" spans="1:35" ht="14.25">
      <c r="A196" s="275" t="e">
        <f>'Box Schedule'!#REF!</f>
        <v>#REF!</v>
      </c>
      <c r="B196" s="262">
        <v>4</v>
      </c>
      <c r="C196" s="229" t="str">
        <f>IF((B196&gt;0),(VLOOKUP(J196,'Valve Reference'!$A$2:$K$389,3)),"-")</f>
        <v>0.5</v>
      </c>
      <c r="D196" s="230" t="s">
        <v>577</v>
      </c>
      <c r="E196" s="231">
        <f>IF((B196&gt;0),('Vlookup Tables'!$B$37),"-")</f>
        <v>5</v>
      </c>
      <c r="F196" s="51">
        <f t="shared" si="8"/>
        <v>1.7888543819998317</v>
      </c>
      <c r="G196" s="228">
        <f>IF((B196&gt;0),(VLOOKUP($B196,'Vlookup Tables'!$B$23:$F$33,2,TRUE)),"-")</f>
        <v>2.5</v>
      </c>
      <c r="H196" s="52">
        <f t="shared" si="9"/>
        <v>2.56</v>
      </c>
      <c r="I196" s="50">
        <f>IF((B196&gt;0),('Vlookup Tables'!$B$35),"-")</f>
        <v>259</v>
      </c>
      <c r="J196" s="265" t="str">
        <f>IF(B196&gt;0,(IF(D196="2-Way",VLOOKUP($G196,'Vlookup Tables'!$C$23:$F$33,2,FALSE),VLOOKUP($G196,'Vlookup Tables'!$C$23:$F$33,3,FALSE))),"-")</f>
        <v>02038</v>
      </c>
      <c r="K196" s="276" t="str">
        <f>IF(B196&gt;0,(VLOOKUP(J196,'Valve Reference'!$A$2:$K$389,4)),"-")</f>
        <v>Standard</v>
      </c>
      <c r="L196" s="276" t="str">
        <f>IF(B196&gt;0,(VLOOKUP(J196,'Valve Reference'!$A$2:$K$389,5)),"-")</f>
        <v>BR</v>
      </c>
      <c r="M196" s="276" t="str">
        <f>IF(B196&gt;0,(VLOOKUP(J196,'Valve Reference'!$A$2:$K$389,8)),"-")</f>
        <v>Linear</v>
      </c>
      <c r="N196" s="276" t="str">
        <f>IF(B196&gt;0,(VLOOKUP(J196,'Valve Reference'!$A$2:$K$389,10)),"-")</f>
        <v>FxF</v>
      </c>
      <c r="O196" s="277" t="str">
        <f>IF(B196&gt;0,(VLOOKUP(J196,'Valve Reference'!$A$2:$K$389,11)),"-")</f>
        <v>Globe-Powermite</v>
      </c>
      <c r="P196" s="278" t="str">
        <f>IF(B196&gt;0,(VLOOKUP(I196,'Actuator Reference'!$A$2:$H$54,2)),"-")</f>
        <v>SSC81U</v>
      </c>
      <c r="Q196" s="278" t="str">
        <f>IF(B196&gt;0,(VLOOKUP(I196,'Actuator Reference'!$A$2:$H$54,5)),"-")</f>
        <v>Float</v>
      </c>
      <c r="R196" s="278" t="str">
        <f>IF(B196&gt;0,(VLOOKUP(I196,'Actuator Reference'!$A$2:$H$54,6)),"-")</f>
        <v>NSR</v>
      </c>
      <c r="S196" s="278" t="str">
        <f>IF(B196&gt;0,(VLOOKUP(I196,'Actuator Reference'!$A$2:$H$54,7)),"-")</f>
        <v>24V</v>
      </c>
      <c r="T196" s="279" t="str">
        <f>IF(B196&gt;0,(VLOOKUP(I196,'Actuator Reference'!$A$2:$H$54,8)),"-")</f>
        <v>MT-Series</v>
      </c>
      <c r="AD196" s="41"/>
      <c r="AE196" s="41"/>
      <c r="AF196" s="35">
        <v>1</v>
      </c>
      <c r="AG196" s="35" t="s">
        <v>1097</v>
      </c>
      <c r="AH196" s="38" t="str">
        <f t="shared" si="10"/>
        <v>259-02038</v>
      </c>
      <c r="AI196" s="264" t="e">
        <f t="shared" si="11"/>
        <v>#REF!</v>
      </c>
    </row>
    <row r="197" spans="1:35" ht="14.25">
      <c r="A197" s="275" t="e">
        <f>'Box Schedule'!#REF!</f>
        <v>#REF!</v>
      </c>
      <c r="B197" s="262">
        <v>5</v>
      </c>
      <c r="C197" s="229" t="str">
        <f>IF((B197&gt;0),(VLOOKUP(J197,'Valve Reference'!$A$2:$K$389,3)),"-")</f>
        <v>0.5</v>
      </c>
      <c r="D197" s="230" t="s">
        <v>577</v>
      </c>
      <c r="E197" s="231">
        <f>IF((B197&gt;0),('Vlookup Tables'!$B$37),"-")</f>
        <v>5</v>
      </c>
      <c r="F197" s="51">
        <f t="shared" ref="F197:F260" si="12">IF((B197&gt;0),(B197/SQRT(E197)),"-")</f>
        <v>2.2360679774997898</v>
      </c>
      <c r="G197" s="228">
        <f>IF((B197&gt;0),(VLOOKUP($B197,'Vlookup Tables'!$B$23:$F$33,2,TRUE)),"-")</f>
        <v>2.5</v>
      </c>
      <c r="H197" s="52">
        <f t="shared" ref="H197:H260" si="13">IF((B197&gt;0),(1/((G197/B197)^2)),"-")</f>
        <v>4</v>
      </c>
      <c r="I197" s="50">
        <f>IF((B197&gt;0),('Vlookup Tables'!$B$35),"-")</f>
        <v>259</v>
      </c>
      <c r="J197" s="265" t="str">
        <f>IF(B197&gt;0,(IF(D197="2-Way",VLOOKUP($G197,'Vlookup Tables'!$C$23:$F$33,2,FALSE),VLOOKUP($G197,'Vlookup Tables'!$C$23:$F$33,3,FALSE))),"-")</f>
        <v>02038</v>
      </c>
      <c r="K197" s="276" t="str">
        <f>IF(B197&gt;0,(VLOOKUP(J197,'Valve Reference'!$A$2:$K$389,4)),"-")</f>
        <v>Standard</v>
      </c>
      <c r="L197" s="276" t="str">
        <f>IF(B197&gt;0,(VLOOKUP(J197,'Valve Reference'!$A$2:$K$389,5)),"-")</f>
        <v>BR</v>
      </c>
      <c r="M197" s="276" t="str">
        <f>IF(B197&gt;0,(VLOOKUP(J197,'Valve Reference'!$A$2:$K$389,8)),"-")</f>
        <v>Linear</v>
      </c>
      <c r="N197" s="276" t="str">
        <f>IF(B197&gt;0,(VLOOKUP(J197,'Valve Reference'!$A$2:$K$389,10)),"-")</f>
        <v>FxF</v>
      </c>
      <c r="O197" s="277" t="str">
        <f>IF(B197&gt;0,(VLOOKUP(J197,'Valve Reference'!$A$2:$K$389,11)),"-")</f>
        <v>Globe-Powermite</v>
      </c>
      <c r="P197" s="278" t="str">
        <f>IF(B197&gt;0,(VLOOKUP(I197,'Actuator Reference'!$A$2:$H$54,2)),"-")</f>
        <v>SSC81U</v>
      </c>
      <c r="Q197" s="278" t="str">
        <f>IF(B197&gt;0,(VLOOKUP(I197,'Actuator Reference'!$A$2:$H$54,5)),"-")</f>
        <v>Float</v>
      </c>
      <c r="R197" s="278" t="str">
        <f>IF(B197&gt;0,(VLOOKUP(I197,'Actuator Reference'!$A$2:$H$54,6)),"-")</f>
        <v>NSR</v>
      </c>
      <c r="S197" s="278" t="str">
        <f>IF(B197&gt;0,(VLOOKUP(I197,'Actuator Reference'!$A$2:$H$54,7)),"-")</f>
        <v>24V</v>
      </c>
      <c r="T197" s="279" t="str">
        <f>IF(B197&gt;0,(VLOOKUP(I197,'Actuator Reference'!$A$2:$H$54,8)),"-")</f>
        <v>MT-Series</v>
      </c>
      <c r="AD197" s="41"/>
      <c r="AE197" s="41"/>
      <c r="AF197" s="35">
        <v>1</v>
      </c>
      <c r="AG197" s="35" t="s">
        <v>1097</v>
      </c>
      <c r="AH197" s="38" t="str">
        <f t="shared" si="10"/>
        <v>259-02038</v>
      </c>
      <c r="AI197" s="264" t="e">
        <f t="shared" ref="AI197:AI260" si="14">A197</f>
        <v>#REF!</v>
      </c>
    </row>
    <row r="198" spans="1:35" ht="14.25">
      <c r="A198" s="275" t="e">
        <f>'Box Schedule'!#REF!</f>
        <v>#REF!</v>
      </c>
      <c r="B198" s="262">
        <v>6</v>
      </c>
      <c r="C198" s="229" t="str">
        <f>IF((B198&gt;0),(VLOOKUP(J198,'Valve Reference'!$A$2:$K$389,3)),"-")</f>
        <v>0.5</v>
      </c>
      <c r="D198" s="230" t="s">
        <v>577</v>
      </c>
      <c r="E198" s="231">
        <f>IF((B198&gt;0),('Vlookup Tables'!$B$37),"-")</f>
        <v>5</v>
      </c>
      <c r="F198" s="51">
        <f t="shared" si="12"/>
        <v>2.6832815729997477</v>
      </c>
      <c r="G198" s="228">
        <f>IF((B198&gt;0),(VLOOKUP($B198,'Vlookup Tables'!$B$23:$F$33,2,TRUE)),"-")</f>
        <v>4</v>
      </c>
      <c r="H198" s="52">
        <f t="shared" si="13"/>
        <v>2.25</v>
      </c>
      <c r="I198" s="50">
        <f>IF((B198&gt;0),('Vlookup Tables'!$B$35),"-")</f>
        <v>259</v>
      </c>
      <c r="J198" s="265" t="str">
        <f>IF(B198&gt;0,(IF(D198="2-Way",VLOOKUP($G198,'Vlookup Tables'!$C$23:$F$33,2,FALSE),VLOOKUP($G198,'Vlookup Tables'!$C$23:$F$33,3,FALSE))),"-")</f>
        <v>02041</v>
      </c>
      <c r="K198" s="276" t="str">
        <f>IF(B198&gt;0,(VLOOKUP(J198,'Valve Reference'!$A$2:$K$389,4)),"-")</f>
        <v>Standard</v>
      </c>
      <c r="L198" s="276" t="str">
        <f>IF(B198&gt;0,(VLOOKUP(J198,'Valve Reference'!$A$2:$K$389,5)),"-")</f>
        <v>BR</v>
      </c>
      <c r="M198" s="276" t="str">
        <f>IF(B198&gt;0,(VLOOKUP(J198,'Valve Reference'!$A$2:$K$389,8)),"-")</f>
        <v>Linear</v>
      </c>
      <c r="N198" s="276" t="str">
        <f>IF(B198&gt;0,(VLOOKUP(J198,'Valve Reference'!$A$2:$K$389,10)),"-")</f>
        <v>FxF</v>
      </c>
      <c r="O198" s="277" t="str">
        <f>IF(B198&gt;0,(VLOOKUP(J198,'Valve Reference'!$A$2:$K$389,11)),"-")</f>
        <v>Globe-Powermite</v>
      </c>
      <c r="P198" s="278" t="str">
        <f>IF(B198&gt;0,(VLOOKUP(I198,'Actuator Reference'!$A$2:$H$54,2)),"-")</f>
        <v>SSC81U</v>
      </c>
      <c r="Q198" s="278" t="str">
        <f>IF(B198&gt;0,(VLOOKUP(I198,'Actuator Reference'!$A$2:$H$54,5)),"-")</f>
        <v>Float</v>
      </c>
      <c r="R198" s="278" t="str">
        <f>IF(B198&gt;0,(VLOOKUP(I198,'Actuator Reference'!$A$2:$H$54,6)),"-")</f>
        <v>NSR</v>
      </c>
      <c r="S198" s="278" t="str">
        <f>IF(B198&gt;0,(VLOOKUP(I198,'Actuator Reference'!$A$2:$H$54,7)),"-")</f>
        <v>24V</v>
      </c>
      <c r="T198" s="279" t="str">
        <f>IF(B198&gt;0,(VLOOKUP(I198,'Actuator Reference'!$A$2:$H$54,8)),"-")</f>
        <v>MT-Series</v>
      </c>
      <c r="AD198" s="41"/>
      <c r="AE198" s="41"/>
      <c r="AF198" s="35">
        <v>1</v>
      </c>
      <c r="AG198" s="35" t="s">
        <v>1097</v>
      </c>
      <c r="AH198" s="38" t="str">
        <f t="shared" ref="AH198:AH261" si="15">CONCATENATE(I198,"-",J198)</f>
        <v>259-02041</v>
      </c>
      <c r="AI198" s="264" t="e">
        <f t="shared" si="14"/>
        <v>#REF!</v>
      </c>
    </row>
    <row r="199" spans="1:35" ht="14.25">
      <c r="A199" s="275" t="e">
        <f>'Box Schedule'!#REF!</f>
        <v>#REF!</v>
      </c>
      <c r="B199" s="262">
        <v>7</v>
      </c>
      <c r="C199" s="229" t="str">
        <f>IF((B199&gt;0),(VLOOKUP(J199,'Valve Reference'!$A$2:$K$389,3)),"-")</f>
        <v>0.5</v>
      </c>
      <c r="D199" s="230" t="s">
        <v>577</v>
      </c>
      <c r="E199" s="231">
        <f>IF((B199&gt;0),('Vlookup Tables'!$B$37),"-")</f>
        <v>5</v>
      </c>
      <c r="F199" s="51">
        <f t="shared" si="12"/>
        <v>3.1304951684997055</v>
      </c>
      <c r="G199" s="228">
        <f>IF((B199&gt;0),(VLOOKUP($B199,'Vlookup Tables'!$B$23:$F$33,2,TRUE)),"-")</f>
        <v>4</v>
      </c>
      <c r="H199" s="52">
        <f t="shared" si="13"/>
        <v>3.0625000000000004</v>
      </c>
      <c r="I199" s="50">
        <f>IF((B199&gt;0),('Vlookup Tables'!$B$35),"-")</f>
        <v>259</v>
      </c>
      <c r="J199" s="265" t="str">
        <f>IF(B199&gt;0,(IF(D199="2-Way",VLOOKUP($G199,'Vlookup Tables'!$C$23:$F$33,2,FALSE),VLOOKUP($G199,'Vlookup Tables'!$C$23:$F$33,3,FALSE))),"-")</f>
        <v>02041</v>
      </c>
      <c r="K199" s="276" t="str">
        <f>IF(B199&gt;0,(VLOOKUP(J199,'Valve Reference'!$A$2:$K$389,4)),"-")</f>
        <v>Standard</v>
      </c>
      <c r="L199" s="276" t="str">
        <f>IF(B199&gt;0,(VLOOKUP(J199,'Valve Reference'!$A$2:$K$389,5)),"-")</f>
        <v>BR</v>
      </c>
      <c r="M199" s="276" t="str">
        <f>IF(B199&gt;0,(VLOOKUP(J199,'Valve Reference'!$A$2:$K$389,8)),"-")</f>
        <v>Linear</v>
      </c>
      <c r="N199" s="276" t="str">
        <f>IF(B199&gt;0,(VLOOKUP(J199,'Valve Reference'!$A$2:$K$389,10)),"-")</f>
        <v>FxF</v>
      </c>
      <c r="O199" s="277" t="str">
        <f>IF(B199&gt;0,(VLOOKUP(J199,'Valve Reference'!$A$2:$K$389,11)),"-")</f>
        <v>Globe-Powermite</v>
      </c>
      <c r="P199" s="278" t="str">
        <f>IF(B199&gt;0,(VLOOKUP(I199,'Actuator Reference'!$A$2:$H$54,2)),"-")</f>
        <v>SSC81U</v>
      </c>
      <c r="Q199" s="278" t="str">
        <f>IF(B199&gt;0,(VLOOKUP(I199,'Actuator Reference'!$A$2:$H$54,5)),"-")</f>
        <v>Float</v>
      </c>
      <c r="R199" s="278" t="str">
        <f>IF(B199&gt;0,(VLOOKUP(I199,'Actuator Reference'!$A$2:$H$54,6)),"-")</f>
        <v>NSR</v>
      </c>
      <c r="S199" s="278" t="str">
        <f>IF(B199&gt;0,(VLOOKUP(I199,'Actuator Reference'!$A$2:$H$54,7)),"-")</f>
        <v>24V</v>
      </c>
      <c r="T199" s="279" t="str">
        <f>IF(B199&gt;0,(VLOOKUP(I199,'Actuator Reference'!$A$2:$H$54,8)),"-")</f>
        <v>MT-Series</v>
      </c>
      <c r="AD199" s="41"/>
      <c r="AE199" s="41"/>
      <c r="AF199" s="35">
        <v>1</v>
      </c>
      <c r="AG199" s="35" t="s">
        <v>1097</v>
      </c>
      <c r="AH199" s="38" t="str">
        <f t="shared" si="15"/>
        <v>259-02041</v>
      </c>
      <c r="AI199" s="264" t="e">
        <f t="shared" si="14"/>
        <v>#REF!</v>
      </c>
    </row>
    <row r="200" spans="1:35" ht="14.25">
      <c r="A200" s="275" t="e">
        <f>'Box Schedule'!#REF!</f>
        <v>#REF!</v>
      </c>
      <c r="B200" s="262">
        <v>8</v>
      </c>
      <c r="C200" s="229" t="str">
        <f>IF((B200&gt;0),(VLOOKUP(J200,'Valve Reference'!$A$2:$K$389,3)),"-")</f>
        <v>0.5</v>
      </c>
      <c r="D200" s="230" t="s">
        <v>577</v>
      </c>
      <c r="E200" s="231">
        <f>IF((B200&gt;0),('Vlookup Tables'!$B$37),"-")</f>
        <v>5</v>
      </c>
      <c r="F200" s="51">
        <f t="shared" si="12"/>
        <v>3.5777087639996634</v>
      </c>
      <c r="G200" s="228">
        <f>IF((B200&gt;0),(VLOOKUP($B200,'Vlookup Tables'!$B$23:$F$33,2,TRUE)),"-")</f>
        <v>4</v>
      </c>
      <c r="H200" s="52">
        <f t="shared" si="13"/>
        <v>4</v>
      </c>
      <c r="I200" s="50">
        <f>IF((B200&gt;0),('Vlookup Tables'!$B$35),"-")</f>
        <v>259</v>
      </c>
      <c r="J200" s="265" t="str">
        <f>IF(B200&gt;0,(IF(D200="2-Way",VLOOKUP($G200,'Vlookup Tables'!$C$23:$F$33,2,FALSE),VLOOKUP($G200,'Vlookup Tables'!$C$23:$F$33,3,FALSE))),"-")</f>
        <v>02041</v>
      </c>
      <c r="K200" s="276" t="str">
        <f>IF(B200&gt;0,(VLOOKUP(J200,'Valve Reference'!$A$2:$K$389,4)),"-")</f>
        <v>Standard</v>
      </c>
      <c r="L200" s="276" t="str">
        <f>IF(B200&gt;0,(VLOOKUP(J200,'Valve Reference'!$A$2:$K$389,5)),"-")</f>
        <v>BR</v>
      </c>
      <c r="M200" s="276" t="str">
        <f>IF(B200&gt;0,(VLOOKUP(J200,'Valve Reference'!$A$2:$K$389,8)),"-")</f>
        <v>Linear</v>
      </c>
      <c r="N200" s="276" t="str">
        <f>IF(B200&gt;0,(VLOOKUP(J200,'Valve Reference'!$A$2:$K$389,10)),"-")</f>
        <v>FxF</v>
      </c>
      <c r="O200" s="277" t="str">
        <f>IF(B200&gt;0,(VLOOKUP(J200,'Valve Reference'!$A$2:$K$389,11)),"-")</f>
        <v>Globe-Powermite</v>
      </c>
      <c r="P200" s="278" t="str">
        <f>IF(B200&gt;0,(VLOOKUP(I200,'Actuator Reference'!$A$2:$H$54,2)),"-")</f>
        <v>SSC81U</v>
      </c>
      <c r="Q200" s="278" t="str">
        <f>IF(B200&gt;0,(VLOOKUP(I200,'Actuator Reference'!$A$2:$H$54,5)),"-")</f>
        <v>Float</v>
      </c>
      <c r="R200" s="278" t="str">
        <f>IF(B200&gt;0,(VLOOKUP(I200,'Actuator Reference'!$A$2:$H$54,6)),"-")</f>
        <v>NSR</v>
      </c>
      <c r="S200" s="278" t="str">
        <f>IF(B200&gt;0,(VLOOKUP(I200,'Actuator Reference'!$A$2:$H$54,7)),"-")</f>
        <v>24V</v>
      </c>
      <c r="T200" s="279" t="str">
        <f>IF(B200&gt;0,(VLOOKUP(I200,'Actuator Reference'!$A$2:$H$54,8)),"-")</f>
        <v>MT-Series</v>
      </c>
      <c r="AD200" s="41"/>
      <c r="AE200" s="41"/>
      <c r="AF200" s="35">
        <v>1</v>
      </c>
      <c r="AG200" s="35" t="s">
        <v>1097</v>
      </c>
      <c r="AH200" s="38" t="str">
        <f t="shared" si="15"/>
        <v>259-02041</v>
      </c>
      <c r="AI200" s="264" t="e">
        <f t="shared" si="14"/>
        <v>#REF!</v>
      </c>
    </row>
    <row r="201" spans="1:35" ht="14.25">
      <c r="A201" s="275" t="e">
        <f>'Box Schedule'!#REF!</f>
        <v>#REF!</v>
      </c>
      <c r="B201" s="262">
        <v>9</v>
      </c>
      <c r="C201" s="229" t="str">
        <f>IF((B201&gt;0),(VLOOKUP(J201,'Valve Reference'!$A$2:$K$389,3)),"-")</f>
        <v>0.75</v>
      </c>
      <c r="D201" s="230" t="s">
        <v>577</v>
      </c>
      <c r="E201" s="231">
        <f>IF((B201&gt;0),('Vlookup Tables'!$B$37),"-")</f>
        <v>5</v>
      </c>
      <c r="F201" s="51">
        <f t="shared" si="12"/>
        <v>4.0249223594996213</v>
      </c>
      <c r="G201" s="228">
        <f>IF((B201&gt;0),(VLOOKUP($B201,'Vlookup Tables'!$B$23:$F$33,2,TRUE)),"-")</f>
        <v>6.3</v>
      </c>
      <c r="H201" s="52">
        <f t="shared" si="13"/>
        <v>2.0408163265306127</v>
      </c>
      <c r="I201" s="50">
        <f>IF((B201&gt;0),('Vlookup Tables'!$B$35),"-")</f>
        <v>259</v>
      </c>
      <c r="J201" s="265" t="str">
        <f>IF(B201&gt;0,(IF(D201="2-Way",VLOOKUP($G201,'Vlookup Tables'!$C$23:$F$33,2,FALSE),VLOOKUP($G201,'Vlookup Tables'!$C$23:$F$33,3,FALSE))),"-")</f>
        <v>02044</v>
      </c>
      <c r="K201" s="276" t="str">
        <f>IF(B201&gt;0,(VLOOKUP(J201,'Valve Reference'!$A$2:$K$389,4)),"-")</f>
        <v>Standard</v>
      </c>
      <c r="L201" s="276" t="str">
        <f>IF(B201&gt;0,(VLOOKUP(J201,'Valve Reference'!$A$2:$K$389,5)),"-")</f>
        <v>BR</v>
      </c>
      <c r="M201" s="276" t="str">
        <f>IF(B201&gt;0,(VLOOKUP(J201,'Valve Reference'!$A$2:$K$389,8)),"-")</f>
        <v>Linear</v>
      </c>
      <c r="N201" s="276" t="str">
        <f>IF(B201&gt;0,(VLOOKUP(J201,'Valve Reference'!$A$2:$K$389,10)),"-")</f>
        <v>FxF</v>
      </c>
      <c r="O201" s="277" t="str">
        <f>IF(B201&gt;0,(VLOOKUP(J201,'Valve Reference'!$A$2:$K$389,11)),"-")</f>
        <v>Globe-Powermite</v>
      </c>
      <c r="P201" s="278" t="str">
        <f>IF(B201&gt;0,(VLOOKUP(I201,'Actuator Reference'!$A$2:$H$54,2)),"-")</f>
        <v>SSC81U</v>
      </c>
      <c r="Q201" s="278" t="str">
        <f>IF(B201&gt;0,(VLOOKUP(I201,'Actuator Reference'!$A$2:$H$54,5)),"-")</f>
        <v>Float</v>
      </c>
      <c r="R201" s="278" t="str">
        <f>IF(B201&gt;0,(VLOOKUP(I201,'Actuator Reference'!$A$2:$H$54,6)),"-")</f>
        <v>NSR</v>
      </c>
      <c r="S201" s="278" t="str">
        <f>IF(B201&gt;0,(VLOOKUP(I201,'Actuator Reference'!$A$2:$H$54,7)),"-")</f>
        <v>24V</v>
      </c>
      <c r="T201" s="279" t="str">
        <f>IF(B201&gt;0,(VLOOKUP(I201,'Actuator Reference'!$A$2:$H$54,8)),"-")</f>
        <v>MT-Series</v>
      </c>
      <c r="AD201" s="41"/>
      <c r="AE201" s="41"/>
      <c r="AF201" s="35">
        <v>1</v>
      </c>
      <c r="AG201" s="35" t="s">
        <v>1097</v>
      </c>
      <c r="AH201" s="38" t="str">
        <f t="shared" si="15"/>
        <v>259-02044</v>
      </c>
      <c r="AI201" s="264" t="e">
        <f t="shared" si="14"/>
        <v>#REF!</v>
      </c>
    </row>
    <row r="202" spans="1:35" ht="14.25">
      <c r="A202" s="275" t="e">
        <f>'Box Schedule'!#REF!</f>
        <v>#REF!</v>
      </c>
      <c r="B202" s="262">
        <v>1</v>
      </c>
      <c r="C202" s="229" t="str">
        <f>IF((B202&gt;0),(VLOOKUP(J202,'Valve Reference'!$A$2:$K$389,3)),"-")</f>
        <v>0.5</v>
      </c>
      <c r="D202" s="230" t="s">
        <v>577</v>
      </c>
      <c r="E202" s="231">
        <f>IF((B202&gt;0),('Vlookup Tables'!$B$37),"-")</f>
        <v>5</v>
      </c>
      <c r="F202" s="51">
        <f t="shared" si="12"/>
        <v>0.44721359549995793</v>
      </c>
      <c r="G202" s="228">
        <f>IF((B202&gt;0),(VLOOKUP($B202,'Vlookup Tables'!$B$23:$F$33,2,TRUE)),"-")</f>
        <v>0.63</v>
      </c>
      <c r="H202" s="52">
        <f t="shared" si="13"/>
        <v>2.5195263290501382</v>
      </c>
      <c r="I202" s="50">
        <f>IF((B202&gt;0),('Vlookup Tables'!$B$35),"-")</f>
        <v>259</v>
      </c>
      <c r="J202" s="265" t="str">
        <f>IF(B202&gt;0,(IF(D202="2-Way",VLOOKUP($G202,'Vlookup Tables'!$C$23:$F$33,2,FALSE),VLOOKUP($G202,'Vlookup Tables'!$C$23:$F$33,3,FALSE))),"-")</f>
        <v>02032</v>
      </c>
      <c r="K202" s="276" t="str">
        <f>IF(B202&gt;0,(VLOOKUP(J202,'Valve Reference'!$A$2:$K$389,4)),"-")</f>
        <v>Standard</v>
      </c>
      <c r="L202" s="276" t="str">
        <f>IF(B202&gt;0,(VLOOKUP(J202,'Valve Reference'!$A$2:$K$389,5)),"-")</f>
        <v>BR</v>
      </c>
      <c r="M202" s="276" t="str">
        <f>IF(B202&gt;0,(VLOOKUP(J202,'Valve Reference'!$A$2:$K$389,8)),"-")</f>
        <v>Linear</v>
      </c>
      <c r="N202" s="276" t="str">
        <f>IF(B202&gt;0,(VLOOKUP(J202,'Valve Reference'!$A$2:$K$389,10)),"-")</f>
        <v>FxF</v>
      </c>
      <c r="O202" s="277" t="str">
        <f>IF(B202&gt;0,(VLOOKUP(J202,'Valve Reference'!$A$2:$K$389,11)),"-")</f>
        <v>Globe-Powermite</v>
      </c>
      <c r="P202" s="278" t="str">
        <f>IF(B202&gt;0,(VLOOKUP(I202,'Actuator Reference'!$A$2:$H$54,2)),"-")</f>
        <v>SSC81U</v>
      </c>
      <c r="Q202" s="278" t="str">
        <f>IF(B202&gt;0,(VLOOKUP(I202,'Actuator Reference'!$A$2:$H$54,5)),"-")</f>
        <v>Float</v>
      </c>
      <c r="R202" s="278" t="str">
        <f>IF(B202&gt;0,(VLOOKUP(I202,'Actuator Reference'!$A$2:$H$54,6)),"-")</f>
        <v>NSR</v>
      </c>
      <c r="S202" s="278" t="str">
        <f>IF(B202&gt;0,(VLOOKUP(I202,'Actuator Reference'!$A$2:$H$54,7)),"-")</f>
        <v>24V</v>
      </c>
      <c r="T202" s="279" t="str">
        <f>IF(B202&gt;0,(VLOOKUP(I202,'Actuator Reference'!$A$2:$H$54,8)),"-")</f>
        <v>MT-Series</v>
      </c>
      <c r="AD202" s="41"/>
      <c r="AE202" s="41"/>
      <c r="AF202" s="35">
        <v>1</v>
      </c>
      <c r="AG202" s="35" t="s">
        <v>1097</v>
      </c>
      <c r="AH202" s="38" t="str">
        <f t="shared" si="15"/>
        <v>259-02032</v>
      </c>
      <c r="AI202" s="264" t="e">
        <f t="shared" si="14"/>
        <v>#REF!</v>
      </c>
    </row>
    <row r="203" spans="1:35" ht="14.25">
      <c r="A203" s="275" t="e">
        <f>'Box Schedule'!#REF!</f>
        <v>#REF!</v>
      </c>
      <c r="B203" s="262">
        <v>2</v>
      </c>
      <c r="C203" s="229" t="str">
        <f>IF((B203&gt;0),(VLOOKUP(J203,'Valve Reference'!$A$2:$K$389,3)),"-")</f>
        <v>0.5</v>
      </c>
      <c r="D203" s="230" t="s">
        <v>577</v>
      </c>
      <c r="E203" s="231">
        <f>IF((B203&gt;0),('Vlookup Tables'!$B$37),"-")</f>
        <v>5</v>
      </c>
      <c r="F203" s="51">
        <f t="shared" si="12"/>
        <v>0.89442719099991586</v>
      </c>
      <c r="G203" s="228">
        <f>IF((B203&gt;0),(VLOOKUP($B203,'Vlookup Tables'!$B$23:$F$33,2,TRUE)),"-")</f>
        <v>1</v>
      </c>
      <c r="H203" s="52">
        <f t="shared" si="13"/>
        <v>4</v>
      </c>
      <c r="I203" s="50">
        <f>IF((B203&gt;0),('Vlookup Tables'!$B$35),"-")</f>
        <v>259</v>
      </c>
      <c r="J203" s="265" t="str">
        <f>IF(B203&gt;0,(IF(D203="2-Way",VLOOKUP($G203,'Vlookup Tables'!$C$23:$F$33,2,FALSE),VLOOKUP($G203,'Vlookup Tables'!$C$23:$F$33,3,FALSE))),"-")</f>
        <v>02034</v>
      </c>
      <c r="K203" s="276" t="str">
        <f>IF(B203&gt;0,(VLOOKUP(J203,'Valve Reference'!$A$2:$K$389,4)),"-")</f>
        <v>Standard</v>
      </c>
      <c r="L203" s="276" t="str">
        <f>IF(B203&gt;0,(VLOOKUP(J203,'Valve Reference'!$A$2:$K$389,5)),"-")</f>
        <v>BR</v>
      </c>
      <c r="M203" s="276" t="str">
        <f>IF(B203&gt;0,(VLOOKUP(J203,'Valve Reference'!$A$2:$K$389,8)),"-")</f>
        <v>Linear</v>
      </c>
      <c r="N203" s="276" t="str">
        <f>IF(B203&gt;0,(VLOOKUP(J203,'Valve Reference'!$A$2:$K$389,10)),"-")</f>
        <v>FxF</v>
      </c>
      <c r="O203" s="277" t="str">
        <f>IF(B203&gt;0,(VLOOKUP(J203,'Valve Reference'!$A$2:$K$389,11)),"-")</f>
        <v>Globe-Powermite</v>
      </c>
      <c r="P203" s="278" t="str">
        <f>IF(B203&gt;0,(VLOOKUP(I203,'Actuator Reference'!$A$2:$H$54,2)),"-")</f>
        <v>SSC81U</v>
      </c>
      <c r="Q203" s="278" t="str">
        <f>IF(B203&gt;0,(VLOOKUP(I203,'Actuator Reference'!$A$2:$H$54,5)),"-")</f>
        <v>Float</v>
      </c>
      <c r="R203" s="278" t="str">
        <f>IF(B203&gt;0,(VLOOKUP(I203,'Actuator Reference'!$A$2:$H$54,6)),"-")</f>
        <v>NSR</v>
      </c>
      <c r="S203" s="278" t="str">
        <f>IF(B203&gt;0,(VLOOKUP(I203,'Actuator Reference'!$A$2:$H$54,7)),"-")</f>
        <v>24V</v>
      </c>
      <c r="T203" s="279" t="str">
        <f>IF(B203&gt;0,(VLOOKUP(I203,'Actuator Reference'!$A$2:$H$54,8)),"-")</f>
        <v>MT-Series</v>
      </c>
      <c r="AD203" s="41"/>
      <c r="AE203" s="41"/>
      <c r="AF203" s="35">
        <v>1</v>
      </c>
      <c r="AG203" s="35" t="s">
        <v>1097</v>
      </c>
      <c r="AH203" s="38" t="str">
        <f t="shared" si="15"/>
        <v>259-02034</v>
      </c>
      <c r="AI203" s="264" t="e">
        <f t="shared" si="14"/>
        <v>#REF!</v>
      </c>
    </row>
    <row r="204" spans="1:35" ht="14.25">
      <c r="A204" s="275" t="e">
        <f>'Box Schedule'!#REF!</f>
        <v>#REF!</v>
      </c>
      <c r="B204" s="262">
        <v>3</v>
      </c>
      <c r="C204" s="229" t="str">
        <f>IF((B204&gt;0),(VLOOKUP(J204,'Valve Reference'!$A$2:$K$389,3)),"-")</f>
        <v>0.5</v>
      </c>
      <c r="D204" s="230" t="s">
        <v>577</v>
      </c>
      <c r="E204" s="231">
        <f>IF((B204&gt;0),('Vlookup Tables'!$B$37),"-")</f>
        <v>5</v>
      </c>
      <c r="F204" s="51">
        <f t="shared" si="12"/>
        <v>1.3416407864998738</v>
      </c>
      <c r="G204" s="228">
        <f>IF((B204&gt;0),(VLOOKUP($B204,'Vlookup Tables'!$B$23:$F$33,2,TRUE)),"-")</f>
        <v>1.6</v>
      </c>
      <c r="H204" s="52">
        <f t="shared" si="13"/>
        <v>3.515625</v>
      </c>
      <c r="I204" s="50">
        <f>IF((B204&gt;0),('Vlookup Tables'!$B$35),"-")</f>
        <v>259</v>
      </c>
      <c r="J204" s="265" t="str">
        <f>IF(B204&gt;0,(IF(D204="2-Way",VLOOKUP($G204,'Vlookup Tables'!$C$23:$F$33,2,FALSE),VLOOKUP($G204,'Vlookup Tables'!$C$23:$F$33,3,FALSE))),"-")</f>
        <v>02036</v>
      </c>
      <c r="K204" s="276" t="str">
        <f>IF(B204&gt;0,(VLOOKUP(J204,'Valve Reference'!$A$2:$K$389,4)),"-")</f>
        <v>Standard</v>
      </c>
      <c r="L204" s="276" t="str">
        <f>IF(B204&gt;0,(VLOOKUP(J204,'Valve Reference'!$A$2:$K$389,5)),"-")</f>
        <v>BR</v>
      </c>
      <c r="M204" s="276" t="str">
        <f>IF(B204&gt;0,(VLOOKUP(J204,'Valve Reference'!$A$2:$K$389,8)),"-")</f>
        <v>Linear</v>
      </c>
      <c r="N204" s="276" t="str">
        <f>IF(B204&gt;0,(VLOOKUP(J204,'Valve Reference'!$A$2:$K$389,10)),"-")</f>
        <v>FxF</v>
      </c>
      <c r="O204" s="277" t="str">
        <f>IF(B204&gt;0,(VLOOKUP(J204,'Valve Reference'!$A$2:$K$389,11)),"-")</f>
        <v>Globe-Powermite</v>
      </c>
      <c r="P204" s="278" t="str">
        <f>IF(B204&gt;0,(VLOOKUP(I204,'Actuator Reference'!$A$2:$H$54,2)),"-")</f>
        <v>SSC81U</v>
      </c>
      <c r="Q204" s="278" t="str">
        <f>IF(B204&gt;0,(VLOOKUP(I204,'Actuator Reference'!$A$2:$H$54,5)),"-")</f>
        <v>Float</v>
      </c>
      <c r="R204" s="278" t="str">
        <f>IF(B204&gt;0,(VLOOKUP(I204,'Actuator Reference'!$A$2:$H$54,6)),"-")</f>
        <v>NSR</v>
      </c>
      <c r="S204" s="278" t="str">
        <f>IF(B204&gt;0,(VLOOKUP(I204,'Actuator Reference'!$A$2:$H$54,7)),"-")</f>
        <v>24V</v>
      </c>
      <c r="T204" s="279" t="str">
        <f>IF(B204&gt;0,(VLOOKUP(I204,'Actuator Reference'!$A$2:$H$54,8)),"-")</f>
        <v>MT-Series</v>
      </c>
      <c r="AD204" s="41"/>
      <c r="AE204" s="41"/>
      <c r="AF204" s="35">
        <v>1</v>
      </c>
      <c r="AG204" s="35" t="s">
        <v>1097</v>
      </c>
      <c r="AH204" s="38" t="str">
        <f t="shared" si="15"/>
        <v>259-02036</v>
      </c>
      <c r="AI204" s="264" t="e">
        <f t="shared" si="14"/>
        <v>#REF!</v>
      </c>
    </row>
    <row r="205" spans="1:35" ht="14.25">
      <c r="A205" s="275" t="e">
        <f>'Box Schedule'!#REF!</f>
        <v>#REF!</v>
      </c>
      <c r="B205" s="262">
        <v>4</v>
      </c>
      <c r="C205" s="229" t="str">
        <f>IF((B205&gt;0),(VLOOKUP(J205,'Valve Reference'!$A$2:$K$389,3)),"-")</f>
        <v>0.5</v>
      </c>
      <c r="D205" s="230" t="s">
        <v>577</v>
      </c>
      <c r="E205" s="231">
        <f>IF((B205&gt;0),('Vlookup Tables'!$B$37),"-")</f>
        <v>5</v>
      </c>
      <c r="F205" s="51">
        <f t="shared" si="12"/>
        <v>1.7888543819998317</v>
      </c>
      <c r="G205" s="228">
        <f>IF((B205&gt;0),(VLOOKUP($B205,'Vlookup Tables'!$B$23:$F$33,2,TRUE)),"-")</f>
        <v>2.5</v>
      </c>
      <c r="H205" s="52">
        <f t="shared" si="13"/>
        <v>2.56</v>
      </c>
      <c r="I205" s="50">
        <f>IF((B205&gt;0),('Vlookup Tables'!$B$35),"-")</f>
        <v>259</v>
      </c>
      <c r="J205" s="265" t="str">
        <f>IF(B205&gt;0,(IF(D205="2-Way",VLOOKUP($G205,'Vlookup Tables'!$C$23:$F$33,2,FALSE),VLOOKUP($G205,'Vlookup Tables'!$C$23:$F$33,3,FALSE))),"-")</f>
        <v>02038</v>
      </c>
      <c r="K205" s="276" t="str">
        <f>IF(B205&gt;0,(VLOOKUP(J205,'Valve Reference'!$A$2:$K$389,4)),"-")</f>
        <v>Standard</v>
      </c>
      <c r="L205" s="276" t="str">
        <f>IF(B205&gt;0,(VLOOKUP(J205,'Valve Reference'!$A$2:$K$389,5)),"-")</f>
        <v>BR</v>
      </c>
      <c r="M205" s="276" t="str">
        <f>IF(B205&gt;0,(VLOOKUP(J205,'Valve Reference'!$A$2:$K$389,8)),"-")</f>
        <v>Linear</v>
      </c>
      <c r="N205" s="276" t="str">
        <f>IF(B205&gt;0,(VLOOKUP(J205,'Valve Reference'!$A$2:$K$389,10)),"-")</f>
        <v>FxF</v>
      </c>
      <c r="O205" s="277" t="str">
        <f>IF(B205&gt;0,(VLOOKUP(J205,'Valve Reference'!$A$2:$K$389,11)),"-")</f>
        <v>Globe-Powermite</v>
      </c>
      <c r="P205" s="278" t="str">
        <f>IF(B205&gt;0,(VLOOKUP(I205,'Actuator Reference'!$A$2:$H$54,2)),"-")</f>
        <v>SSC81U</v>
      </c>
      <c r="Q205" s="278" t="str">
        <f>IF(B205&gt;0,(VLOOKUP(I205,'Actuator Reference'!$A$2:$H$54,5)),"-")</f>
        <v>Float</v>
      </c>
      <c r="R205" s="278" t="str">
        <f>IF(B205&gt;0,(VLOOKUP(I205,'Actuator Reference'!$A$2:$H$54,6)),"-")</f>
        <v>NSR</v>
      </c>
      <c r="S205" s="278" t="str">
        <f>IF(B205&gt;0,(VLOOKUP(I205,'Actuator Reference'!$A$2:$H$54,7)),"-")</f>
        <v>24V</v>
      </c>
      <c r="T205" s="279" t="str">
        <f>IF(B205&gt;0,(VLOOKUP(I205,'Actuator Reference'!$A$2:$H$54,8)),"-")</f>
        <v>MT-Series</v>
      </c>
      <c r="AD205" s="41"/>
      <c r="AE205" s="41"/>
      <c r="AF205" s="35">
        <v>1</v>
      </c>
      <c r="AG205" s="35" t="s">
        <v>1097</v>
      </c>
      <c r="AH205" s="38" t="str">
        <f t="shared" si="15"/>
        <v>259-02038</v>
      </c>
      <c r="AI205" s="264" t="e">
        <f t="shared" si="14"/>
        <v>#REF!</v>
      </c>
    </row>
    <row r="206" spans="1:35" ht="14.25">
      <c r="A206" s="275" t="e">
        <f>'Box Schedule'!#REF!</f>
        <v>#REF!</v>
      </c>
      <c r="B206" s="262">
        <v>5</v>
      </c>
      <c r="C206" s="229" t="str">
        <f>IF((B206&gt;0),(VLOOKUP(J206,'Valve Reference'!$A$2:$K$389,3)),"-")</f>
        <v>0.5</v>
      </c>
      <c r="D206" s="230" t="s">
        <v>577</v>
      </c>
      <c r="E206" s="231">
        <f>IF((B206&gt;0),('Vlookup Tables'!$B$37),"-")</f>
        <v>5</v>
      </c>
      <c r="F206" s="51">
        <f t="shared" si="12"/>
        <v>2.2360679774997898</v>
      </c>
      <c r="G206" s="228">
        <f>IF((B206&gt;0),(VLOOKUP($B206,'Vlookup Tables'!$B$23:$F$33,2,TRUE)),"-")</f>
        <v>2.5</v>
      </c>
      <c r="H206" s="52">
        <f t="shared" si="13"/>
        <v>4</v>
      </c>
      <c r="I206" s="50">
        <f>IF((B206&gt;0),('Vlookup Tables'!$B$35),"-")</f>
        <v>259</v>
      </c>
      <c r="J206" s="265" t="str">
        <f>IF(B206&gt;0,(IF(D206="2-Way",VLOOKUP($G206,'Vlookup Tables'!$C$23:$F$33,2,FALSE),VLOOKUP($G206,'Vlookup Tables'!$C$23:$F$33,3,FALSE))),"-")</f>
        <v>02038</v>
      </c>
      <c r="K206" s="276" t="str">
        <f>IF(B206&gt;0,(VLOOKUP(J206,'Valve Reference'!$A$2:$K$389,4)),"-")</f>
        <v>Standard</v>
      </c>
      <c r="L206" s="276" t="str">
        <f>IF(B206&gt;0,(VLOOKUP(J206,'Valve Reference'!$A$2:$K$389,5)),"-")</f>
        <v>BR</v>
      </c>
      <c r="M206" s="276" t="str">
        <f>IF(B206&gt;0,(VLOOKUP(J206,'Valve Reference'!$A$2:$K$389,8)),"-")</f>
        <v>Linear</v>
      </c>
      <c r="N206" s="276" t="str">
        <f>IF(B206&gt;0,(VLOOKUP(J206,'Valve Reference'!$A$2:$K$389,10)),"-")</f>
        <v>FxF</v>
      </c>
      <c r="O206" s="277" t="str">
        <f>IF(B206&gt;0,(VLOOKUP(J206,'Valve Reference'!$A$2:$K$389,11)),"-")</f>
        <v>Globe-Powermite</v>
      </c>
      <c r="P206" s="278" t="str">
        <f>IF(B206&gt;0,(VLOOKUP(I206,'Actuator Reference'!$A$2:$H$54,2)),"-")</f>
        <v>SSC81U</v>
      </c>
      <c r="Q206" s="278" t="str">
        <f>IF(B206&gt;0,(VLOOKUP(I206,'Actuator Reference'!$A$2:$H$54,5)),"-")</f>
        <v>Float</v>
      </c>
      <c r="R206" s="278" t="str">
        <f>IF(B206&gt;0,(VLOOKUP(I206,'Actuator Reference'!$A$2:$H$54,6)),"-")</f>
        <v>NSR</v>
      </c>
      <c r="S206" s="278" t="str">
        <f>IF(B206&gt;0,(VLOOKUP(I206,'Actuator Reference'!$A$2:$H$54,7)),"-")</f>
        <v>24V</v>
      </c>
      <c r="T206" s="279" t="str">
        <f>IF(B206&gt;0,(VLOOKUP(I206,'Actuator Reference'!$A$2:$H$54,8)),"-")</f>
        <v>MT-Series</v>
      </c>
      <c r="AD206" s="41"/>
      <c r="AE206" s="41"/>
      <c r="AF206" s="35">
        <v>1</v>
      </c>
      <c r="AG206" s="35" t="s">
        <v>1097</v>
      </c>
      <c r="AH206" s="38" t="str">
        <f t="shared" si="15"/>
        <v>259-02038</v>
      </c>
      <c r="AI206" s="264" t="e">
        <f t="shared" si="14"/>
        <v>#REF!</v>
      </c>
    </row>
    <row r="207" spans="1:35" ht="14.25">
      <c r="A207" s="275" t="e">
        <f>'Box Schedule'!#REF!</f>
        <v>#REF!</v>
      </c>
      <c r="B207" s="262">
        <v>6</v>
      </c>
      <c r="C207" s="229" t="str">
        <f>IF((B207&gt;0),(VLOOKUP(J207,'Valve Reference'!$A$2:$K$389,3)),"-")</f>
        <v>0.5</v>
      </c>
      <c r="D207" s="230" t="s">
        <v>577</v>
      </c>
      <c r="E207" s="231">
        <f>IF((B207&gt;0),('Vlookup Tables'!$B$37),"-")</f>
        <v>5</v>
      </c>
      <c r="F207" s="51">
        <f t="shared" si="12"/>
        <v>2.6832815729997477</v>
      </c>
      <c r="G207" s="228">
        <f>IF((B207&gt;0),(VLOOKUP($B207,'Vlookup Tables'!$B$23:$F$33,2,TRUE)),"-")</f>
        <v>4</v>
      </c>
      <c r="H207" s="52">
        <f t="shared" si="13"/>
        <v>2.25</v>
      </c>
      <c r="I207" s="50">
        <f>IF((B207&gt;0),('Vlookup Tables'!$B$35),"-")</f>
        <v>259</v>
      </c>
      <c r="J207" s="265" t="str">
        <f>IF(B207&gt;0,(IF(D207="2-Way",VLOOKUP($G207,'Vlookup Tables'!$C$23:$F$33,2,FALSE),VLOOKUP($G207,'Vlookup Tables'!$C$23:$F$33,3,FALSE))),"-")</f>
        <v>02041</v>
      </c>
      <c r="K207" s="276" t="str">
        <f>IF(B207&gt;0,(VLOOKUP(J207,'Valve Reference'!$A$2:$K$389,4)),"-")</f>
        <v>Standard</v>
      </c>
      <c r="L207" s="276" t="str">
        <f>IF(B207&gt;0,(VLOOKUP(J207,'Valve Reference'!$A$2:$K$389,5)),"-")</f>
        <v>BR</v>
      </c>
      <c r="M207" s="276" t="str">
        <f>IF(B207&gt;0,(VLOOKUP(J207,'Valve Reference'!$A$2:$K$389,8)),"-")</f>
        <v>Linear</v>
      </c>
      <c r="N207" s="276" t="str">
        <f>IF(B207&gt;0,(VLOOKUP(J207,'Valve Reference'!$A$2:$K$389,10)),"-")</f>
        <v>FxF</v>
      </c>
      <c r="O207" s="277" t="str">
        <f>IF(B207&gt;0,(VLOOKUP(J207,'Valve Reference'!$A$2:$K$389,11)),"-")</f>
        <v>Globe-Powermite</v>
      </c>
      <c r="P207" s="278" t="str">
        <f>IF(B207&gt;0,(VLOOKUP(I207,'Actuator Reference'!$A$2:$H$54,2)),"-")</f>
        <v>SSC81U</v>
      </c>
      <c r="Q207" s="278" t="str">
        <f>IF(B207&gt;0,(VLOOKUP(I207,'Actuator Reference'!$A$2:$H$54,5)),"-")</f>
        <v>Float</v>
      </c>
      <c r="R207" s="278" t="str">
        <f>IF(B207&gt;0,(VLOOKUP(I207,'Actuator Reference'!$A$2:$H$54,6)),"-")</f>
        <v>NSR</v>
      </c>
      <c r="S207" s="278" t="str">
        <f>IF(B207&gt;0,(VLOOKUP(I207,'Actuator Reference'!$A$2:$H$54,7)),"-")</f>
        <v>24V</v>
      </c>
      <c r="T207" s="279" t="str">
        <f>IF(B207&gt;0,(VLOOKUP(I207,'Actuator Reference'!$A$2:$H$54,8)),"-")</f>
        <v>MT-Series</v>
      </c>
      <c r="AD207" s="41"/>
      <c r="AE207" s="41"/>
      <c r="AF207" s="35">
        <v>1</v>
      </c>
      <c r="AG207" s="35" t="s">
        <v>1097</v>
      </c>
      <c r="AH207" s="38" t="str">
        <f t="shared" si="15"/>
        <v>259-02041</v>
      </c>
      <c r="AI207" s="264" t="e">
        <f t="shared" si="14"/>
        <v>#REF!</v>
      </c>
    </row>
    <row r="208" spans="1:35" ht="14.25">
      <c r="A208" s="275" t="e">
        <f>'Box Schedule'!#REF!</f>
        <v>#REF!</v>
      </c>
      <c r="B208" s="262">
        <v>7</v>
      </c>
      <c r="C208" s="229" t="str">
        <f>IF((B208&gt;0),(VLOOKUP(J208,'Valve Reference'!$A$2:$K$389,3)),"-")</f>
        <v>0.5</v>
      </c>
      <c r="D208" s="230" t="s">
        <v>577</v>
      </c>
      <c r="E208" s="231">
        <f>IF((B208&gt;0),('Vlookup Tables'!$B$37),"-")</f>
        <v>5</v>
      </c>
      <c r="F208" s="51">
        <f t="shared" si="12"/>
        <v>3.1304951684997055</v>
      </c>
      <c r="G208" s="228">
        <f>IF((B208&gt;0),(VLOOKUP($B208,'Vlookup Tables'!$B$23:$F$33,2,TRUE)),"-")</f>
        <v>4</v>
      </c>
      <c r="H208" s="52">
        <f t="shared" si="13"/>
        <v>3.0625000000000004</v>
      </c>
      <c r="I208" s="50">
        <f>IF((B208&gt;0),('Vlookup Tables'!$B$35),"-")</f>
        <v>259</v>
      </c>
      <c r="J208" s="265" t="str">
        <f>IF(B208&gt;0,(IF(D208="2-Way",VLOOKUP($G208,'Vlookup Tables'!$C$23:$F$33,2,FALSE),VLOOKUP($G208,'Vlookup Tables'!$C$23:$F$33,3,FALSE))),"-")</f>
        <v>02041</v>
      </c>
      <c r="K208" s="276" t="str">
        <f>IF(B208&gt;0,(VLOOKUP(J208,'Valve Reference'!$A$2:$K$389,4)),"-")</f>
        <v>Standard</v>
      </c>
      <c r="L208" s="276" t="str">
        <f>IF(B208&gt;0,(VLOOKUP(J208,'Valve Reference'!$A$2:$K$389,5)),"-")</f>
        <v>BR</v>
      </c>
      <c r="M208" s="276" t="str">
        <f>IF(B208&gt;0,(VLOOKUP(J208,'Valve Reference'!$A$2:$K$389,8)),"-")</f>
        <v>Linear</v>
      </c>
      <c r="N208" s="276" t="str">
        <f>IF(B208&gt;0,(VLOOKUP(J208,'Valve Reference'!$A$2:$K$389,10)),"-")</f>
        <v>FxF</v>
      </c>
      <c r="O208" s="277" t="str">
        <f>IF(B208&gt;0,(VLOOKUP(J208,'Valve Reference'!$A$2:$K$389,11)),"-")</f>
        <v>Globe-Powermite</v>
      </c>
      <c r="P208" s="278" t="str">
        <f>IF(B208&gt;0,(VLOOKUP(I208,'Actuator Reference'!$A$2:$H$54,2)),"-")</f>
        <v>SSC81U</v>
      </c>
      <c r="Q208" s="278" t="str">
        <f>IF(B208&gt;0,(VLOOKUP(I208,'Actuator Reference'!$A$2:$H$54,5)),"-")</f>
        <v>Float</v>
      </c>
      <c r="R208" s="278" t="str">
        <f>IF(B208&gt;0,(VLOOKUP(I208,'Actuator Reference'!$A$2:$H$54,6)),"-")</f>
        <v>NSR</v>
      </c>
      <c r="S208" s="278" t="str">
        <f>IF(B208&gt;0,(VLOOKUP(I208,'Actuator Reference'!$A$2:$H$54,7)),"-")</f>
        <v>24V</v>
      </c>
      <c r="T208" s="279" t="str">
        <f>IF(B208&gt;0,(VLOOKUP(I208,'Actuator Reference'!$A$2:$H$54,8)),"-")</f>
        <v>MT-Series</v>
      </c>
      <c r="AD208" s="41"/>
      <c r="AE208" s="41"/>
      <c r="AF208" s="35">
        <v>1</v>
      </c>
      <c r="AG208" s="35" t="s">
        <v>1097</v>
      </c>
      <c r="AH208" s="38" t="str">
        <f t="shared" si="15"/>
        <v>259-02041</v>
      </c>
      <c r="AI208" s="264" t="e">
        <f t="shared" si="14"/>
        <v>#REF!</v>
      </c>
    </row>
    <row r="209" spans="1:35" ht="14.25">
      <c r="A209" s="275" t="e">
        <f>'Box Schedule'!#REF!</f>
        <v>#REF!</v>
      </c>
      <c r="B209" s="262">
        <v>8</v>
      </c>
      <c r="C209" s="229" t="str">
        <f>IF((B209&gt;0),(VLOOKUP(J209,'Valve Reference'!$A$2:$K$389,3)),"-")</f>
        <v>0.5</v>
      </c>
      <c r="D209" s="230" t="s">
        <v>577</v>
      </c>
      <c r="E209" s="231">
        <f>IF((B209&gt;0),('Vlookup Tables'!$B$37),"-")</f>
        <v>5</v>
      </c>
      <c r="F209" s="51">
        <f t="shared" si="12"/>
        <v>3.5777087639996634</v>
      </c>
      <c r="G209" s="228">
        <f>IF((B209&gt;0),(VLOOKUP($B209,'Vlookup Tables'!$B$23:$F$33,2,TRUE)),"-")</f>
        <v>4</v>
      </c>
      <c r="H209" s="52">
        <f t="shared" si="13"/>
        <v>4</v>
      </c>
      <c r="I209" s="50">
        <f>IF((B209&gt;0),('Vlookup Tables'!$B$35),"-")</f>
        <v>259</v>
      </c>
      <c r="J209" s="265" t="str">
        <f>IF(B209&gt;0,(IF(D209="2-Way",VLOOKUP($G209,'Vlookup Tables'!$C$23:$F$33,2,FALSE),VLOOKUP($G209,'Vlookup Tables'!$C$23:$F$33,3,FALSE))),"-")</f>
        <v>02041</v>
      </c>
      <c r="K209" s="276" t="str">
        <f>IF(B209&gt;0,(VLOOKUP(J209,'Valve Reference'!$A$2:$K$389,4)),"-")</f>
        <v>Standard</v>
      </c>
      <c r="L209" s="276" t="str">
        <f>IF(B209&gt;0,(VLOOKUP(J209,'Valve Reference'!$A$2:$K$389,5)),"-")</f>
        <v>BR</v>
      </c>
      <c r="M209" s="276" t="str">
        <f>IF(B209&gt;0,(VLOOKUP(J209,'Valve Reference'!$A$2:$K$389,8)),"-")</f>
        <v>Linear</v>
      </c>
      <c r="N209" s="276" t="str">
        <f>IF(B209&gt;0,(VLOOKUP(J209,'Valve Reference'!$A$2:$K$389,10)),"-")</f>
        <v>FxF</v>
      </c>
      <c r="O209" s="277" t="str">
        <f>IF(B209&gt;0,(VLOOKUP(J209,'Valve Reference'!$A$2:$K$389,11)),"-")</f>
        <v>Globe-Powermite</v>
      </c>
      <c r="P209" s="278" t="str">
        <f>IF(B209&gt;0,(VLOOKUP(I209,'Actuator Reference'!$A$2:$H$54,2)),"-")</f>
        <v>SSC81U</v>
      </c>
      <c r="Q209" s="278" t="str">
        <f>IF(B209&gt;0,(VLOOKUP(I209,'Actuator Reference'!$A$2:$H$54,5)),"-")</f>
        <v>Float</v>
      </c>
      <c r="R209" s="278" t="str">
        <f>IF(B209&gt;0,(VLOOKUP(I209,'Actuator Reference'!$A$2:$H$54,6)),"-")</f>
        <v>NSR</v>
      </c>
      <c r="S209" s="278" t="str">
        <f>IF(B209&gt;0,(VLOOKUP(I209,'Actuator Reference'!$A$2:$H$54,7)),"-")</f>
        <v>24V</v>
      </c>
      <c r="T209" s="279" t="str">
        <f>IF(B209&gt;0,(VLOOKUP(I209,'Actuator Reference'!$A$2:$H$54,8)),"-")</f>
        <v>MT-Series</v>
      </c>
      <c r="AD209" s="41"/>
      <c r="AE209" s="41"/>
      <c r="AF209" s="35">
        <v>1</v>
      </c>
      <c r="AG209" s="35" t="s">
        <v>1097</v>
      </c>
      <c r="AH209" s="38" t="str">
        <f t="shared" si="15"/>
        <v>259-02041</v>
      </c>
      <c r="AI209" s="264" t="e">
        <f t="shared" si="14"/>
        <v>#REF!</v>
      </c>
    </row>
    <row r="210" spans="1:35" ht="14.25">
      <c r="A210" s="275" t="e">
        <f>'Box Schedule'!#REF!</f>
        <v>#REF!</v>
      </c>
      <c r="B210" s="262">
        <v>9</v>
      </c>
      <c r="C210" s="229" t="str">
        <f>IF((B210&gt;0),(VLOOKUP(J210,'Valve Reference'!$A$2:$K$389,3)),"-")</f>
        <v>0.75</v>
      </c>
      <c r="D210" s="230" t="s">
        <v>577</v>
      </c>
      <c r="E210" s="231">
        <f>IF((B210&gt;0),('Vlookup Tables'!$B$37),"-")</f>
        <v>5</v>
      </c>
      <c r="F210" s="51">
        <f t="shared" si="12"/>
        <v>4.0249223594996213</v>
      </c>
      <c r="G210" s="228">
        <f>IF((B210&gt;0),(VLOOKUP($B210,'Vlookup Tables'!$B$23:$F$33,2,TRUE)),"-")</f>
        <v>6.3</v>
      </c>
      <c r="H210" s="52">
        <f t="shared" si="13"/>
        <v>2.0408163265306127</v>
      </c>
      <c r="I210" s="50">
        <f>IF((B210&gt;0),('Vlookup Tables'!$B$35),"-")</f>
        <v>259</v>
      </c>
      <c r="J210" s="265" t="str">
        <f>IF(B210&gt;0,(IF(D210="2-Way",VLOOKUP($G210,'Vlookup Tables'!$C$23:$F$33,2,FALSE),VLOOKUP($G210,'Vlookup Tables'!$C$23:$F$33,3,FALSE))),"-")</f>
        <v>02044</v>
      </c>
      <c r="K210" s="276" t="str">
        <f>IF(B210&gt;0,(VLOOKUP(J210,'Valve Reference'!$A$2:$K$389,4)),"-")</f>
        <v>Standard</v>
      </c>
      <c r="L210" s="276" t="str">
        <f>IF(B210&gt;0,(VLOOKUP(J210,'Valve Reference'!$A$2:$K$389,5)),"-")</f>
        <v>BR</v>
      </c>
      <c r="M210" s="276" t="str">
        <f>IF(B210&gt;0,(VLOOKUP(J210,'Valve Reference'!$A$2:$K$389,8)),"-")</f>
        <v>Linear</v>
      </c>
      <c r="N210" s="276" t="str">
        <f>IF(B210&gt;0,(VLOOKUP(J210,'Valve Reference'!$A$2:$K$389,10)),"-")</f>
        <v>FxF</v>
      </c>
      <c r="O210" s="277" t="str">
        <f>IF(B210&gt;0,(VLOOKUP(J210,'Valve Reference'!$A$2:$K$389,11)),"-")</f>
        <v>Globe-Powermite</v>
      </c>
      <c r="P210" s="278" t="str">
        <f>IF(B210&gt;0,(VLOOKUP(I210,'Actuator Reference'!$A$2:$H$54,2)),"-")</f>
        <v>SSC81U</v>
      </c>
      <c r="Q210" s="278" t="str">
        <f>IF(B210&gt;0,(VLOOKUP(I210,'Actuator Reference'!$A$2:$H$54,5)),"-")</f>
        <v>Float</v>
      </c>
      <c r="R210" s="278" t="str">
        <f>IF(B210&gt;0,(VLOOKUP(I210,'Actuator Reference'!$A$2:$H$54,6)),"-")</f>
        <v>NSR</v>
      </c>
      <c r="S210" s="278" t="str">
        <f>IF(B210&gt;0,(VLOOKUP(I210,'Actuator Reference'!$A$2:$H$54,7)),"-")</f>
        <v>24V</v>
      </c>
      <c r="T210" s="279" t="str">
        <f>IF(B210&gt;0,(VLOOKUP(I210,'Actuator Reference'!$A$2:$H$54,8)),"-")</f>
        <v>MT-Series</v>
      </c>
      <c r="AD210" s="41"/>
      <c r="AE210" s="41"/>
      <c r="AF210" s="35">
        <v>1</v>
      </c>
      <c r="AG210" s="35" t="s">
        <v>1097</v>
      </c>
      <c r="AH210" s="38" t="str">
        <f t="shared" si="15"/>
        <v>259-02044</v>
      </c>
      <c r="AI210" s="264" t="e">
        <f t="shared" si="14"/>
        <v>#REF!</v>
      </c>
    </row>
    <row r="211" spans="1:35" ht="14.25">
      <c r="A211" s="275" t="e">
        <f>'Box Schedule'!#REF!</f>
        <v>#REF!</v>
      </c>
      <c r="B211" s="262">
        <v>1</v>
      </c>
      <c r="C211" s="229" t="str">
        <f>IF((B211&gt;0),(VLOOKUP(J211,'Valve Reference'!$A$2:$K$389,3)),"-")</f>
        <v>0.5</v>
      </c>
      <c r="D211" s="230" t="s">
        <v>577</v>
      </c>
      <c r="E211" s="231">
        <f>IF((B211&gt;0),('Vlookup Tables'!$B$37),"-")</f>
        <v>5</v>
      </c>
      <c r="F211" s="51">
        <f t="shared" si="12"/>
        <v>0.44721359549995793</v>
      </c>
      <c r="G211" s="228">
        <f>IF((B211&gt;0),(VLOOKUP($B211,'Vlookup Tables'!$B$23:$F$33,2,TRUE)),"-")</f>
        <v>0.63</v>
      </c>
      <c r="H211" s="52">
        <f t="shared" si="13"/>
        <v>2.5195263290501382</v>
      </c>
      <c r="I211" s="50">
        <f>IF((B211&gt;0),('Vlookup Tables'!$B$35),"-")</f>
        <v>259</v>
      </c>
      <c r="J211" s="265" t="str">
        <f>IF(B211&gt;0,(IF(D211="2-Way",VLOOKUP($G211,'Vlookup Tables'!$C$23:$F$33,2,FALSE),VLOOKUP($G211,'Vlookup Tables'!$C$23:$F$33,3,FALSE))),"-")</f>
        <v>02032</v>
      </c>
      <c r="K211" s="276" t="str">
        <f>IF(B211&gt;0,(VLOOKUP(J211,'Valve Reference'!$A$2:$K$389,4)),"-")</f>
        <v>Standard</v>
      </c>
      <c r="L211" s="276" t="str">
        <f>IF(B211&gt;0,(VLOOKUP(J211,'Valve Reference'!$A$2:$K$389,5)),"-")</f>
        <v>BR</v>
      </c>
      <c r="M211" s="276" t="str">
        <f>IF(B211&gt;0,(VLOOKUP(J211,'Valve Reference'!$A$2:$K$389,8)),"-")</f>
        <v>Linear</v>
      </c>
      <c r="N211" s="276" t="str">
        <f>IF(B211&gt;0,(VLOOKUP(J211,'Valve Reference'!$A$2:$K$389,10)),"-")</f>
        <v>FxF</v>
      </c>
      <c r="O211" s="277" t="str">
        <f>IF(B211&gt;0,(VLOOKUP(J211,'Valve Reference'!$A$2:$K$389,11)),"-")</f>
        <v>Globe-Powermite</v>
      </c>
      <c r="P211" s="278" t="str">
        <f>IF(B211&gt;0,(VLOOKUP(I211,'Actuator Reference'!$A$2:$H$54,2)),"-")</f>
        <v>SSC81U</v>
      </c>
      <c r="Q211" s="278" t="str">
        <f>IF(B211&gt;0,(VLOOKUP(I211,'Actuator Reference'!$A$2:$H$54,5)),"-")</f>
        <v>Float</v>
      </c>
      <c r="R211" s="278" t="str">
        <f>IF(B211&gt;0,(VLOOKUP(I211,'Actuator Reference'!$A$2:$H$54,6)),"-")</f>
        <v>NSR</v>
      </c>
      <c r="S211" s="278" t="str">
        <f>IF(B211&gt;0,(VLOOKUP(I211,'Actuator Reference'!$A$2:$H$54,7)),"-")</f>
        <v>24V</v>
      </c>
      <c r="T211" s="279" t="str">
        <f>IF(B211&gt;0,(VLOOKUP(I211,'Actuator Reference'!$A$2:$H$54,8)),"-")</f>
        <v>MT-Series</v>
      </c>
      <c r="AD211" s="41"/>
      <c r="AE211" s="41"/>
      <c r="AF211" s="35">
        <v>1</v>
      </c>
      <c r="AG211" s="35" t="s">
        <v>1097</v>
      </c>
      <c r="AH211" s="38" t="str">
        <f t="shared" si="15"/>
        <v>259-02032</v>
      </c>
      <c r="AI211" s="264" t="e">
        <f t="shared" si="14"/>
        <v>#REF!</v>
      </c>
    </row>
    <row r="212" spans="1:35" ht="14.25">
      <c r="A212" s="275" t="e">
        <f>'Box Schedule'!#REF!</f>
        <v>#REF!</v>
      </c>
      <c r="B212" s="262">
        <v>2</v>
      </c>
      <c r="C212" s="229" t="str">
        <f>IF((B212&gt;0),(VLOOKUP(J212,'Valve Reference'!$A$2:$K$389,3)),"-")</f>
        <v>0.5</v>
      </c>
      <c r="D212" s="230" t="s">
        <v>577</v>
      </c>
      <c r="E212" s="231">
        <f>IF((B212&gt;0),('Vlookup Tables'!$B$37),"-")</f>
        <v>5</v>
      </c>
      <c r="F212" s="51">
        <f t="shared" si="12"/>
        <v>0.89442719099991586</v>
      </c>
      <c r="G212" s="228">
        <f>IF((B212&gt;0),(VLOOKUP($B212,'Vlookup Tables'!$B$23:$F$33,2,TRUE)),"-")</f>
        <v>1</v>
      </c>
      <c r="H212" s="52">
        <f t="shared" si="13"/>
        <v>4</v>
      </c>
      <c r="I212" s="50">
        <f>IF((B212&gt;0),('Vlookup Tables'!$B$35),"-")</f>
        <v>259</v>
      </c>
      <c r="J212" s="265" t="str">
        <f>IF(B212&gt;0,(IF(D212="2-Way",VLOOKUP($G212,'Vlookup Tables'!$C$23:$F$33,2,FALSE),VLOOKUP($G212,'Vlookup Tables'!$C$23:$F$33,3,FALSE))),"-")</f>
        <v>02034</v>
      </c>
      <c r="K212" s="276" t="str">
        <f>IF(B212&gt;0,(VLOOKUP(J212,'Valve Reference'!$A$2:$K$389,4)),"-")</f>
        <v>Standard</v>
      </c>
      <c r="L212" s="276" t="str">
        <f>IF(B212&gt;0,(VLOOKUP(J212,'Valve Reference'!$A$2:$K$389,5)),"-")</f>
        <v>BR</v>
      </c>
      <c r="M212" s="276" t="str">
        <f>IF(B212&gt;0,(VLOOKUP(J212,'Valve Reference'!$A$2:$K$389,8)),"-")</f>
        <v>Linear</v>
      </c>
      <c r="N212" s="276" t="str">
        <f>IF(B212&gt;0,(VLOOKUP(J212,'Valve Reference'!$A$2:$K$389,10)),"-")</f>
        <v>FxF</v>
      </c>
      <c r="O212" s="277" t="str">
        <f>IF(B212&gt;0,(VLOOKUP(J212,'Valve Reference'!$A$2:$K$389,11)),"-")</f>
        <v>Globe-Powermite</v>
      </c>
      <c r="P212" s="278" t="str">
        <f>IF(B212&gt;0,(VLOOKUP(I212,'Actuator Reference'!$A$2:$H$54,2)),"-")</f>
        <v>SSC81U</v>
      </c>
      <c r="Q212" s="278" t="str">
        <f>IF(B212&gt;0,(VLOOKUP(I212,'Actuator Reference'!$A$2:$H$54,5)),"-")</f>
        <v>Float</v>
      </c>
      <c r="R212" s="278" t="str">
        <f>IF(B212&gt;0,(VLOOKUP(I212,'Actuator Reference'!$A$2:$H$54,6)),"-")</f>
        <v>NSR</v>
      </c>
      <c r="S212" s="278" t="str">
        <f>IF(B212&gt;0,(VLOOKUP(I212,'Actuator Reference'!$A$2:$H$54,7)),"-")</f>
        <v>24V</v>
      </c>
      <c r="T212" s="279" t="str">
        <f>IF(B212&gt;0,(VLOOKUP(I212,'Actuator Reference'!$A$2:$H$54,8)),"-")</f>
        <v>MT-Series</v>
      </c>
      <c r="AD212" s="41"/>
      <c r="AE212" s="41"/>
      <c r="AF212" s="35">
        <v>1</v>
      </c>
      <c r="AG212" s="35" t="s">
        <v>1097</v>
      </c>
      <c r="AH212" s="38" t="str">
        <f t="shared" si="15"/>
        <v>259-02034</v>
      </c>
      <c r="AI212" s="264" t="e">
        <f t="shared" si="14"/>
        <v>#REF!</v>
      </c>
    </row>
    <row r="213" spans="1:35" ht="14.25">
      <c r="A213" s="275" t="e">
        <f>'Box Schedule'!#REF!</f>
        <v>#REF!</v>
      </c>
      <c r="B213" s="262">
        <v>3</v>
      </c>
      <c r="C213" s="229" t="str">
        <f>IF((B213&gt;0),(VLOOKUP(J213,'Valve Reference'!$A$2:$K$389,3)),"-")</f>
        <v>0.5</v>
      </c>
      <c r="D213" s="230" t="s">
        <v>577</v>
      </c>
      <c r="E213" s="231">
        <f>IF((B213&gt;0),('Vlookup Tables'!$B$37),"-")</f>
        <v>5</v>
      </c>
      <c r="F213" s="51">
        <f t="shared" si="12"/>
        <v>1.3416407864998738</v>
      </c>
      <c r="G213" s="228">
        <f>IF((B213&gt;0),(VLOOKUP($B213,'Vlookup Tables'!$B$23:$F$33,2,TRUE)),"-")</f>
        <v>1.6</v>
      </c>
      <c r="H213" s="52">
        <f t="shared" si="13"/>
        <v>3.515625</v>
      </c>
      <c r="I213" s="50">
        <f>IF((B213&gt;0),('Vlookup Tables'!$B$35),"-")</f>
        <v>259</v>
      </c>
      <c r="J213" s="265" t="str">
        <f>IF(B213&gt;0,(IF(D213="2-Way",VLOOKUP($G213,'Vlookup Tables'!$C$23:$F$33,2,FALSE),VLOOKUP($G213,'Vlookup Tables'!$C$23:$F$33,3,FALSE))),"-")</f>
        <v>02036</v>
      </c>
      <c r="K213" s="276" t="str">
        <f>IF(B213&gt;0,(VLOOKUP(J213,'Valve Reference'!$A$2:$K$389,4)),"-")</f>
        <v>Standard</v>
      </c>
      <c r="L213" s="276" t="str">
        <f>IF(B213&gt;0,(VLOOKUP(J213,'Valve Reference'!$A$2:$K$389,5)),"-")</f>
        <v>BR</v>
      </c>
      <c r="M213" s="276" t="str">
        <f>IF(B213&gt;0,(VLOOKUP(J213,'Valve Reference'!$A$2:$K$389,8)),"-")</f>
        <v>Linear</v>
      </c>
      <c r="N213" s="276" t="str">
        <f>IF(B213&gt;0,(VLOOKUP(J213,'Valve Reference'!$A$2:$K$389,10)),"-")</f>
        <v>FxF</v>
      </c>
      <c r="O213" s="277" t="str">
        <f>IF(B213&gt;0,(VLOOKUP(J213,'Valve Reference'!$A$2:$K$389,11)),"-")</f>
        <v>Globe-Powermite</v>
      </c>
      <c r="P213" s="278" t="str">
        <f>IF(B213&gt;0,(VLOOKUP(I213,'Actuator Reference'!$A$2:$H$54,2)),"-")</f>
        <v>SSC81U</v>
      </c>
      <c r="Q213" s="278" t="str">
        <f>IF(B213&gt;0,(VLOOKUP(I213,'Actuator Reference'!$A$2:$H$54,5)),"-")</f>
        <v>Float</v>
      </c>
      <c r="R213" s="278" t="str">
        <f>IF(B213&gt;0,(VLOOKUP(I213,'Actuator Reference'!$A$2:$H$54,6)),"-")</f>
        <v>NSR</v>
      </c>
      <c r="S213" s="278" t="str">
        <f>IF(B213&gt;0,(VLOOKUP(I213,'Actuator Reference'!$A$2:$H$54,7)),"-")</f>
        <v>24V</v>
      </c>
      <c r="T213" s="279" t="str">
        <f>IF(B213&gt;0,(VLOOKUP(I213,'Actuator Reference'!$A$2:$H$54,8)),"-")</f>
        <v>MT-Series</v>
      </c>
      <c r="AD213" s="41"/>
      <c r="AE213" s="41"/>
      <c r="AF213" s="35">
        <v>1</v>
      </c>
      <c r="AG213" s="35" t="s">
        <v>1097</v>
      </c>
      <c r="AH213" s="38" t="str">
        <f t="shared" si="15"/>
        <v>259-02036</v>
      </c>
      <c r="AI213" s="264" t="e">
        <f t="shared" si="14"/>
        <v>#REF!</v>
      </c>
    </row>
    <row r="214" spans="1:35" ht="14.25">
      <c r="A214" s="275" t="e">
        <f>'Box Schedule'!#REF!</f>
        <v>#REF!</v>
      </c>
      <c r="B214" s="262">
        <v>4</v>
      </c>
      <c r="C214" s="229" t="str">
        <f>IF((B214&gt;0),(VLOOKUP(J214,'Valve Reference'!$A$2:$K$389,3)),"-")</f>
        <v>0.5</v>
      </c>
      <c r="D214" s="230" t="s">
        <v>577</v>
      </c>
      <c r="E214" s="231">
        <f>IF((B214&gt;0),('Vlookup Tables'!$B$37),"-")</f>
        <v>5</v>
      </c>
      <c r="F214" s="51">
        <f t="shared" si="12"/>
        <v>1.7888543819998317</v>
      </c>
      <c r="G214" s="228">
        <f>IF((B214&gt;0),(VLOOKUP($B214,'Vlookup Tables'!$B$23:$F$33,2,TRUE)),"-")</f>
        <v>2.5</v>
      </c>
      <c r="H214" s="52">
        <f t="shared" si="13"/>
        <v>2.56</v>
      </c>
      <c r="I214" s="50">
        <f>IF((B214&gt;0),('Vlookup Tables'!$B$35),"-")</f>
        <v>259</v>
      </c>
      <c r="J214" s="265" t="str">
        <f>IF(B214&gt;0,(IF(D214="2-Way",VLOOKUP($G214,'Vlookup Tables'!$C$23:$F$33,2,FALSE),VLOOKUP($G214,'Vlookup Tables'!$C$23:$F$33,3,FALSE))),"-")</f>
        <v>02038</v>
      </c>
      <c r="K214" s="276" t="str">
        <f>IF(B214&gt;0,(VLOOKUP(J214,'Valve Reference'!$A$2:$K$389,4)),"-")</f>
        <v>Standard</v>
      </c>
      <c r="L214" s="276" t="str">
        <f>IF(B214&gt;0,(VLOOKUP(J214,'Valve Reference'!$A$2:$K$389,5)),"-")</f>
        <v>BR</v>
      </c>
      <c r="M214" s="276" t="str">
        <f>IF(B214&gt;0,(VLOOKUP(J214,'Valve Reference'!$A$2:$K$389,8)),"-")</f>
        <v>Linear</v>
      </c>
      <c r="N214" s="276" t="str">
        <f>IF(B214&gt;0,(VLOOKUP(J214,'Valve Reference'!$A$2:$K$389,10)),"-")</f>
        <v>FxF</v>
      </c>
      <c r="O214" s="277" t="str">
        <f>IF(B214&gt;0,(VLOOKUP(J214,'Valve Reference'!$A$2:$K$389,11)),"-")</f>
        <v>Globe-Powermite</v>
      </c>
      <c r="P214" s="278" t="str">
        <f>IF(B214&gt;0,(VLOOKUP(I214,'Actuator Reference'!$A$2:$H$54,2)),"-")</f>
        <v>SSC81U</v>
      </c>
      <c r="Q214" s="278" t="str">
        <f>IF(B214&gt;0,(VLOOKUP(I214,'Actuator Reference'!$A$2:$H$54,5)),"-")</f>
        <v>Float</v>
      </c>
      <c r="R214" s="278" t="str">
        <f>IF(B214&gt;0,(VLOOKUP(I214,'Actuator Reference'!$A$2:$H$54,6)),"-")</f>
        <v>NSR</v>
      </c>
      <c r="S214" s="278" t="str">
        <f>IF(B214&gt;0,(VLOOKUP(I214,'Actuator Reference'!$A$2:$H$54,7)),"-")</f>
        <v>24V</v>
      </c>
      <c r="T214" s="279" t="str">
        <f>IF(B214&gt;0,(VLOOKUP(I214,'Actuator Reference'!$A$2:$H$54,8)),"-")</f>
        <v>MT-Series</v>
      </c>
      <c r="AD214" s="41"/>
      <c r="AE214" s="41"/>
      <c r="AF214" s="35">
        <v>1</v>
      </c>
      <c r="AG214" s="35" t="s">
        <v>1097</v>
      </c>
      <c r="AH214" s="38" t="str">
        <f t="shared" si="15"/>
        <v>259-02038</v>
      </c>
      <c r="AI214" s="264" t="e">
        <f t="shared" si="14"/>
        <v>#REF!</v>
      </c>
    </row>
    <row r="215" spans="1:35" ht="14.25">
      <c r="A215" s="275" t="e">
        <f>'Box Schedule'!#REF!</f>
        <v>#REF!</v>
      </c>
      <c r="B215" s="262">
        <v>5</v>
      </c>
      <c r="C215" s="229" t="str">
        <f>IF((B215&gt;0),(VLOOKUP(J215,'Valve Reference'!$A$2:$K$389,3)),"-")</f>
        <v>0.5</v>
      </c>
      <c r="D215" s="230" t="s">
        <v>577</v>
      </c>
      <c r="E215" s="231">
        <f>IF((B215&gt;0),('Vlookup Tables'!$B$37),"-")</f>
        <v>5</v>
      </c>
      <c r="F215" s="51">
        <f t="shared" si="12"/>
        <v>2.2360679774997898</v>
      </c>
      <c r="G215" s="228">
        <f>IF((B215&gt;0),(VLOOKUP($B215,'Vlookup Tables'!$B$23:$F$33,2,TRUE)),"-")</f>
        <v>2.5</v>
      </c>
      <c r="H215" s="52">
        <f t="shared" si="13"/>
        <v>4</v>
      </c>
      <c r="I215" s="50">
        <f>IF((B215&gt;0),('Vlookup Tables'!$B$35),"-")</f>
        <v>259</v>
      </c>
      <c r="J215" s="265" t="str">
        <f>IF(B215&gt;0,(IF(D215="2-Way",VLOOKUP($G215,'Vlookup Tables'!$C$23:$F$33,2,FALSE),VLOOKUP($G215,'Vlookup Tables'!$C$23:$F$33,3,FALSE))),"-")</f>
        <v>02038</v>
      </c>
      <c r="K215" s="276" t="str">
        <f>IF(B215&gt;0,(VLOOKUP(J215,'Valve Reference'!$A$2:$K$389,4)),"-")</f>
        <v>Standard</v>
      </c>
      <c r="L215" s="276" t="str">
        <f>IF(B215&gt;0,(VLOOKUP(J215,'Valve Reference'!$A$2:$K$389,5)),"-")</f>
        <v>BR</v>
      </c>
      <c r="M215" s="276" t="str">
        <f>IF(B215&gt;0,(VLOOKUP(J215,'Valve Reference'!$A$2:$K$389,8)),"-")</f>
        <v>Linear</v>
      </c>
      <c r="N215" s="276" t="str">
        <f>IF(B215&gt;0,(VLOOKUP(J215,'Valve Reference'!$A$2:$K$389,10)),"-")</f>
        <v>FxF</v>
      </c>
      <c r="O215" s="277" t="str">
        <f>IF(B215&gt;0,(VLOOKUP(J215,'Valve Reference'!$A$2:$K$389,11)),"-")</f>
        <v>Globe-Powermite</v>
      </c>
      <c r="P215" s="278" t="str">
        <f>IF(B215&gt;0,(VLOOKUP(I215,'Actuator Reference'!$A$2:$H$54,2)),"-")</f>
        <v>SSC81U</v>
      </c>
      <c r="Q215" s="278" t="str">
        <f>IF(B215&gt;0,(VLOOKUP(I215,'Actuator Reference'!$A$2:$H$54,5)),"-")</f>
        <v>Float</v>
      </c>
      <c r="R215" s="278" t="str">
        <f>IF(B215&gt;0,(VLOOKUP(I215,'Actuator Reference'!$A$2:$H$54,6)),"-")</f>
        <v>NSR</v>
      </c>
      <c r="S215" s="278" t="str">
        <f>IF(B215&gt;0,(VLOOKUP(I215,'Actuator Reference'!$A$2:$H$54,7)),"-")</f>
        <v>24V</v>
      </c>
      <c r="T215" s="279" t="str">
        <f>IF(B215&gt;0,(VLOOKUP(I215,'Actuator Reference'!$A$2:$H$54,8)),"-")</f>
        <v>MT-Series</v>
      </c>
      <c r="AD215" s="41"/>
      <c r="AE215" s="41"/>
      <c r="AF215" s="35">
        <v>1</v>
      </c>
      <c r="AG215" s="35" t="s">
        <v>1097</v>
      </c>
      <c r="AH215" s="38" t="str">
        <f t="shared" si="15"/>
        <v>259-02038</v>
      </c>
      <c r="AI215" s="264" t="e">
        <f t="shared" si="14"/>
        <v>#REF!</v>
      </c>
    </row>
    <row r="216" spans="1:35" ht="14.25">
      <c r="A216" s="275" t="e">
        <f>'Box Schedule'!#REF!</f>
        <v>#REF!</v>
      </c>
      <c r="B216" s="262">
        <v>6</v>
      </c>
      <c r="C216" s="229" t="str">
        <f>IF((B216&gt;0),(VLOOKUP(J216,'Valve Reference'!$A$2:$K$389,3)),"-")</f>
        <v>0.5</v>
      </c>
      <c r="D216" s="230" t="s">
        <v>577</v>
      </c>
      <c r="E216" s="231">
        <f>IF((B216&gt;0),('Vlookup Tables'!$B$37),"-")</f>
        <v>5</v>
      </c>
      <c r="F216" s="51">
        <f t="shared" si="12"/>
        <v>2.6832815729997477</v>
      </c>
      <c r="G216" s="228">
        <f>IF((B216&gt;0),(VLOOKUP($B216,'Vlookup Tables'!$B$23:$F$33,2,TRUE)),"-")</f>
        <v>4</v>
      </c>
      <c r="H216" s="52">
        <f t="shared" si="13"/>
        <v>2.25</v>
      </c>
      <c r="I216" s="50">
        <f>IF((B216&gt;0),('Vlookup Tables'!$B$35),"-")</f>
        <v>259</v>
      </c>
      <c r="J216" s="265" t="str">
        <f>IF(B216&gt;0,(IF(D216="2-Way",VLOOKUP($G216,'Vlookup Tables'!$C$23:$F$33,2,FALSE),VLOOKUP($G216,'Vlookup Tables'!$C$23:$F$33,3,FALSE))),"-")</f>
        <v>02041</v>
      </c>
      <c r="K216" s="276" t="str">
        <f>IF(B216&gt;0,(VLOOKUP(J216,'Valve Reference'!$A$2:$K$389,4)),"-")</f>
        <v>Standard</v>
      </c>
      <c r="L216" s="276" t="str">
        <f>IF(B216&gt;0,(VLOOKUP(J216,'Valve Reference'!$A$2:$K$389,5)),"-")</f>
        <v>BR</v>
      </c>
      <c r="M216" s="276" t="str">
        <f>IF(B216&gt;0,(VLOOKUP(J216,'Valve Reference'!$A$2:$K$389,8)),"-")</f>
        <v>Linear</v>
      </c>
      <c r="N216" s="276" t="str">
        <f>IF(B216&gt;0,(VLOOKUP(J216,'Valve Reference'!$A$2:$K$389,10)),"-")</f>
        <v>FxF</v>
      </c>
      <c r="O216" s="277" t="str">
        <f>IF(B216&gt;0,(VLOOKUP(J216,'Valve Reference'!$A$2:$K$389,11)),"-")</f>
        <v>Globe-Powermite</v>
      </c>
      <c r="P216" s="278" t="str">
        <f>IF(B216&gt;0,(VLOOKUP(I216,'Actuator Reference'!$A$2:$H$54,2)),"-")</f>
        <v>SSC81U</v>
      </c>
      <c r="Q216" s="278" t="str">
        <f>IF(B216&gt;0,(VLOOKUP(I216,'Actuator Reference'!$A$2:$H$54,5)),"-")</f>
        <v>Float</v>
      </c>
      <c r="R216" s="278" t="str">
        <f>IF(B216&gt;0,(VLOOKUP(I216,'Actuator Reference'!$A$2:$H$54,6)),"-")</f>
        <v>NSR</v>
      </c>
      <c r="S216" s="278" t="str">
        <f>IF(B216&gt;0,(VLOOKUP(I216,'Actuator Reference'!$A$2:$H$54,7)),"-")</f>
        <v>24V</v>
      </c>
      <c r="T216" s="279" t="str">
        <f>IF(B216&gt;0,(VLOOKUP(I216,'Actuator Reference'!$A$2:$H$54,8)),"-")</f>
        <v>MT-Series</v>
      </c>
      <c r="AD216" s="41"/>
      <c r="AE216" s="41"/>
      <c r="AF216" s="35">
        <v>1</v>
      </c>
      <c r="AG216" s="35" t="s">
        <v>1097</v>
      </c>
      <c r="AH216" s="38" t="str">
        <f t="shared" si="15"/>
        <v>259-02041</v>
      </c>
      <c r="AI216" s="264" t="e">
        <f t="shared" si="14"/>
        <v>#REF!</v>
      </c>
    </row>
    <row r="217" spans="1:35" ht="14.25">
      <c r="A217" s="275" t="e">
        <f>'Box Schedule'!#REF!</f>
        <v>#REF!</v>
      </c>
      <c r="B217" s="262">
        <v>7</v>
      </c>
      <c r="C217" s="229" t="str">
        <f>IF((B217&gt;0),(VLOOKUP(J217,'Valve Reference'!$A$2:$K$389,3)),"-")</f>
        <v>0.5</v>
      </c>
      <c r="D217" s="230" t="s">
        <v>577</v>
      </c>
      <c r="E217" s="231">
        <f>IF((B217&gt;0),('Vlookup Tables'!$B$37),"-")</f>
        <v>5</v>
      </c>
      <c r="F217" s="51">
        <f t="shared" si="12"/>
        <v>3.1304951684997055</v>
      </c>
      <c r="G217" s="228">
        <f>IF((B217&gt;0),(VLOOKUP($B217,'Vlookup Tables'!$B$23:$F$33,2,TRUE)),"-")</f>
        <v>4</v>
      </c>
      <c r="H217" s="52">
        <f t="shared" si="13"/>
        <v>3.0625000000000004</v>
      </c>
      <c r="I217" s="50">
        <f>IF((B217&gt;0),('Vlookup Tables'!$B$35),"-")</f>
        <v>259</v>
      </c>
      <c r="J217" s="265" t="str">
        <f>IF(B217&gt;0,(IF(D217="2-Way",VLOOKUP($G217,'Vlookup Tables'!$C$23:$F$33,2,FALSE),VLOOKUP($G217,'Vlookup Tables'!$C$23:$F$33,3,FALSE))),"-")</f>
        <v>02041</v>
      </c>
      <c r="K217" s="276" t="str">
        <f>IF(B217&gt;0,(VLOOKUP(J217,'Valve Reference'!$A$2:$K$389,4)),"-")</f>
        <v>Standard</v>
      </c>
      <c r="L217" s="276" t="str">
        <f>IF(B217&gt;0,(VLOOKUP(J217,'Valve Reference'!$A$2:$K$389,5)),"-")</f>
        <v>BR</v>
      </c>
      <c r="M217" s="276" t="str">
        <f>IF(B217&gt;0,(VLOOKUP(J217,'Valve Reference'!$A$2:$K$389,8)),"-")</f>
        <v>Linear</v>
      </c>
      <c r="N217" s="276" t="str">
        <f>IF(B217&gt;0,(VLOOKUP(J217,'Valve Reference'!$A$2:$K$389,10)),"-")</f>
        <v>FxF</v>
      </c>
      <c r="O217" s="277" t="str">
        <f>IF(B217&gt;0,(VLOOKUP(J217,'Valve Reference'!$A$2:$K$389,11)),"-")</f>
        <v>Globe-Powermite</v>
      </c>
      <c r="P217" s="278" t="str">
        <f>IF(B217&gt;0,(VLOOKUP(I217,'Actuator Reference'!$A$2:$H$54,2)),"-")</f>
        <v>SSC81U</v>
      </c>
      <c r="Q217" s="278" t="str">
        <f>IF(B217&gt;0,(VLOOKUP(I217,'Actuator Reference'!$A$2:$H$54,5)),"-")</f>
        <v>Float</v>
      </c>
      <c r="R217" s="278" t="str">
        <f>IF(B217&gt;0,(VLOOKUP(I217,'Actuator Reference'!$A$2:$H$54,6)),"-")</f>
        <v>NSR</v>
      </c>
      <c r="S217" s="278" t="str">
        <f>IF(B217&gt;0,(VLOOKUP(I217,'Actuator Reference'!$A$2:$H$54,7)),"-")</f>
        <v>24V</v>
      </c>
      <c r="T217" s="279" t="str">
        <f>IF(B217&gt;0,(VLOOKUP(I217,'Actuator Reference'!$A$2:$H$54,8)),"-")</f>
        <v>MT-Series</v>
      </c>
      <c r="AD217" s="41"/>
      <c r="AE217" s="41"/>
      <c r="AF217" s="35">
        <v>1</v>
      </c>
      <c r="AG217" s="35" t="s">
        <v>1097</v>
      </c>
      <c r="AH217" s="38" t="str">
        <f t="shared" si="15"/>
        <v>259-02041</v>
      </c>
      <c r="AI217" s="264" t="e">
        <f t="shared" si="14"/>
        <v>#REF!</v>
      </c>
    </row>
    <row r="218" spans="1:35" ht="14.25">
      <c r="A218" s="275" t="e">
        <f>'Box Schedule'!#REF!</f>
        <v>#REF!</v>
      </c>
      <c r="B218" s="262">
        <v>8</v>
      </c>
      <c r="C218" s="229" t="str">
        <f>IF((B218&gt;0),(VLOOKUP(J218,'Valve Reference'!$A$2:$K$389,3)),"-")</f>
        <v>0.5</v>
      </c>
      <c r="D218" s="230" t="s">
        <v>577</v>
      </c>
      <c r="E218" s="231">
        <f>IF((B218&gt;0),('Vlookup Tables'!$B$37),"-")</f>
        <v>5</v>
      </c>
      <c r="F218" s="51">
        <f t="shared" si="12"/>
        <v>3.5777087639996634</v>
      </c>
      <c r="G218" s="228">
        <f>IF((B218&gt;0),(VLOOKUP($B218,'Vlookup Tables'!$B$23:$F$33,2,TRUE)),"-")</f>
        <v>4</v>
      </c>
      <c r="H218" s="52">
        <f t="shared" si="13"/>
        <v>4</v>
      </c>
      <c r="I218" s="50">
        <f>IF((B218&gt;0),('Vlookup Tables'!$B$35),"-")</f>
        <v>259</v>
      </c>
      <c r="J218" s="265" t="str">
        <f>IF(B218&gt;0,(IF(D218="2-Way",VLOOKUP($G218,'Vlookup Tables'!$C$23:$F$33,2,FALSE),VLOOKUP($G218,'Vlookup Tables'!$C$23:$F$33,3,FALSE))),"-")</f>
        <v>02041</v>
      </c>
      <c r="K218" s="276" t="str">
        <f>IF(B218&gt;0,(VLOOKUP(J218,'Valve Reference'!$A$2:$K$389,4)),"-")</f>
        <v>Standard</v>
      </c>
      <c r="L218" s="276" t="str">
        <f>IF(B218&gt;0,(VLOOKUP(J218,'Valve Reference'!$A$2:$K$389,5)),"-")</f>
        <v>BR</v>
      </c>
      <c r="M218" s="276" t="str">
        <f>IF(B218&gt;0,(VLOOKUP(J218,'Valve Reference'!$A$2:$K$389,8)),"-")</f>
        <v>Linear</v>
      </c>
      <c r="N218" s="276" t="str">
        <f>IF(B218&gt;0,(VLOOKUP(J218,'Valve Reference'!$A$2:$K$389,10)),"-")</f>
        <v>FxF</v>
      </c>
      <c r="O218" s="277" t="str">
        <f>IF(B218&gt;0,(VLOOKUP(J218,'Valve Reference'!$A$2:$K$389,11)),"-")</f>
        <v>Globe-Powermite</v>
      </c>
      <c r="P218" s="278" t="str">
        <f>IF(B218&gt;0,(VLOOKUP(I218,'Actuator Reference'!$A$2:$H$54,2)),"-")</f>
        <v>SSC81U</v>
      </c>
      <c r="Q218" s="278" t="str">
        <f>IF(B218&gt;0,(VLOOKUP(I218,'Actuator Reference'!$A$2:$H$54,5)),"-")</f>
        <v>Float</v>
      </c>
      <c r="R218" s="278" t="str">
        <f>IF(B218&gt;0,(VLOOKUP(I218,'Actuator Reference'!$A$2:$H$54,6)),"-")</f>
        <v>NSR</v>
      </c>
      <c r="S218" s="278" t="str">
        <f>IF(B218&gt;0,(VLOOKUP(I218,'Actuator Reference'!$A$2:$H$54,7)),"-")</f>
        <v>24V</v>
      </c>
      <c r="T218" s="279" t="str">
        <f>IF(B218&gt;0,(VLOOKUP(I218,'Actuator Reference'!$A$2:$H$54,8)),"-")</f>
        <v>MT-Series</v>
      </c>
      <c r="AD218" s="41"/>
      <c r="AE218" s="41"/>
      <c r="AF218" s="35">
        <v>1</v>
      </c>
      <c r="AG218" s="35" t="s">
        <v>1097</v>
      </c>
      <c r="AH218" s="38" t="str">
        <f t="shared" si="15"/>
        <v>259-02041</v>
      </c>
      <c r="AI218" s="264" t="e">
        <f t="shared" si="14"/>
        <v>#REF!</v>
      </c>
    </row>
    <row r="219" spans="1:35" ht="14.25">
      <c r="A219" s="275" t="e">
        <f>'Box Schedule'!#REF!</f>
        <v>#REF!</v>
      </c>
      <c r="B219" s="262">
        <v>9</v>
      </c>
      <c r="C219" s="229" t="str">
        <f>IF((B219&gt;0),(VLOOKUP(J219,'Valve Reference'!$A$2:$K$389,3)),"-")</f>
        <v>0.75</v>
      </c>
      <c r="D219" s="230" t="s">
        <v>577</v>
      </c>
      <c r="E219" s="231">
        <f>IF((B219&gt;0),('Vlookup Tables'!$B$37),"-")</f>
        <v>5</v>
      </c>
      <c r="F219" s="51">
        <f t="shared" si="12"/>
        <v>4.0249223594996213</v>
      </c>
      <c r="G219" s="228">
        <f>IF((B219&gt;0),(VLOOKUP($B219,'Vlookup Tables'!$B$23:$F$33,2,TRUE)),"-")</f>
        <v>6.3</v>
      </c>
      <c r="H219" s="52">
        <f t="shared" si="13"/>
        <v>2.0408163265306127</v>
      </c>
      <c r="I219" s="50">
        <f>IF((B219&gt;0),('Vlookup Tables'!$B$35),"-")</f>
        <v>259</v>
      </c>
      <c r="J219" s="265" t="str">
        <f>IF(B219&gt;0,(IF(D219="2-Way",VLOOKUP($G219,'Vlookup Tables'!$C$23:$F$33,2,FALSE),VLOOKUP($G219,'Vlookup Tables'!$C$23:$F$33,3,FALSE))),"-")</f>
        <v>02044</v>
      </c>
      <c r="K219" s="276" t="str">
        <f>IF(B219&gt;0,(VLOOKUP(J219,'Valve Reference'!$A$2:$K$389,4)),"-")</f>
        <v>Standard</v>
      </c>
      <c r="L219" s="276" t="str">
        <f>IF(B219&gt;0,(VLOOKUP(J219,'Valve Reference'!$A$2:$K$389,5)),"-")</f>
        <v>BR</v>
      </c>
      <c r="M219" s="276" t="str">
        <f>IF(B219&gt;0,(VLOOKUP(J219,'Valve Reference'!$A$2:$K$389,8)),"-")</f>
        <v>Linear</v>
      </c>
      <c r="N219" s="276" t="str">
        <f>IF(B219&gt;0,(VLOOKUP(J219,'Valve Reference'!$A$2:$K$389,10)),"-")</f>
        <v>FxF</v>
      </c>
      <c r="O219" s="277" t="str">
        <f>IF(B219&gt;0,(VLOOKUP(J219,'Valve Reference'!$A$2:$K$389,11)),"-")</f>
        <v>Globe-Powermite</v>
      </c>
      <c r="P219" s="278" t="str">
        <f>IF(B219&gt;0,(VLOOKUP(I219,'Actuator Reference'!$A$2:$H$54,2)),"-")</f>
        <v>SSC81U</v>
      </c>
      <c r="Q219" s="278" t="str">
        <f>IF(B219&gt;0,(VLOOKUP(I219,'Actuator Reference'!$A$2:$H$54,5)),"-")</f>
        <v>Float</v>
      </c>
      <c r="R219" s="278" t="str">
        <f>IF(B219&gt;0,(VLOOKUP(I219,'Actuator Reference'!$A$2:$H$54,6)),"-")</f>
        <v>NSR</v>
      </c>
      <c r="S219" s="278" t="str">
        <f>IF(B219&gt;0,(VLOOKUP(I219,'Actuator Reference'!$A$2:$H$54,7)),"-")</f>
        <v>24V</v>
      </c>
      <c r="T219" s="279" t="str">
        <f>IF(B219&gt;0,(VLOOKUP(I219,'Actuator Reference'!$A$2:$H$54,8)),"-")</f>
        <v>MT-Series</v>
      </c>
      <c r="AD219" s="41"/>
      <c r="AE219" s="41"/>
      <c r="AF219" s="35">
        <v>1</v>
      </c>
      <c r="AG219" s="35" t="s">
        <v>1097</v>
      </c>
      <c r="AH219" s="38" t="str">
        <f t="shared" si="15"/>
        <v>259-02044</v>
      </c>
      <c r="AI219" s="264" t="e">
        <f t="shared" si="14"/>
        <v>#REF!</v>
      </c>
    </row>
    <row r="220" spans="1:35" ht="14.25">
      <c r="A220" s="275" t="e">
        <f>'Box Schedule'!#REF!</f>
        <v>#REF!</v>
      </c>
      <c r="B220" s="262">
        <v>1</v>
      </c>
      <c r="C220" s="229" t="str">
        <f>IF((B220&gt;0),(VLOOKUP(J220,'Valve Reference'!$A$2:$K$389,3)),"-")</f>
        <v>0.5</v>
      </c>
      <c r="D220" s="230" t="s">
        <v>577</v>
      </c>
      <c r="E220" s="231">
        <f>IF((B220&gt;0),('Vlookup Tables'!$B$37),"-")</f>
        <v>5</v>
      </c>
      <c r="F220" s="51">
        <f t="shared" si="12"/>
        <v>0.44721359549995793</v>
      </c>
      <c r="G220" s="228">
        <f>IF((B220&gt;0),(VLOOKUP($B220,'Vlookup Tables'!$B$23:$F$33,2,TRUE)),"-")</f>
        <v>0.63</v>
      </c>
      <c r="H220" s="52">
        <f t="shared" si="13"/>
        <v>2.5195263290501382</v>
      </c>
      <c r="I220" s="50">
        <f>IF((B220&gt;0),('Vlookup Tables'!$B$35),"-")</f>
        <v>259</v>
      </c>
      <c r="J220" s="265" t="str">
        <f>IF(B220&gt;0,(IF(D220="2-Way",VLOOKUP($G220,'Vlookup Tables'!$C$23:$F$33,2,FALSE),VLOOKUP($G220,'Vlookup Tables'!$C$23:$F$33,3,FALSE))),"-")</f>
        <v>02032</v>
      </c>
      <c r="K220" s="276" t="str">
        <f>IF(B220&gt;0,(VLOOKUP(J220,'Valve Reference'!$A$2:$K$389,4)),"-")</f>
        <v>Standard</v>
      </c>
      <c r="L220" s="276" t="str">
        <f>IF(B220&gt;0,(VLOOKUP(J220,'Valve Reference'!$A$2:$K$389,5)),"-")</f>
        <v>BR</v>
      </c>
      <c r="M220" s="276" t="str">
        <f>IF(B220&gt;0,(VLOOKUP(J220,'Valve Reference'!$A$2:$K$389,8)),"-")</f>
        <v>Linear</v>
      </c>
      <c r="N220" s="276" t="str">
        <f>IF(B220&gt;0,(VLOOKUP(J220,'Valve Reference'!$A$2:$K$389,10)),"-")</f>
        <v>FxF</v>
      </c>
      <c r="O220" s="277" t="str">
        <f>IF(B220&gt;0,(VLOOKUP(J220,'Valve Reference'!$A$2:$K$389,11)),"-")</f>
        <v>Globe-Powermite</v>
      </c>
      <c r="P220" s="278" t="str">
        <f>IF(B220&gt;0,(VLOOKUP(I220,'Actuator Reference'!$A$2:$H$54,2)),"-")</f>
        <v>SSC81U</v>
      </c>
      <c r="Q220" s="278" t="str">
        <f>IF(B220&gt;0,(VLOOKUP(I220,'Actuator Reference'!$A$2:$H$54,5)),"-")</f>
        <v>Float</v>
      </c>
      <c r="R220" s="278" t="str">
        <f>IF(B220&gt;0,(VLOOKUP(I220,'Actuator Reference'!$A$2:$H$54,6)),"-")</f>
        <v>NSR</v>
      </c>
      <c r="S220" s="278" t="str">
        <f>IF(B220&gt;0,(VLOOKUP(I220,'Actuator Reference'!$A$2:$H$54,7)),"-")</f>
        <v>24V</v>
      </c>
      <c r="T220" s="279" t="str">
        <f>IF(B220&gt;0,(VLOOKUP(I220,'Actuator Reference'!$A$2:$H$54,8)),"-")</f>
        <v>MT-Series</v>
      </c>
      <c r="AD220" s="41"/>
      <c r="AE220" s="41"/>
      <c r="AF220" s="35">
        <v>1</v>
      </c>
      <c r="AG220" s="35" t="s">
        <v>1097</v>
      </c>
      <c r="AH220" s="38" t="str">
        <f t="shared" si="15"/>
        <v>259-02032</v>
      </c>
      <c r="AI220" s="264" t="e">
        <f t="shared" si="14"/>
        <v>#REF!</v>
      </c>
    </row>
    <row r="221" spans="1:35" ht="14.25">
      <c r="A221" s="275" t="e">
        <f>'Box Schedule'!#REF!</f>
        <v>#REF!</v>
      </c>
      <c r="B221" s="262">
        <v>2</v>
      </c>
      <c r="C221" s="229" t="str">
        <f>IF((B221&gt;0),(VLOOKUP(J221,'Valve Reference'!$A$2:$K$389,3)),"-")</f>
        <v>0.5</v>
      </c>
      <c r="D221" s="230" t="s">
        <v>577</v>
      </c>
      <c r="E221" s="231">
        <f>IF((B221&gt;0),('Vlookup Tables'!$B$37),"-")</f>
        <v>5</v>
      </c>
      <c r="F221" s="51">
        <f t="shared" si="12"/>
        <v>0.89442719099991586</v>
      </c>
      <c r="G221" s="228">
        <f>IF((B221&gt;0),(VLOOKUP($B221,'Vlookup Tables'!$B$23:$F$33,2,TRUE)),"-")</f>
        <v>1</v>
      </c>
      <c r="H221" s="52">
        <f t="shared" si="13"/>
        <v>4</v>
      </c>
      <c r="I221" s="50">
        <f>IF((B221&gt;0),('Vlookup Tables'!$B$35),"-")</f>
        <v>259</v>
      </c>
      <c r="J221" s="265" t="str">
        <f>IF(B221&gt;0,(IF(D221="2-Way",VLOOKUP($G221,'Vlookup Tables'!$C$23:$F$33,2,FALSE),VLOOKUP($G221,'Vlookup Tables'!$C$23:$F$33,3,FALSE))),"-")</f>
        <v>02034</v>
      </c>
      <c r="K221" s="276" t="str">
        <f>IF(B221&gt;0,(VLOOKUP(J221,'Valve Reference'!$A$2:$K$389,4)),"-")</f>
        <v>Standard</v>
      </c>
      <c r="L221" s="276" t="str">
        <f>IF(B221&gt;0,(VLOOKUP(J221,'Valve Reference'!$A$2:$K$389,5)),"-")</f>
        <v>BR</v>
      </c>
      <c r="M221" s="276" t="str">
        <f>IF(B221&gt;0,(VLOOKUP(J221,'Valve Reference'!$A$2:$K$389,8)),"-")</f>
        <v>Linear</v>
      </c>
      <c r="N221" s="276" t="str">
        <f>IF(B221&gt;0,(VLOOKUP(J221,'Valve Reference'!$A$2:$K$389,10)),"-")</f>
        <v>FxF</v>
      </c>
      <c r="O221" s="277" t="str">
        <f>IF(B221&gt;0,(VLOOKUP(J221,'Valve Reference'!$A$2:$K$389,11)),"-")</f>
        <v>Globe-Powermite</v>
      </c>
      <c r="P221" s="278" t="str">
        <f>IF(B221&gt;0,(VLOOKUP(I221,'Actuator Reference'!$A$2:$H$54,2)),"-")</f>
        <v>SSC81U</v>
      </c>
      <c r="Q221" s="278" t="str">
        <f>IF(B221&gt;0,(VLOOKUP(I221,'Actuator Reference'!$A$2:$H$54,5)),"-")</f>
        <v>Float</v>
      </c>
      <c r="R221" s="278" t="str">
        <f>IF(B221&gt;0,(VLOOKUP(I221,'Actuator Reference'!$A$2:$H$54,6)),"-")</f>
        <v>NSR</v>
      </c>
      <c r="S221" s="278" t="str">
        <f>IF(B221&gt;0,(VLOOKUP(I221,'Actuator Reference'!$A$2:$H$54,7)),"-")</f>
        <v>24V</v>
      </c>
      <c r="T221" s="279" t="str">
        <f>IF(B221&gt;0,(VLOOKUP(I221,'Actuator Reference'!$A$2:$H$54,8)),"-")</f>
        <v>MT-Series</v>
      </c>
      <c r="AD221" s="41"/>
      <c r="AE221" s="41"/>
      <c r="AF221" s="35">
        <v>1</v>
      </c>
      <c r="AG221" s="35" t="s">
        <v>1097</v>
      </c>
      <c r="AH221" s="38" t="str">
        <f t="shared" si="15"/>
        <v>259-02034</v>
      </c>
      <c r="AI221" s="264" t="e">
        <f t="shared" si="14"/>
        <v>#REF!</v>
      </c>
    </row>
    <row r="222" spans="1:35" ht="14.25">
      <c r="A222" s="275" t="e">
        <f>'Box Schedule'!#REF!</f>
        <v>#REF!</v>
      </c>
      <c r="B222" s="262">
        <v>3</v>
      </c>
      <c r="C222" s="229" t="str">
        <f>IF((B222&gt;0),(VLOOKUP(J222,'Valve Reference'!$A$2:$K$389,3)),"-")</f>
        <v>0.5</v>
      </c>
      <c r="D222" s="230" t="s">
        <v>577</v>
      </c>
      <c r="E222" s="231">
        <f>IF((B222&gt;0),('Vlookup Tables'!$B$37),"-")</f>
        <v>5</v>
      </c>
      <c r="F222" s="51">
        <f t="shared" si="12"/>
        <v>1.3416407864998738</v>
      </c>
      <c r="G222" s="228">
        <f>IF((B222&gt;0),(VLOOKUP($B222,'Vlookup Tables'!$B$23:$F$33,2,TRUE)),"-")</f>
        <v>1.6</v>
      </c>
      <c r="H222" s="52">
        <f t="shared" si="13"/>
        <v>3.515625</v>
      </c>
      <c r="I222" s="50">
        <f>IF((B222&gt;0),('Vlookup Tables'!$B$35),"-")</f>
        <v>259</v>
      </c>
      <c r="J222" s="265" t="str">
        <f>IF(B222&gt;0,(IF(D222="2-Way",VLOOKUP($G222,'Vlookup Tables'!$C$23:$F$33,2,FALSE),VLOOKUP($G222,'Vlookup Tables'!$C$23:$F$33,3,FALSE))),"-")</f>
        <v>02036</v>
      </c>
      <c r="K222" s="276" t="str">
        <f>IF(B222&gt;0,(VLOOKUP(J222,'Valve Reference'!$A$2:$K$389,4)),"-")</f>
        <v>Standard</v>
      </c>
      <c r="L222" s="276" t="str">
        <f>IF(B222&gt;0,(VLOOKUP(J222,'Valve Reference'!$A$2:$K$389,5)),"-")</f>
        <v>BR</v>
      </c>
      <c r="M222" s="276" t="str">
        <f>IF(B222&gt;0,(VLOOKUP(J222,'Valve Reference'!$A$2:$K$389,8)),"-")</f>
        <v>Linear</v>
      </c>
      <c r="N222" s="276" t="str">
        <f>IF(B222&gt;0,(VLOOKUP(J222,'Valve Reference'!$A$2:$K$389,10)),"-")</f>
        <v>FxF</v>
      </c>
      <c r="O222" s="277" t="str">
        <f>IF(B222&gt;0,(VLOOKUP(J222,'Valve Reference'!$A$2:$K$389,11)),"-")</f>
        <v>Globe-Powermite</v>
      </c>
      <c r="P222" s="278" t="str">
        <f>IF(B222&gt;0,(VLOOKUP(I222,'Actuator Reference'!$A$2:$H$54,2)),"-")</f>
        <v>SSC81U</v>
      </c>
      <c r="Q222" s="278" t="str">
        <f>IF(B222&gt;0,(VLOOKUP(I222,'Actuator Reference'!$A$2:$H$54,5)),"-")</f>
        <v>Float</v>
      </c>
      <c r="R222" s="278" t="str">
        <f>IF(B222&gt;0,(VLOOKUP(I222,'Actuator Reference'!$A$2:$H$54,6)),"-")</f>
        <v>NSR</v>
      </c>
      <c r="S222" s="278" t="str">
        <f>IF(B222&gt;0,(VLOOKUP(I222,'Actuator Reference'!$A$2:$H$54,7)),"-")</f>
        <v>24V</v>
      </c>
      <c r="T222" s="279" t="str">
        <f>IF(B222&gt;0,(VLOOKUP(I222,'Actuator Reference'!$A$2:$H$54,8)),"-")</f>
        <v>MT-Series</v>
      </c>
      <c r="AD222" s="41"/>
      <c r="AE222" s="41"/>
      <c r="AF222" s="35">
        <v>1</v>
      </c>
      <c r="AG222" s="35" t="s">
        <v>1097</v>
      </c>
      <c r="AH222" s="38" t="str">
        <f t="shared" si="15"/>
        <v>259-02036</v>
      </c>
      <c r="AI222" s="264" t="e">
        <f t="shared" si="14"/>
        <v>#REF!</v>
      </c>
    </row>
    <row r="223" spans="1:35" ht="14.25">
      <c r="A223" s="275" t="e">
        <f>'Box Schedule'!#REF!</f>
        <v>#REF!</v>
      </c>
      <c r="B223" s="262">
        <v>4</v>
      </c>
      <c r="C223" s="229" t="str">
        <f>IF((B223&gt;0),(VLOOKUP(J223,'Valve Reference'!$A$2:$K$389,3)),"-")</f>
        <v>0.5</v>
      </c>
      <c r="D223" s="230" t="s">
        <v>577</v>
      </c>
      <c r="E223" s="231">
        <f>IF((B223&gt;0),('Vlookup Tables'!$B$37),"-")</f>
        <v>5</v>
      </c>
      <c r="F223" s="51">
        <f t="shared" si="12"/>
        <v>1.7888543819998317</v>
      </c>
      <c r="G223" s="228">
        <f>IF((B223&gt;0),(VLOOKUP($B223,'Vlookup Tables'!$B$23:$F$33,2,TRUE)),"-")</f>
        <v>2.5</v>
      </c>
      <c r="H223" s="52">
        <f t="shared" si="13"/>
        <v>2.56</v>
      </c>
      <c r="I223" s="50">
        <f>IF((B223&gt;0),('Vlookup Tables'!$B$35),"-")</f>
        <v>259</v>
      </c>
      <c r="J223" s="265" t="str">
        <f>IF(B223&gt;0,(IF(D223="2-Way",VLOOKUP($G223,'Vlookup Tables'!$C$23:$F$33,2,FALSE),VLOOKUP($G223,'Vlookup Tables'!$C$23:$F$33,3,FALSE))),"-")</f>
        <v>02038</v>
      </c>
      <c r="K223" s="276" t="str">
        <f>IF(B223&gt;0,(VLOOKUP(J223,'Valve Reference'!$A$2:$K$389,4)),"-")</f>
        <v>Standard</v>
      </c>
      <c r="L223" s="276" t="str">
        <f>IF(B223&gt;0,(VLOOKUP(J223,'Valve Reference'!$A$2:$K$389,5)),"-")</f>
        <v>BR</v>
      </c>
      <c r="M223" s="276" t="str">
        <f>IF(B223&gt;0,(VLOOKUP(J223,'Valve Reference'!$A$2:$K$389,8)),"-")</f>
        <v>Linear</v>
      </c>
      <c r="N223" s="276" t="str">
        <f>IF(B223&gt;0,(VLOOKUP(J223,'Valve Reference'!$A$2:$K$389,10)),"-")</f>
        <v>FxF</v>
      </c>
      <c r="O223" s="277" t="str">
        <f>IF(B223&gt;0,(VLOOKUP(J223,'Valve Reference'!$A$2:$K$389,11)),"-")</f>
        <v>Globe-Powermite</v>
      </c>
      <c r="P223" s="278" t="str">
        <f>IF(B223&gt;0,(VLOOKUP(I223,'Actuator Reference'!$A$2:$H$54,2)),"-")</f>
        <v>SSC81U</v>
      </c>
      <c r="Q223" s="278" t="str">
        <f>IF(B223&gt;0,(VLOOKUP(I223,'Actuator Reference'!$A$2:$H$54,5)),"-")</f>
        <v>Float</v>
      </c>
      <c r="R223" s="278" t="str">
        <f>IF(B223&gt;0,(VLOOKUP(I223,'Actuator Reference'!$A$2:$H$54,6)),"-")</f>
        <v>NSR</v>
      </c>
      <c r="S223" s="278" t="str">
        <f>IF(B223&gt;0,(VLOOKUP(I223,'Actuator Reference'!$A$2:$H$54,7)),"-")</f>
        <v>24V</v>
      </c>
      <c r="T223" s="279" t="str">
        <f>IF(B223&gt;0,(VLOOKUP(I223,'Actuator Reference'!$A$2:$H$54,8)),"-")</f>
        <v>MT-Series</v>
      </c>
      <c r="AD223" s="41"/>
      <c r="AE223" s="41"/>
      <c r="AF223" s="35">
        <v>1</v>
      </c>
      <c r="AG223" s="35" t="s">
        <v>1097</v>
      </c>
      <c r="AH223" s="38" t="str">
        <f t="shared" si="15"/>
        <v>259-02038</v>
      </c>
      <c r="AI223" s="264" t="e">
        <f t="shared" si="14"/>
        <v>#REF!</v>
      </c>
    </row>
    <row r="224" spans="1:35" ht="14.25">
      <c r="A224" s="275" t="e">
        <f>'Box Schedule'!#REF!</f>
        <v>#REF!</v>
      </c>
      <c r="B224" s="262">
        <v>5</v>
      </c>
      <c r="C224" s="229" t="str">
        <f>IF((B224&gt;0),(VLOOKUP(J224,'Valve Reference'!$A$2:$K$389,3)),"-")</f>
        <v>0.5</v>
      </c>
      <c r="D224" s="230" t="s">
        <v>577</v>
      </c>
      <c r="E224" s="231">
        <f>IF((B224&gt;0),('Vlookup Tables'!$B$37),"-")</f>
        <v>5</v>
      </c>
      <c r="F224" s="51">
        <f t="shared" si="12"/>
        <v>2.2360679774997898</v>
      </c>
      <c r="G224" s="228">
        <f>IF((B224&gt;0),(VLOOKUP($B224,'Vlookup Tables'!$B$23:$F$33,2,TRUE)),"-")</f>
        <v>2.5</v>
      </c>
      <c r="H224" s="52">
        <f t="shared" si="13"/>
        <v>4</v>
      </c>
      <c r="I224" s="50">
        <f>IF((B224&gt;0),('Vlookup Tables'!$B$35),"-")</f>
        <v>259</v>
      </c>
      <c r="J224" s="265" t="str">
        <f>IF(B224&gt;0,(IF(D224="2-Way",VLOOKUP($G224,'Vlookup Tables'!$C$23:$F$33,2,FALSE),VLOOKUP($G224,'Vlookup Tables'!$C$23:$F$33,3,FALSE))),"-")</f>
        <v>02038</v>
      </c>
      <c r="K224" s="276" t="str">
        <f>IF(B224&gt;0,(VLOOKUP(J224,'Valve Reference'!$A$2:$K$389,4)),"-")</f>
        <v>Standard</v>
      </c>
      <c r="L224" s="276" t="str">
        <f>IF(B224&gt;0,(VLOOKUP(J224,'Valve Reference'!$A$2:$K$389,5)),"-")</f>
        <v>BR</v>
      </c>
      <c r="M224" s="276" t="str">
        <f>IF(B224&gt;0,(VLOOKUP(J224,'Valve Reference'!$A$2:$K$389,8)),"-")</f>
        <v>Linear</v>
      </c>
      <c r="N224" s="276" t="str">
        <f>IF(B224&gt;0,(VLOOKUP(J224,'Valve Reference'!$A$2:$K$389,10)),"-")</f>
        <v>FxF</v>
      </c>
      <c r="O224" s="277" t="str">
        <f>IF(B224&gt;0,(VLOOKUP(J224,'Valve Reference'!$A$2:$K$389,11)),"-")</f>
        <v>Globe-Powermite</v>
      </c>
      <c r="P224" s="278" t="str">
        <f>IF(B224&gt;0,(VLOOKUP(I224,'Actuator Reference'!$A$2:$H$54,2)),"-")</f>
        <v>SSC81U</v>
      </c>
      <c r="Q224" s="278" t="str">
        <f>IF(B224&gt;0,(VLOOKUP(I224,'Actuator Reference'!$A$2:$H$54,5)),"-")</f>
        <v>Float</v>
      </c>
      <c r="R224" s="278" t="str">
        <f>IF(B224&gt;0,(VLOOKUP(I224,'Actuator Reference'!$A$2:$H$54,6)),"-")</f>
        <v>NSR</v>
      </c>
      <c r="S224" s="278" t="str">
        <f>IF(B224&gt;0,(VLOOKUP(I224,'Actuator Reference'!$A$2:$H$54,7)),"-")</f>
        <v>24V</v>
      </c>
      <c r="T224" s="279" t="str">
        <f>IF(B224&gt;0,(VLOOKUP(I224,'Actuator Reference'!$A$2:$H$54,8)),"-")</f>
        <v>MT-Series</v>
      </c>
      <c r="AD224" s="41"/>
      <c r="AE224" s="41"/>
      <c r="AF224" s="35">
        <v>1</v>
      </c>
      <c r="AG224" s="35" t="s">
        <v>1097</v>
      </c>
      <c r="AH224" s="38" t="str">
        <f t="shared" si="15"/>
        <v>259-02038</v>
      </c>
      <c r="AI224" s="264" t="e">
        <f t="shared" si="14"/>
        <v>#REF!</v>
      </c>
    </row>
    <row r="225" spans="1:35" ht="14.25">
      <c r="A225" s="275" t="e">
        <f>'Box Schedule'!#REF!</f>
        <v>#REF!</v>
      </c>
      <c r="B225" s="262">
        <v>6</v>
      </c>
      <c r="C225" s="229" t="str">
        <f>IF((B225&gt;0),(VLOOKUP(J225,'Valve Reference'!$A$2:$K$389,3)),"-")</f>
        <v>0.5</v>
      </c>
      <c r="D225" s="230" t="s">
        <v>577</v>
      </c>
      <c r="E225" s="231">
        <f>IF((B225&gt;0),('Vlookup Tables'!$B$37),"-")</f>
        <v>5</v>
      </c>
      <c r="F225" s="51">
        <f t="shared" si="12"/>
        <v>2.6832815729997477</v>
      </c>
      <c r="G225" s="228">
        <f>IF((B225&gt;0),(VLOOKUP($B225,'Vlookup Tables'!$B$23:$F$33,2,TRUE)),"-")</f>
        <v>4</v>
      </c>
      <c r="H225" s="52">
        <f t="shared" si="13"/>
        <v>2.25</v>
      </c>
      <c r="I225" s="50">
        <f>IF((B225&gt;0),('Vlookup Tables'!$B$35),"-")</f>
        <v>259</v>
      </c>
      <c r="J225" s="265" t="str">
        <f>IF(B225&gt;0,(IF(D225="2-Way",VLOOKUP($G225,'Vlookup Tables'!$C$23:$F$33,2,FALSE),VLOOKUP($G225,'Vlookup Tables'!$C$23:$F$33,3,FALSE))),"-")</f>
        <v>02041</v>
      </c>
      <c r="K225" s="276" t="str">
        <f>IF(B225&gt;0,(VLOOKUP(J225,'Valve Reference'!$A$2:$K$389,4)),"-")</f>
        <v>Standard</v>
      </c>
      <c r="L225" s="276" t="str">
        <f>IF(B225&gt;0,(VLOOKUP(J225,'Valve Reference'!$A$2:$K$389,5)),"-")</f>
        <v>BR</v>
      </c>
      <c r="M225" s="276" t="str">
        <f>IF(B225&gt;0,(VLOOKUP(J225,'Valve Reference'!$A$2:$K$389,8)),"-")</f>
        <v>Linear</v>
      </c>
      <c r="N225" s="276" t="str">
        <f>IF(B225&gt;0,(VLOOKUP(J225,'Valve Reference'!$A$2:$K$389,10)),"-")</f>
        <v>FxF</v>
      </c>
      <c r="O225" s="277" t="str">
        <f>IF(B225&gt;0,(VLOOKUP(J225,'Valve Reference'!$A$2:$K$389,11)),"-")</f>
        <v>Globe-Powermite</v>
      </c>
      <c r="P225" s="278" t="str">
        <f>IF(B225&gt;0,(VLOOKUP(I225,'Actuator Reference'!$A$2:$H$54,2)),"-")</f>
        <v>SSC81U</v>
      </c>
      <c r="Q225" s="278" t="str">
        <f>IF(B225&gt;0,(VLOOKUP(I225,'Actuator Reference'!$A$2:$H$54,5)),"-")</f>
        <v>Float</v>
      </c>
      <c r="R225" s="278" t="str">
        <f>IF(B225&gt;0,(VLOOKUP(I225,'Actuator Reference'!$A$2:$H$54,6)),"-")</f>
        <v>NSR</v>
      </c>
      <c r="S225" s="278" t="str">
        <f>IF(B225&gt;0,(VLOOKUP(I225,'Actuator Reference'!$A$2:$H$54,7)),"-")</f>
        <v>24V</v>
      </c>
      <c r="T225" s="279" t="str">
        <f>IF(B225&gt;0,(VLOOKUP(I225,'Actuator Reference'!$A$2:$H$54,8)),"-")</f>
        <v>MT-Series</v>
      </c>
      <c r="AD225" s="41"/>
      <c r="AE225" s="41"/>
      <c r="AF225" s="35">
        <v>1</v>
      </c>
      <c r="AG225" s="35" t="s">
        <v>1097</v>
      </c>
      <c r="AH225" s="38" t="str">
        <f t="shared" si="15"/>
        <v>259-02041</v>
      </c>
      <c r="AI225" s="264" t="e">
        <f t="shared" si="14"/>
        <v>#REF!</v>
      </c>
    </row>
    <row r="226" spans="1:35" ht="14.25">
      <c r="A226" s="275" t="e">
        <f>'Box Schedule'!#REF!</f>
        <v>#REF!</v>
      </c>
      <c r="B226" s="262">
        <v>7</v>
      </c>
      <c r="C226" s="229" t="str">
        <f>IF((B226&gt;0),(VLOOKUP(J226,'Valve Reference'!$A$2:$K$389,3)),"-")</f>
        <v>0.5</v>
      </c>
      <c r="D226" s="230" t="s">
        <v>577</v>
      </c>
      <c r="E226" s="231">
        <f>IF((B226&gt;0),('Vlookup Tables'!$B$37),"-")</f>
        <v>5</v>
      </c>
      <c r="F226" s="51">
        <f t="shared" si="12"/>
        <v>3.1304951684997055</v>
      </c>
      <c r="G226" s="228">
        <f>IF((B226&gt;0),(VLOOKUP($B226,'Vlookup Tables'!$B$23:$F$33,2,TRUE)),"-")</f>
        <v>4</v>
      </c>
      <c r="H226" s="52">
        <f t="shared" si="13"/>
        <v>3.0625000000000004</v>
      </c>
      <c r="I226" s="50">
        <f>IF((B226&gt;0),('Vlookup Tables'!$B$35),"-")</f>
        <v>259</v>
      </c>
      <c r="J226" s="265" t="str">
        <f>IF(B226&gt;0,(IF(D226="2-Way",VLOOKUP($G226,'Vlookup Tables'!$C$23:$F$33,2,FALSE),VLOOKUP($G226,'Vlookup Tables'!$C$23:$F$33,3,FALSE))),"-")</f>
        <v>02041</v>
      </c>
      <c r="K226" s="276" t="str">
        <f>IF(B226&gt;0,(VLOOKUP(J226,'Valve Reference'!$A$2:$K$389,4)),"-")</f>
        <v>Standard</v>
      </c>
      <c r="L226" s="276" t="str">
        <f>IF(B226&gt;0,(VLOOKUP(J226,'Valve Reference'!$A$2:$K$389,5)),"-")</f>
        <v>BR</v>
      </c>
      <c r="M226" s="276" t="str">
        <f>IF(B226&gt;0,(VLOOKUP(J226,'Valve Reference'!$A$2:$K$389,8)),"-")</f>
        <v>Linear</v>
      </c>
      <c r="N226" s="276" t="str">
        <f>IF(B226&gt;0,(VLOOKUP(J226,'Valve Reference'!$A$2:$K$389,10)),"-")</f>
        <v>FxF</v>
      </c>
      <c r="O226" s="277" t="str">
        <f>IF(B226&gt;0,(VLOOKUP(J226,'Valve Reference'!$A$2:$K$389,11)),"-")</f>
        <v>Globe-Powermite</v>
      </c>
      <c r="P226" s="278" t="str">
        <f>IF(B226&gt;0,(VLOOKUP(I226,'Actuator Reference'!$A$2:$H$54,2)),"-")</f>
        <v>SSC81U</v>
      </c>
      <c r="Q226" s="278" t="str">
        <f>IF(B226&gt;0,(VLOOKUP(I226,'Actuator Reference'!$A$2:$H$54,5)),"-")</f>
        <v>Float</v>
      </c>
      <c r="R226" s="278" t="str">
        <f>IF(B226&gt;0,(VLOOKUP(I226,'Actuator Reference'!$A$2:$H$54,6)),"-")</f>
        <v>NSR</v>
      </c>
      <c r="S226" s="278" t="str">
        <f>IF(B226&gt;0,(VLOOKUP(I226,'Actuator Reference'!$A$2:$H$54,7)),"-")</f>
        <v>24V</v>
      </c>
      <c r="T226" s="279" t="str">
        <f>IF(B226&gt;0,(VLOOKUP(I226,'Actuator Reference'!$A$2:$H$54,8)),"-")</f>
        <v>MT-Series</v>
      </c>
      <c r="AD226" s="41"/>
      <c r="AE226" s="41"/>
      <c r="AF226" s="35">
        <v>1</v>
      </c>
      <c r="AG226" s="35" t="s">
        <v>1097</v>
      </c>
      <c r="AH226" s="38" t="str">
        <f t="shared" si="15"/>
        <v>259-02041</v>
      </c>
      <c r="AI226" s="264" t="e">
        <f t="shared" si="14"/>
        <v>#REF!</v>
      </c>
    </row>
    <row r="227" spans="1:35" ht="14.25">
      <c r="A227" s="275" t="e">
        <f>'Box Schedule'!#REF!</f>
        <v>#REF!</v>
      </c>
      <c r="B227" s="262">
        <v>8</v>
      </c>
      <c r="C227" s="229" t="str">
        <f>IF((B227&gt;0),(VLOOKUP(J227,'Valve Reference'!$A$2:$K$389,3)),"-")</f>
        <v>0.5</v>
      </c>
      <c r="D227" s="230" t="s">
        <v>577</v>
      </c>
      <c r="E227" s="231">
        <f>IF((B227&gt;0),('Vlookup Tables'!$B$37),"-")</f>
        <v>5</v>
      </c>
      <c r="F227" s="51">
        <f t="shared" si="12"/>
        <v>3.5777087639996634</v>
      </c>
      <c r="G227" s="228">
        <f>IF((B227&gt;0),(VLOOKUP($B227,'Vlookup Tables'!$B$23:$F$33,2,TRUE)),"-")</f>
        <v>4</v>
      </c>
      <c r="H227" s="52">
        <f t="shared" si="13"/>
        <v>4</v>
      </c>
      <c r="I227" s="50">
        <f>IF((B227&gt;0),('Vlookup Tables'!$B$35),"-")</f>
        <v>259</v>
      </c>
      <c r="J227" s="265" t="str">
        <f>IF(B227&gt;0,(IF(D227="2-Way",VLOOKUP($G227,'Vlookup Tables'!$C$23:$F$33,2,FALSE),VLOOKUP($G227,'Vlookup Tables'!$C$23:$F$33,3,FALSE))),"-")</f>
        <v>02041</v>
      </c>
      <c r="K227" s="276" t="str">
        <f>IF(B227&gt;0,(VLOOKUP(J227,'Valve Reference'!$A$2:$K$389,4)),"-")</f>
        <v>Standard</v>
      </c>
      <c r="L227" s="276" t="str">
        <f>IF(B227&gt;0,(VLOOKUP(J227,'Valve Reference'!$A$2:$K$389,5)),"-")</f>
        <v>BR</v>
      </c>
      <c r="M227" s="276" t="str">
        <f>IF(B227&gt;0,(VLOOKUP(J227,'Valve Reference'!$A$2:$K$389,8)),"-")</f>
        <v>Linear</v>
      </c>
      <c r="N227" s="276" t="str">
        <f>IF(B227&gt;0,(VLOOKUP(J227,'Valve Reference'!$A$2:$K$389,10)),"-")</f>
        <v>FxF</v>
      </c>
      <c r="O227" s="277" t="str">
        <f>IF(B227&gt;0,(VLOOKUP(J227,'Valve Reference'!$A$2:$K$389,11)),"-")</f>
        <v>Globe-Powermite</v>
      </c>
      <c r="P227" s="278" t="str">
        <f>IF(B227&gt;0,(VLOOKUP(I227,'Actuator Reference'!$A$2:$H$54,2)),"-")</f>
        <v>SSC81U</v>
      </c>
      <c r="Q227" s="278" t="str">
        <f>IF(B227&gt;0,(VLOOKUP(I227,'Actuator Reference'!$A$2:$H$54,5)),"-")</f>
        <v>Float</v>
      </c>
      <c r="R227" s="278" t="str">
        <f>IF(B227&gt;0,(VLOOKUP(I227,'Actuator Reference'!$A$2:$H$54,6)),"-")</f>
        <v>NSR</v>
      </c>
      <c r="S227" s="278" t="str">
        <f>IF(B227&gt;0,(VLOOKUP(I227,'Actuator Reference'!$A$2:$H$54,7)),"-")</f>
        <v>24V</v>
      </c>
      <c r="T227" s="279" t="str">
        <f>IF(B227&gt;0,(VLOOKUP(I227,'Actuator Reference'!$A$2:$H$54,8)),"-")</f>
        <v>MT-Series</v>
      </c>
      <c r="AD227" s="41"/>
      <c r="AE227" s="41"/>
      <c r="AF227" s="35">
        <v>1</v>
      </c>
      <c r="AG227" s="35" t="s">
        <v>1097</v>
      </c>
      <c r="AH227" s="38" t="str">
        <f t="shared" si="15"/>
        <v>259-02041</v>
      </c>
      <c r="AI227" s="264" t="e">
        <f t="shared" si="14"/>
        <v>#REF!</v>
      </c>
    </row>
    <row r="228" spans="1:35" ht="14.25">
      <c r="A228" s="275" t="e">
        <f>'Box Schedule'!#REF!</f>
        <v>#REF!</v>
      </c>
      <c r="B228" s="262">
        <v>9</v>
      </c>
      <c r="C228" s="229" t="str">
        <f>IF((B228&gt;0),(VLOOKUP(J228,'Valve Reference'!$A$2:$K$389,3)),"-")</f>
        <v>0.75</v>
      </c>
      <c r="D228" s="230" t="s">
        <v>577</v>
      </c>
      <c r="E228" s="231">
        <f>IF((B228&gt;0),('Vlookup Tables'!$B$37),"-")</f>
        <v>5</v>
      </c>
      <c r="F228" s="51">
        <f t="shared" si="12"/>
        <v>4.0249223594996213</v>
      </c>
      <c r="G228" s="228">
        <f>IF((B228&gt;0),(VLOOKUP($B228,'Vlookup Tables'!$B$23:$F$33,2,TRUE)),"-")</f>
        <v>6.3</v>
      </c>
      <c r="H228" s="52">
        <f t="shared" si="13"/>
        <v>2.0408163265306127</v>
      </c>
      <c r="I228" s="50">
        <f>IF((B228&gt;0),('Vlookup Tables'!$B$35),"-")</f>
        <v>259</v>
      </c>
      <c r="J228" s="265" t="str">
        <f>IF(B228&gt;0,(IF(D228="2-Way",VLOOKUP($G228,'Vlookup Tables'!$C$23:$F$33,2,FALSE),VLOOKUP($G228,'Vlookup Tables'!$C$23:$F$33,3,FALSE))),"-")</f>
        <v>02044</v>
      </c>
      <c r="K228" s="276" t="str">
        <f>IF(B228&gt;0,(VLOOKUP(J228,'Valve Reference'!$A$2:$K$389,4)),"-")</f>
        <v>Standard</v>
      </c>
      <c r="L228" s="276" t="str">
        <f>IF(B228&gt;0,(VLOOKUP(J228,'Valve Reference'!$A$2:$K$389,5)),"-")</f>
        <v>BR</v>
      </c>
      <c r="M228" s="276" t="str">
        <f>IF(B228&gt;0,(VLOOKUP(J228,'Valve Reference'!$A$2:$K$389,8)),"-")</f>
        <v>Linear</v>
      </c>
      <c r="N228" s="276" t="str">
        <f>IF(B228&gt;0,(VLOOKUP(J228,'Valve Reference'!$A$2:$K$389,10)),"-")</f>
        <v>FxF</v>
      </c>
      <c r="O228" s="277" t="str">
        <f>IF(B228&gt;0,(VLOOKUP(J228,'Valve Reference'!$A$2:$K$389,11)),"-")</f>
        <v>Globe-Powermite</v>
      </c>
      <c r="P228" s="278" t="str">
        <f>IF(B228&gt;0,(VLOOKUP(I228,'Actuator Reference'!$A$2:$H$54,2)),"-")</f>
        <v>SSC81U</v>
      </c>
      <c r="Q228" s="278" t="str">
        <f>IF(B228&gt;0,(VLOOKUP(I228,'Actuator Reference'!$A$2:$H$54,5)),"-")</f>
        <v>Float</v>
      </c>
      <c r="R228" s="278" t="str">
        <f>IF(B228&gt;0,(VLOOKUP(I228,'Actuator Reference'!$A$2:$H$54,6)),"-")</f>
        <v>NSR</v>
      </c>
      <c r="S228" s="278" t="str">
        <f>IF(B228&gt;0,(VLOOKUP(I228,'Actuator Reference'!$A$2:$H$54,7)),"-")</f>
        <v>24V</v>
      </c>
      <c r="T228" s="279" t="str">
        <f>IF(B228&gt;0,(VLOOKUP(I228,'Actuator Reference'!$A$2:$H$54,8)),"-")</f>
        <v>MT-Series</v>
      </c>
      <c r="AD228" s="41"/>
      <c r="AE228" s="41"/>
      <c r="AF228" s="35">
        <v>1</v>
      </c>
      <c r="AG228" s="35" t="s">
        <v>1097</v>
      </c>
      <c r="AH228" s="38" t="str">
        <f t="shared" si="15"/>
        <v>259-02044</v>
      </c>
      <c r="AI228" s="264" t="e">
        <f t="shared" si="14"/>
        <v>#REF!</v>
      </c>
    </row>
    <row r="229" spans="1:35" ht="14.25">
      <c r="A229" s="275" t="e">
        <f>'Box Schedule'!#REF!</f>
        <v>#REF!</v>
      </c>
      <c r="B229" s="262">
        <v>1</v>
      </c>
      <c r="C229" s="229" t="str">
        <f>IF((B229&gt;0),(VLOOKUP(J229,'Valve Reference'!$A$2:$K$389,3)),"-")</f>
        <v>0.5</v>
      </c>
      <c r="D229" s="230" t="s">
        <v>577</v>
      </c>
      <c r="E229" s="231">
        <f>IF((B229&gt;0),('Vlookup Tables'!$B$37),"-")</f>
        <v>5</v>
      </c>
      <c r="F229" s="51">
        <f t="shared" si="12"/>
        <v>0.44721359549995793</v>
      </c>
      <c r="G229" s="228">
        <f>IF((B229&gt;0),(VLOOKUP($B229,'Vlookup Tables'!$B$23:$F$33,2,TRUE)),"-")</f>
        <v>0.63</v>
      </c>
      <c r="H229" s="52">
        <f t="shared" si="13"/>
        <v>2.5195263290501382</v>
      </c>
      <c r="I229" s="50">
        <f>IF((B229&gt;0),('Vlookup Tables'!$B$35),"-")</f>
        <v>259</v>
      </c>
      <c r="J229" s="265" t="str">
        <f>IF(B229&gt;0,(IF(D229="2-Way",VLOOKUP($G229,'Vlookup Tables'!$C$23:$F$33,2,FALSE),VLOOKUP($G229,'Vlookup Tables'!$C$23:$F$33,3,FALSE))),"-")</f>
        <v>02032</v>
      </c>
      <c r="K229" s="276" t="str">
        <f>IF(B229&gt;0,(VLOOKUP(J229,'Valve Reference'!$A$2:$K$389,4)),"-")</f>
        <v>Standard</v>
      </c>
      <c r="L229" s="276" t="str">
        <f>IF(B229&gt;0,(VLOOKUP(J229,'Valve Reference'!$A$2:$K$389,5)),"-")</f>
        <v>BR</v>
      </c>
      <c r="M229" s="276" t="str">
        <f>IF(B229&gt;0,(VLOOKUP(J229,'Valve Reference'!$A$2:$K$389,8)),"-")</f>
        <v>Linear</v>
      </c>
      <c r="N229" s="276" t="str">
        <f>IF(B229&gt;0,(VLOOKUP(J229,'Valve Reference'!$A$2:$K$389,10)),"-")</f>
        <v>FxF</v>
      </c>
      <c r="O229" s="277" t="str">
        <f>IF(B229&gt;0,(VLOOKUP(J229,'Valve Reference'!$A$2:$K$389,11)),"-")</f>
        <v>Globe-Powermite</v>
      </c>
      <c r="P229" s="278" t="str">
        <f>IF(B229&gt;0,(VLOOKUP(I229,'Actuator Reference'!$A$2:$H$54,2)),"-")</f>
        <v>SSC81U</v>
      </c>
      <c r="Q229" s="278" t="str">
        <f>IF(B229&gt;0,(VLOOKUP(I229,'Actuator Reference'!$A$2:$H$54,5)),"-")</f>
        <v>Float</v>
      </c>
      <c r="R229" s="278" t="str">
        <f>IF(B229&gt;0,(VLOOKUP(I229,'Actuator Reference'!$A$2:$H$54,6)),"-")</f>
        <v>NSR</v>
      </c>
      <c r="S229" s="278" t="str">
        <f>IF(B229&gt;0,(VLOOKUP(I229,'Actuator Reference'!$A$2:$H$54,7)),"-")</f>
        <v>24V</v>
      </c>
      <c r="T229" s="279" t="str">
        <f>IF(B229&gt;0,(VLOOKUP(I229,'Actuator Reference'!$A$2:$H$54,8)),"-")</f>
        <v>MT-Series</v>
      </c>
      <c r="AD229" s="41"/>
      <c r="AE229" s="41"/>
      <c r="AF229" s="35">
        <v>1</v>
      </c>
      <c r="AG229" s="35" t="s">
        <v>1097</v>
      </c>
      <c r="AH229" s="38" t="str">
        <f t="shared" si="15"/>
        <v>259-02032</v>
      </c>
      <c r="AI229" s="264" t="e">
        <f t="shared" si="14"/>
        <v>#REF!</v>
      </c>
    </row>
    <row r="230" spans="1:35" ht="14.25">
      <c r="A230" s="275" t="e">
        <f>'Box Schedule'!#REF!</f>
        <v>#REF!</v>
      </c>
      <c r="B230" s="262">
        <v>2</v>
      </c>
      <c r="C230" s="229" t="str">
        <f>IF((B230&gt;0),(VLOOKUP(J230,'Valve Reference'!$A$2:$K$389,3)),"-")</f>
        <v>0.5</v>
      </c>
      <c r="D230" s="230" t="s">
        <v>577</v>
      </c>
      <c r="E230" s="231">
        <f>IF((B230&gt;0),('Vlookup Tables'!$B$37),"-")</f>
        <v>5</v>
      </c>
      <c r="F230" s="51">
        <f t="shared" si="12"/>
        <v>0.89442719099991586</v>
      </c>
      <c r="G230" s="228">
        <f>IF((B230&gt;0),(VLOOKUP($B230,'Vlookup Tables'!$B$23:$F$33,2,TRUE)),"-")</f>
        <v>1</v>
      </c>
      <c r="H230" s="52">
        <f t="shared" si="13"/>
        <v>4</v>
      </c>
      <c r="I230" s="50">
        <f>IF((B230&gt;0),('Vlookup Tables'!$B$35),"-")</f>
        <v>259</v>
      </c>
      <c r="J230" s="265" t="str">
        <f>IF(B230&gt;0,(IF(D230="2-Way",VLOOKUP($G230,'Vlookup Tables'!$C$23:$F$33,2,FALSE),VLOOKUP($G230,'Vlookup Tables'!$C$23:$F$33,3,FALSE))),"-")</f>
        <v>02034</v>
      </c>
      <c r="K230" s="276" t="str">
        <f>IF(B230&gt;0,(VLOOKUP(J230,'Valve Reference'!$A$2:$K$389,4)),"-")</f>
        <v>Standard</v>
      </c>
      <c r="L230" s="276" t="str">
        <f>IF(B230&gt;0,(VLOOKUP(J230,'Valve Reference'!$A$2:$K$389,5)),"-")</f>
        <v>BR</v>
      </c>
      <c r="M230" s="276" t="str">
        <f>IF(B230&gt;0,(VLOOKUP(J230,'Valve Reference'!$A$2:$K$389,8)),"-")</f>
        <v>Linear</v>
      </c>
      <c r="N230" s="276" t="str">
        <f>IF(B230&gt;0,(VLOOKUP(J230,'Valve Reference'!$A$2:$K$389,10)),"-")</f>
        <v>FxF</v>
      </c>
      <c r="O230" s="277" t="str">
        <f>IF(B230&gt;0,(VLOOKUP(J230,'Valve Reference'!$A$2:$K$389,11)),"-")</f>
        <v>Globe-Powermite</v>
      </c>
      <c r="P230" s="278" t="str">
        <f>IF(B230&gt;0,(VLOOKUP(I230,'Actuator Reference'!$A$2:$H$54,2)),"-")</f>
        <v>SSC81U</v>
      </c>
      <c r="Q230" s="278" t="str">
        <f>IF(B230&gt;0,(VLOOKUP(I230,'Actuator Reference'!$A$2:$H$54,5)),"-")</f>
        <v>Float</v>
      </c>
      <c r="R230" s="278" t="str">
        <f>IF(B230&gt;0,(VLOOKUP(I230,'Actuator Reference'!$A$2:$H$54,6)),"-")</f>
        <v>NSR</v>
      </c>
      <c r="S230" s="278" t="str">
        <f>IF(B230&gt;0,(VLOOKUP(I230,'Actuator Reference'!$A$2:$H$54,7)),"-")</f>
        <v>24V</v>
      </c>
      <c r="T230" s="279" t="str">
        <f>IF(B230&gt;0,(VLOOKUP(I230,'Actuator Reference'!$A$2:$H$54,8)),"-")</f>
        <v>MT-Series</v>
      </c>
      <c r="AD230" s="41"/>
      <c r="AE230" s="41"/>
      <c r="AF230" s="35">
        <v>1</v>
      </c>
      <c r="AG230" s="35" t="s">
        <v>1097</v>
      </c>
      <c r="AH230" s="38" t="str">
        <f t="shared" si="15"/>
        <v>259-02034</v>
      </c>
      <c r="AI230" s="264" t="e">
        <f t="shared" si="14"/>
        <v>#REF!</v>
      </c>
    </row>
    <row r="231" spans="1:35" ht="14.25">
      <c r="A231" s="275" t="e">
        <f>'Box Schedule'!#REF!</f>
        <v>#REF!</v>
      </c>
      <c r="B231" s="262">
        <v>3</v>
      </c>
      <c r="C231" s="229" t="str">
        <f>IF((B231&gt;0),(VLOOKUP(J231,'Valve Reference'!$A$2:$K$389,3)),"-")</f>
        <v>0.5</v>
      </c>
      <c r="D231" s="230" t="s">
        <v>577</v>
      </c>
      <c r="E231" s="231">
        <f>IF((B231&gt;0),('Vlookup Tables'!$B$37),"-")</f>
        <v>5</v>
      </c>
      <c r="F231" s="51">
        <f t="shared" si="12"/>
        <v>1.3416407864998738</v>
      </c>
      <c r="G231" s="228">
        <f>IF((B231&gt;0),(VLOOKUP($B231,'Vlookup Tables'!$B$23:$F$33,2,TRUE)),"-")</f>
        <v>1.6</v>
      </c>
      <c r="H231" s="52">
        <f t="shared" si="13"/>
        <v>3.515625</v>
      </c>
      <c r="I231" s="50">
        <f>IF((B231&gt;0),('Vlookup Tables'!$B$35),"-")</f>
        <v>259</v>
      </c>
      <c r="J231" s="265" t="str">
        <f>IF(B231&gt;0,(IF(D231="2-Way",VLOOKUP($G231,'Vlookup Tables'!$C$23:$F$33,2,FALSE),VLOOKUP($G231,'Vlookup Tables'!$C$23:$F$33,3,FALSE))),"-")</f>
        <v>02036</v>
      </c>
      <c r="K231" s="276" t="str">
        <f>IF(B231&gt;0,(VLOOKUP(J231,'Valve Reference'!$A$2:$K$389,4)),"-")</f>
        <v>Standard</v>
      </c>
      <c r="L231" s="276" t="str">
        <f>IF(B231&gt;0,(VLOOKUP(J231,'Valve Reference'!$A$2:$K$389,5)),"-")</f>
        <v>BR</v>
      </c>
      <c r="M231" s="276" t="str">
        <f>IF(B231&gt;0,(VLOOKUP(J231,'Valve Reference'!$A$2:$K$389,8)),"-")</f>
        <v>Linear</v>
      </c>
      <c r="N231" s="276" t="str">
        <f>IF(B231&gt;0,(VLOOKUP(J231,'Valve Reference'!$A$2:$K$389,10)),"-")</f>
        <v>FxF</v>
      </c>
      <c r="O231" s="277" t="str">
        <f>IF(B231&gt;0,(VLOOKUP(J231,'Valve Reference'!$A$2:$K$389,11)),"-")</f>
        <v>Globe-Powermite</v>
      </c>
      <c r="P231" s="278" t="str">
        <f>IF(B231&gt;0,(VLOOKUP(I231,'Actuator Reference'!$A$2:$H$54,2)),"-")</f>
        <v>SSC81U</v>
      </c>
      <c r="Q231" s="278" t="str">
        <f>IF(B231&gt;0,(VLOOKUP(I231,'Actuator Reference'!$A$2:$H$54,5)),"-")</f>
        <v>Float</v>
      </c>
      <c r="R231" s="278" t="str">
        <f>IF(B231&gt;0,(VLOOKUP(I231,'Actuator Reference'!$A$2:$H$54,6)),"-")</f>
        <v>NSR</v>
      </c>
      <c r="S231" s="278" t="str">
        <f>IF(B231&gt;0,(VLOOKUP(I231,'Actuator Reference'!$A$2:$H$54,7)),"-")</f>
        <v>24V</v>
      </c>
      <c r="T231" s="279" t="str">
        <f>IF(B231&gt;0,(VLOOKUP(I231,'Actuator Reference'!$A$2:$H$54,8)),"-")</f>
        <v>MT-Series</v>
      </c>
      <c r="AD231" s="41"/>
      <c r="AE231" s="41"/>
      <c r="AF231" s="35">
        <v>1</v>
      </c>
      <c r="AG231" s="35" t="s">
        <v>1097</v>
      </c>
      <c r="AH231" s="38" t="str">
        <f t="shared" si="15"/>
        <v>259-02036</v>
      </c>
      <c r="AI231" s="264" t="e">
        <f t="shared" si="14"/>
        <v>#REF!</v>
      </c>
    </row>
    <row r="232" spans="1:35" ht="14.25">
      <c r="A232" s="275" t="e">
        <f>'Box Schedule'!#REF!</f>
        <v>#REF!</v>
      </c>
      <c r="B232" s="262">
        <v>4</v>
      </c>
      <c r="C232" s="229" t="str">
        <f>IF((B232&gt;0),(VLOOKUP(J232,'Valve Reference'!$A$2:$K$389,3)),"-")</f>
        <v>0.5</v>
      </c>
      <c r="D232" s="230" t="s">
        <v>577</v>
      </c>
      <c r="E232" s="231">
        <f>IF((B232&gt;0),('Vlookup Tables'!$B$37),"-")</f>
        <v>5</v>
      </c>
      <c r="F232" s="51">
        <f t="shared" si="12"/>
        <v>1.7888543819998317</v>
      </c>
      <c r="G232" s="228">
        <f>IF((B232&gt;0),(VLOOKUP($B232,'Vlookup Tables'!$B$23:$F$33,2,TRUE)),"-")</f>
        <v>2.5</v>
      </c>
      <c r="H232" s="52">
        <f t="shared" si="13"/>
        <v>2.56</v>
      </c>
      <c r="I232" s="50">
        <f>IF((B232&gt;0),('Vlookup Tables'!$B$35),"-")</f>
        <v>259</v>
      </c>
      <c r="J232" s="265" t="str">
        <f>IF(B232&gt;0,(IF(D232="2-Way",VLOOKUP($G232,'Vlookup Tables'!$C$23:$F$33,2,FALSE),VLOOKUP($G232,'Vlookup Tables'!$C$23:$F$33,3,FALSE))),"-")</f>
        <v>02038</v>
      </c>
      <c r="K232" s="276" t="str">
        <f>IF(B232&gt;0,(VLOOKUP(J232,'Valve Reference'!$A$2:$K$389,4)),"-")</f>
        <v>Standard</v>
      </c>
      <c r="L232" s="276" t="str">
        <f>IF(B232&gt;0,(VLOOKUP(J232,'Valve Reference'!$A$2:$K$389,5)),"-")</f>
        <v>BR</v>
      </c>
      <c r="M232" s="276" t="str">
        <f>IF(B232&gt;0,(VLOOKUP(J232,'Valve Reference'!$A$2:$K$389,8)),"-")</f>
        <v>Linear</v>
      </c>
      <c r="N232" s="276" t="str">
        <f>IF(B232&gt;0,(VLOOKUP(J232,'Valve Reference'!$A$2:$K$389,10)),"-")</f>
        <v>FxF</v>
      </c>
      <c r="O232" s="277" t="str">
        <f>IF(B232&gt;0,(VLOOKUP(J232,'Valve Reference'!$A$2:$K$389,11)),"-")</f>
        <v>Globe-Powermite</v>
      </c>
      <c r="P232" s="278" t="str">
        <f>IF(B232&gt;0,(VLOOKUP(I232,'Actuator Reference'!$A$2:$H$54,2)),"-")</f>
        <v>SSC81U</v>
      </c>
      <c r="Q232" s="278" t="str">
        <f>IF(B232&gt;0,(VLOOKUP(I232,'Actuator Reference'!$A$2:$H$54,5)),"-")</f>
        <v>Float</v>
      </c>
      <c r="R232" s="278" t="str">
        <f>IF(B232&gt;0,(VLOOKUP(I232,'Actuator Reference'!$A$2:$H$54,6)),"-")</f>
        <v>NSR</v>
      </c>
      <c r="S232" s="278" t="str">
        <f>IF(B232&gt;0,(VLOOKUP(I232,'Actuator Reference'!$A$2:$H$54,7)),"-")</f>
        <v>24V</v>
      </c>
      <c r="T232" s="279" t="str">
        <f>IF(B232&gt;0,(VLOOKUP(I232,'Actuator Reference'!$A$2:$H$54,8)),"-")</f>
        <v>MT-Series</v>
      </c>
      <c r="AD232" s="41"/>
      <c r="AE232" s="41"/>
      <c r="AF232" s="35">
        <v>1</v>
      </c>
      <c r="AG232" s="35" t="s">
        <v>1097</v>
      </c>
      <c r="AH232" s="38" t="str">
        <f t="shared" si="15"/>
        <v>259-02038</v>
      </c>
      <c r="AI232" s="264" t="e">
        <f t="shared" si="14"/>
        <v>#REF!</v>
      </c>
    </row>
    <row r="233" spans="1:35" ht="14.25">
      <c r="A233" s="275" t="e">
        <f>'Box Schedule'!#REF!</f>
        <v>#REF!</v>
      </c>
      <c r="B233" s="262">
        <v>5</v>
      </c>
      <c r="C233" s="229" t="str">
        <f>IF((B233&gt;0),(VLOOKUP(J233,'Valve Reference'!$A$2:$K$389,3)),"-")</f>
        <v>0.5</v>
      </c>
      <c r="D233" s="230" t="s">
        <v>577</v>
      </c>
      <c r="E233" s="231">
        <f>IF((B233&gt;0),('Vlookup Tables'!$B$37),"-")</f>
        <v>5</v>
      </c>
      <c r="F233" s="51">
        <f t="shared" si="12"/>
        <v>2.2360679774997898</v>
      </c>
      <c r="G233" s="228">
        <f>IF((B233&gt;0),(VLOOKUP($B233,'Vlookup Tables'!$B$23:$F$33,2,TRUE)),"-")</f>
        <v>2.5</v>
      </c>
      <c r="H233" s="52">
        <f t="shared" si="13"/>
        <v>4</v>
      </c>
      <c r="I233" s="50">
        <f>IF((B233&gt;0),('Vlookup Tables'!$B$35),"-")</f>
        <v>259</v>
      </c>
      <c r="J233" s="265" t="str">
        <f>IF(B233&gt;0,(IF(D233="2-Way",VLOOKUP($G233,'Vlookup Tables'!$C$23:$F$33,2,FALSE),VLOOKUP($G233,'Vlookup Tables'!$C$23:$F$33,3,FALSE))),"-")</f>
        <v>02038</v>
      </c>
      <c r="K233" s="276" t="str">
        <f>IF(B233&gt;0,(VLOOKUP(J233,'Valve Reference'!$A$2:$K$389,4)),"-")</f>
        <v>Standard</v>
      </c>
      <c r="L233" s="276" t="str">
        <f>IF(B233&gt;0,(VLOOKUP(J233,'Valve Reference'!$A$2:$K$389,5)),"-")</f>
        <v>BR</v>
      </c>
      <c r="M233" s="276" t="str">
        <f>IF(B233&gt;0,(VLOOKUP(J233,'Valve Reference'!$A$2:$K$389,8)),"-")</f>
        <v>Linear</v>
      </c>
      <c r="N233" s="276" t="str">
        <f>IF(B233&gt;0,(VLOOKUP(J233,'Valve Reference'!$A$2:$K$389,10)),"-")</f>
        <v>FxF</v>
      </c>
      <c r="O233" s="277" t="str">
        <f>IF(B233&gt;0,(VLOOKUP(J233,'Valve Reference'!$A$2:$K$389,11)),"-")</f>
        <v>Globe-Powermite</v>
      </c>
      <c r="P233" s="278" t="str">
        <f>IF(B233&gt;0,(VLOOKUP(I233,'Actuator Reference'!$A$2:$H$54,2)),"-")</f>
        <v>SSC81U</v>
      </c>
      <c r="Q233" s="278" t="str">
        <f>IF(B233&gt;0,(VLOOKUP(I233,'Actuator Reference'!$A$2:$H$54,5)),"-")</f>
        <v>Float</v>
      </c>
      <c r="R233" s="278" t="str">
        <f>IF(B233&gt;0,(VLOOKUP(I233,'Actuator Reference'!$A$2:$H$54,6)),"-")</f>
        <v>NSR</v>
      </c>
      <c r="S233" s="278" t="str">
        <f>IF(B233&gt;0,(VLOOKUP(I233,'Actuator Reference'!$A$2:$H$54,7)),"-")</f>
        <v>24V</v>
      </c>
      <c r="T233" s="279" t="str">
        <f>IF(B233&gt;0,(VLOOKUP(I233,'Actuator Reference'!$A$2:$H$54,8)),"-")</f>
        <v>MT-Series</v>
      </c>
      <c r="AD233" s="41"/>
      <c r="AE233" s="41"/>
      <c r="AF233" s="35">
        <v>1</v>
      </c>
      <c r="AG233" s="35" t="s">
        <v>1097</v>
      </c>
      <c r="AH233" s="38" t="str">
        <f t="shared" si="15"/>
        <v>259-02038</v>
      </c>
      <c r="AI233" s="264" t="e">
        <f t="shared" si="14"/>
        <v>#REF!</v>
      </c>
    </row>
    <row r="234" spans="1:35" ht="14.25">
      <c r="A234" s="275" t="e">
        <f>'Box Schedule'!#REF!</f>
        <v>#REF!</v>
      </c>
      <c r="B234" s="262">
        <v>6</v>
      </c>
      <c r="C234" s="229" t="str">
        <f>IF((B234&gt;0),(VLOOKUP(J234,'Valve Reference'!$A$2:$K$389,3)),"-")</f>
        <v>0.5</v>
      </c>
      <c r="D234" s="230" t="s">
        <v>577</v>
      </c>
      <c r="E234" s="231">
        <f>IF((B234&gt;0),('Vlookup Tables'!$B$37),"-")</f>
        <v>5</v>
      </c>
      <c r="F234" s="51">
        <f t="shared" si="12"/>
        <v>2.6832815729997477</v>
      </c>
      <c r="G234" s="228">
        <f>IF((B234&gt;0),(VLOOKUP($B234,'Vlookup Tables'!$B$23:$F$33,2,TRUE)),"-")</f>
        <v>4</v>
      </c>
      <c r="H234" s="52">
        <f t="shared" si="13"/>
        <v>2.25</v>
      </c>
      <c r="I234" s="50">
        <f>IF((B234&gt;0),('Vlookup Tables'!$B$35),"-")</f>
        <v>259</v>
      </c>
      <c r="J234" s="265" t="str">
        <f>IF(B234&gt;0,(IF(D234="2-Way",VLOOKUP($G234,'Vlookup Tables'!$C$23:$F$33,2,FALSE),VLOOKUP($G234,'Vlookup Tables'!$C$23:$F$33,3,FALSE))),"-")</f>
        <v>02041</v>
      </c>
      <c r="K234" s="276" t="str">
        <f>IF(B234&gt;0,(VLOOKUP(J234,'Valve Reference'!$A$2:$K$389,4)),"-")</f>
        <v>Standard</v>
      </c>
      <c r="L234" s="276" t="str">
        <f>IF(B234&gt;0,(VLOOKUP(J234,'Valve Reference'!$A$2:$K$389,5)),"-")</f>
        <v>BR</v>
      </c>
      <c r="M234" s="276" t="str">
        <f>IF(B234&gt;0,(VLOOKUP(J234,'Valve Reference'!$A$2:$K$389,8)),"-")</f>
        <v>Linear</v>
      </c>
      <c r="N234" s="276" t="str">
        <f>IF(B234&gt;0,(VLOOKUP(J234,'Valve Reference'!$A$2:$K$389,10)),"-")</f>
        <v>FxF</v>
      </c>
      <c r="O234" s="277" t="str">
        <f>IF(B234&gt;0,(VLOOKUP(J234,'Valve Reference'!$A$2:$K$389,11)),"-")</f>
        <v>Globe-Powermite</v>
      </c>
      <c r="P234" s="278" t="str">
        <f>IF(B234&gt;0,(VLOOKUP(I234,'Actuator Reference'!$A$2:$H$54,2)),"-")</f>
        <v>SSC81U</v>
      </c>
      <c r="Q234" s="278" t="str">
        <f>IF(B234&gt;0,(VLOOKUP(I234,'Actuator Reference'!$A$2:$H$54,5)),"-")</f>
        <v>Float</v>
      </c>
      <c r="R234" s="278" t="str">
        <f>IF(B234&gt;0,(VLOOKUP(I234,'Actuator Reference'!$A$2:$H$54,6)),"-")</f>
        <v>NSR</v>
      </c>
      <c r="S234" s="278" t="str">
        <f>IF(B234&gt;0,(VLOOKUP(I234,'Actuator Reference'!$A$2:$H$54,7)),"-")</f>
        <v>24V</v>
      </c>
      <c r="T234" s="279" t="str">
        <f>IF(B234&gt;0,(VLOOKUP(I234,'Actuator Reference'!$A$2:$H$54,8)),"-")</f>
        <v>MT-Series</v>
      </c>
      <c r="AD234" s="41"/>
      <c r="AE234" s="41"/>
      <c r="AF234" s="35">
        <v>1</v>
      </c>
      <c r="AG234" s="35" t="s">
        <v>1097</v>
      </c>
      <c r="AH234" s="38" t="str">
        <f t="shared" si="15"/>
        <v>259-02041</v>
      </c>
      <c r="AI234" s="264" t="e">
        <f t="shared" si="14"/>
        <v>#REF!</v>
      </c>
    </row>
    <row r="235" spans="1:35" ht="14.25">
      <c r="A235" s="275" t="e">
        <f>'Box Schedule'!#REF!</f>
        <v>#REF!</v>
      </c>
      <c r="B235" s="262">
        <v>7</v>
      </c>
      <c r="C235" s="229" t="str">
        <f>IF((B235&gt;0),(VLOOKUP(J235,'Valve Reference'!$A$2:$K$389,3)),"-")</f>
        <v>0.5</v>
      </c>
      <c r="D235" s="230" t="s">
        <v>577</v>
      </c>
      <c r="E235" s="231">
        <f>IF((B235&gt;0),('Vlookup Tables'!$B$37),"-")</f>
        <v>5</v>
      </c>
      <c r="F235" s="51">
        <f t="shared" si="12"/>
        <v>3.1304951684997055</v>
      </c>
      <c r="G235" s="228">
        <f>IF((B235&gt;0),(VLOOKUP($B235,'Vlookup Tables'!$B$23:$F$33,2,TRUE)),"-")</f>
        <v>4</v>
      </c>
      <c r="H235" s="52">
        <f t="shared" si="13"/>
        <v>3.0625000000000004</v>
      </c>
      <c r="I235" s="50">
        <f>IF((B235&gt;0),('Vlookup Tables'!$B$35),"-")</f>
        <v>259</v>
      </c>
      <c r="J235" s="265" t="str">
        <f>IF(B235&gt;0,(IF(D235="2-Way",VLOOKUP($G235,'Vlookup Tables'!$C$23:$F$33,2,FALSE),VLOOKUP($G235,'Vlookup Tables'!$C$23:$F$33,3,FALSE))),"-")</f>
        <v>02041</v>
      </c>
      <c r="K235" s="276" t="str">
        <f>IF(B235&gt;0,(VLOOKUP(J235,'Valve Reference'!$A$2:$K$389,4)),"-")</f>
        <v>Standard</v>
      </c>
      <c r="L235" s="276" t="str">
        <f>IF(B235&gt;0,(VLOOKUP(J235,'Valve Reference'!$A$2:$K$389,5)),"-")</f>
        <v>BR</v>
      </c>
      <c r="M235" s="276" t="str">
        <f>IF(B235&gt;0,(VLOOKUP(J235,'Valve Reference'!$A$2:$K$389,8)),"-")</f>
        <v>Linear</v>
      </c>
      <c r="N235" s="276" t="str">
        <f>IF(B235&gt;0,(VLOOKUP(J235,'Valve Reference'!$A$2:$K$389,10)),"-")</f>
        <v>FxF</v>
      </c>
      <c r="O235" s="277" t="str">
        <f>IF(B235&gt;0,(VLOOKUP(J235,'Valve Reference'!$A$2:$K$389,11)),"-")</f>
        <v>Globe-Powermite</v>
      </c>
      <c r="P235" s="278" t="str">
        <f>IF(B235&gt;0,(VLOOKUP(I235,'Actuator Reference'!$A$2:$H$54,2)),"-")</f>
        <v>SSC81U</v>
      </c>
      <c r="Q235" s="278" t="str">
        <f>IF(B235&gt;0,(VLOOKUP(I235,'Actuator Reference'!$A$2:$H$54,5)),"-")</f>
        <v>Float</v>
      </c>
      <c r="R235" s="278" t="str">
        <f>IF(B235&gt;0,(VLOOKUP(I235,'Actuator Reference'!$A$2:$H$54,6)),"-")</f>
        <v>NSR</v>
      </c>
      <c r="S235" s="278" t="str">
        <f>IF(B235&gt;0,(VLOOKUP(I235,'Actuator Reference'!$A$2:$H$54,7)),"-")</f>
        <v>24V</v>
      </c>
      <c r="T235" s="279" t="str">
        <f>IF(B235&gt;0,(VLOOKUP(I235,'Actuator Reference'!$A$2:$H$54,8)),"-")</f>
        <v>MT-Series</v>
      </c>
      <c r="AD235" s="41"/>
      <c r="AE235" s="41"/>
      <c r="AF235" s="35">
        <v>1</v>
      </c>
      <c r="AG235" s="35" t="s">
        <v>1097</v>
      </c>
      <c r="AH235" s="38" t="str">
        <f t="shared" si="15"/>
        <v>259-02041</v>
      </c>
      <c r="AI235" s="264" t="e">
        <f t="shared" si="14"/>
        <v>#REF!</v>
      </c>
    </row>
    <row r="236" spans="1:35" ht="14.25">
      <c r="A236" s="275" t="e">
        <f>'Box Schedule'!#REF!</f>
        <v>#REF!</v>
      </c>
      <c r="B236" s="262">
        <v>8</v>
      </c>
      <c r="C236" s="229" t="str">
        <f>IF((B236&gt;0),(VLOOKUP(J236,'Valve Reference'!$A$2:$K$389,3)),"-")</f>
        <v>0.5</v>
      </c>
      <c r="D236" s="230" t="s">
        <v>577</v>
      </c>
      <c r="E236" s="231">
        <f>IF((B236&gt;0),('Vlookup Tables'!$B$37),"-")</f>
        <v>5</v>
      </c>
      <c r="F236" s="51">
        <f t="shared" si="12"/>
        <v>3.5777087639996634</v>
      </c>
      <c r="G236" s="228">
        <f>IF((B236&gt;0),(VLOOKUP($B236,'Vlookup Tables'!$B$23:$F$33,2,TRUE)),"-")</f>
        <v>4</v>
      </c>
      <c r="H236" s="52">
        <f t="shared" si="13"/>
        <v>4</v>
      </c>
      <c r="I236" s="50">
        <f>IF((B236&gt;0),('Vlookup Tables'!$B$35),"-")</f>
        <v>259</v>
      </c>
      <c r="J236" s="265" t="str">
        <f>IF(B236&gt;0,(IF(D236="2-Way",VLOOKUP($G236,'Vlookup Tables'!$C$23:$F$33,2,FALSE),VLOOKUP($G236,'Vlookup Tables'!$C$23:$F$33,3,FALSE))),"-")</f>
        <v>02041</v>
      </c>
      <c r="K236" s="276" t="str">
        <f>IF(B236&gt;0,(VLOOKUP(J236,'Valve Reference'!$A$2:$K$389,4)),"-")</f>
        <v>Standard</v>
      </c>
      <c r="L236" s="276" t="str">
        <f>IF(B236&gt;0,(VLOOKUP(J236,'Valve Reference'!$A$2:$K$389,5)),"-")</f>
        <v>BR</v>
      </c>
      <c r="M236" s="276" t="str">
        <f>IF(B236&gt;0,(VLOOKUP(J236,'Valve Reference'!$A$2:$K$389,8)),"-")</f>
        <v>Linear</v>
      </c>
      <c r="N236" s="276" t="str">
        <f>IF(B236&gt;0,(VLOOKUP(J236,'Valve Reference'!$A$2:$K$389,10)),"-")</f>
        <v>FxF</v>
      </c>
      <c r="O236" s="277" t="str">
        <f>IF(B236&gt;0,(VLOOKUP(J236,'Valve Reference'!$A$2:$K$389,11)),"-")</f>
        <v>Globe-Powermite</v>
      </c>
      <c r="P236" s="278" t="str">
        <f>IF(B236&gt;0,(VLOOKUP(I236,'Actuator Reference'!$A$2:$H$54,2)),"-")</f>
        <v>SSC81U</v>
      </c>
      <c r="Q236" s="278" t="str">
        <f>IF(B236&gt;0,(VLOOKUP(I236,'Actuator Reference'!$A$2:$H$54,5)),"-")</f>
        <v>Float</v>
      </c>
      <c r="R236" s="278" t="str">
        <f>IF(B236&gt;0,(VLOOKUP(I236,'Actuator Reference'!$A$2:$H$54,6)),"-")</f>
        <v>NSR</v>
      </c>
      <c r="S236" s="278" t="str">
        <f>IF(B236&gt;0,(VLOOKUP(I236,'Actuator Reference'!$A$2:$H$54,7)),"-")</f>
        <v>24V</v>
      </c>
      <c r="T236" s="279" t="str">
        <f>IF(B236&gt;0,(VLOOKUP(I236,'Actuator Reference'!$A$2:$H$54,8)),"-")</f>
        <v>MT-Series</v>
      </c>
      <c r="AD236" s="41"/>
      <c r="AE236" s="41"/>
      <c r="AF236" s="35">
        <v>1</v>
      </c>
      <c r="AG236" s="35" t="s">
        <v>1097</v>
      </c>
      <c r="AH236" s="38" t="str">
        <f t="shared" si="15"/>
        <v>259-02041</v>
      </c>
      <c r="AI236" s="264" t="e">
        <f t="shared" si="14"/>
        <v>#REF!</v>
      </c>
    </row>
    <row r="237" spans="1:35" ht="14.25">
      <c r="A237" s="275" t="e">
        <f>'Box Schedule'!#REF!</f>
        <v>#REF!</v>
      </c>
      <c r="B237" s="262">
        <v>9</v>
      </c>
      <c r="C237" s="229" t="str">
        <f>IF((B237&gt;0),(VLOOKUP(J237,'Valve Reference'!$A$2:$K$389,3)),"-")</f>
        <v>0.75</v>
      </c>
      <c r="D237" s="230" t="s">
        <v>577</v>
      </c>
      <c r="E237" s="231">
        <f>IF((B237&gt;0),('Vlookup Tables'!$B$37),"-")</f>
        <v>5</v>
      </c>
      <c r="F237" s="51">
        <f t="shared" si="12"/>
        <v>4.0249223594996213</v>
      </c>
      <c r="G237" s="228">
        <f>IF((B237&gt;0),(VLOOKUP($B237,'Vlookup Tables'!$B$23:$F$33,2,TRUE)),"-")</f>
        <v>6.3</v>
      </c>
      <c r="H237" s="52">
        <f t="shared" si="13"/>
        <v>2.0408163265306127</v>
      </c>
      <c r="I237" s="50">
        <f>IF((B237&gt;0),('Vlookup Tables'!$B$35),"-")</f>
        <v>259</v>
      </c>
      <c r="J237" s="265" t="str">
        <f>IF(B237&gt;0,(IF(D237="2-Way",VLOOKUP($G237,'Vlookup Tables'!$C$23:$F$33,2,FALSE),VLOOKUP($G237,'Vlookup Tables'!$C$23:$F$33,3,FALSE))),"-")</f>
        <v>02044</v>
      </c>
      <c r="K237" s="276" t="str">
        <f>IF(B237&gt;0,(VLOOKUP(J237,'Valve Reference'!$A$2:$K$389,4)),"-")</f>
        <v>Standard</v>
      </c>
      <c r="L237" s="276" t="str">
        <f>IF(B237&gt;0,(VLOOKUP(J237,'Valve Reference'!$A$2:$K$389,5)),"-")</f>
        <v>BR</v>
      </c>
      <c r="M237" s="276" t="str">
        <f>IF(B237&gt;0,(VLOOKUP(J237,'Valve Reference'!$A$2:$K$389,8)),"-")</f>
        <v>Linear</v>
      </c>
      <c r="N237" s="276" t="str">
        <f>IF(B237&gt;0,(VLOOKUP(J237,'Valve Reference'!$A$2:$K$389,10)),"-")</f>
        <v>FxF</v>
      </c>
      <c r="O237" s="277" t="str">
        <f>IF(B237&gt;0,(VLOOKUP(J237,'Valve Reference'!$A$2:$K$389,11)),"-")</f>
        <v>Globe-Powermite</v>
      </c>
      <c r="P237" s="278" t="str">
        <f>IF(B237&gt;0,(VLOOKUP(I237,'Actuator Reference'!$A$2:$H$54,2)),"-")</f>
        <v>SSC81U</v>
      </c>
      <c r="Q237" s="278" t="str">
        <f>IF(B237&gt;0,(VLOOKUP(I237,'Actuator Reference'!$A$2:$H$54,5)),"-")</f>
        <v>Float</v>
      </c>
      <c r="R237" s="278" t="str">
        <f>IF(B237&gt;0,(VLOOKUP(I237,'Actuator Reference'!$A$2:$H$54,6)),"-")</f>
        <v>NSR</v>
      </c>
      <c r="S237" s="278" t="str">
        <f>IF(B237&gt;0,(VLOOKUP(I237,'Actuator Reference'!$A$2:$H$54,7)),"-")</f>
        <v>24V</v>
      </c>
      <c r="T237" s="279" t="str">
        <f>IF(B237&gt;0,(VLOOKUP(I237,'Actuator Reference'!$A$2:$H$54,8)),"-")</f>
        <v>MT-Series</v>
      </c>
      <c r="AD237" s="41"/>
      <c r="AE237" s="41"/>
      <c r="AF237" s="35">
        <v>1</v>
      </c>
      <c r="AG237" s="35" t="s">
        <v>1097</v>
      </c>
      <c r="AH237" s="38" t="str">
        <f t="shared" si="15"/>
        <v>259-02044</v>
      </c>
      <c r="AI237" s="264" t="e">
        <f t="shared" si="14"/>
        <v>#REF!</v>
      </c>
    </row>
    <row r="238" spans="1:35" ht="14.25">
      <c r="A238" s="275" t="e">
        <f>'Box Schedule'!#REF!</f>
        <v>#REF!</v>
      </c>
      <c r="B238" s="262">
        <v>1</v>
      </c>
      <c r="C238" s="229" t="str">
        <f>IF((B238&gt;0),(VLOOKUP(J238,'Valve Reference'!$A$2:$K$389,3)),"-")</f>
        <v>0.5</v>
      </c>
      <c r="D238" s="230" t="s">
        <v>577</v>
      </c>
      <c r="E238" s="231">
        <f>IF((B238&gt;0),('Vlookup Tables'!$B$37),"-")</f>
        <v>5</v>
      </c>
      <c r="F238" s="51">
        <f t="shared" si="12"/>
        <v>0.44721359549995793</v>
      </c>
      <c r="G238" s="228">
        <f>IF((B238&gt;0),(VLOOKUP($B238,'Vlookup Tables'!$B$23:$F$33,2,TRUE)),"-")</f>
        <v>0.63</v>
      </c>
      <c r="H238" s="52">
        <f t="shared" si="13"/>
        <v>2.5195263290501382</v>
      </c>
      <c r="I238" s="50">
        <f>IF((B238&gt;0),('Vlookup Tables'!$B$35),"-")</f>
        <v>259</v>
      </c>
      <c r="J238" s="265" t="str">
        <f>IF(B238&gt;0,(IF(D238="2-Way",VLOOKUP($G238,'Vlookup Tables'!$C$23:$F$33,2,FALSE),VLOOKUP($G238,'Vlookup Tables'!$C$23:$F$33,3,FALSE))),"-")</f>
        <v>02032</v>
      </c>
      <c r="K238" s="276" t="str">
        <f>IF(B238&gt;0,(VLOOKUP(J238,'Valve Reference'!$A$2:$K$389,4)),"-")</f>
        <v>Standard</v>
      </c>
      <c r="L238" s="276" t="str">
        <f>IF(B238&gt;0,(VLOOKUP(J238,'Valve Reference'!$A$2:$K$389,5)),"-")</f>
        <v>BR</v>
      </c>
      <c r="M238" s="276" t="str">
        <f>IF(B238&gt;0,(VLOOKUP(J238,'Valve Reference'!$A$2:$K$389,8)),"-")</f>
        <v>Linear</v>
      </c>
      <c r="N238" s="276" t="str">
        <f>IF(B238&gt;0,(VLOOKUP(J238,'Valve Reference'!$A$2:$K$389,10)),"-")</f>
        <v>FxF</v>
      </c>
      <c r="O238" s="277" t="str">
        <f>IF(B238&gt;0,(VLOOKUP(J238,'Valve Reference'!$A$2:$K$389,11)),"-")</f>
        <v>Globe-Powermite</v>
      </c>
      <c r="P238" s="278" t="str">
        <f>IF(B238&gt;0,(VLOOKUP(I238,'Actuator Reference'!$A$2:$H$54,2)),"-")</f>
        <v>SSC81U</v>
      </c>
      <c r="Q238" s="278" t="str">
        <f>IF(B238&gt;0,(VLOOKUP(I238,'Actuator Reference'!$A$2:$H$54,5)),"-")</f>
        <v>Float</v>
      </c>
      <c r="R238" s="278" t="str">
        <f>IF(B238&gt;0,(VLOOKUP(I238,'Actuator Reference'!$A$2:$H$54,6)),"-")</f>
        <v>NSR</v>
      </c>
      <c r="S238" s="278" t="str">
        <f>IF(B238&gt;0,(VLOOKUP(I238,'Actuator Reference'!$A$2:$H$54,7)),"-")</f>
        <v>24V</v>
      </c>
      <c r="T238" s="279" t="str">
        <f>IF(B238&gt;0,(VLOOKUP(I238,'Actuator Reference'!$A$2:$H$54,8)),"-")</f>
        <v>MT-Series</v>
      </c>
      <c r="AD238" s="41"/>
      <c r="AE238" s="41"/>
      <c r="AF238" s="35">
        <v>1</v>
      </c>
      <c r="AG238" s="35" t="s">
        <v>1097</v>
      </c>
      <c r="AH238" s="38" t="str">
        <f t="shared" si="15"/>
        <v>259-02032</v>
      </c>
      <c r="AI238" s="264" t="e">
        <f t="shared" si="14"/>
        <v>#REF!</v>
      </c>
    </row>
    <row r="239" spans="1:35" ht="14.25">
      <c r="A239" s="275" t="e">
        <f>'Box Schedule'!#REF!</f>
        <v>#REF!</v>
      </c>
      <c r="B239" s="262">
        <v>2</v>
      </c>
      <c r="C239" s="229" t="str">
        <f>IF((B239&gt;0),(VLOOKUP(J239,'Valve Reference'!$A$2:$K$389,3)),"-")</f>
        <v>0.5</v>
      </c>
      <c r="D239" s="230" t="s">
        <v>577</v>
      </c>
      <c r="E239" s="231">
        <f>IF((B239&gt;0),('Vlookup Tables'!$B$37),"-")</f>
        <v>5</v>
      </c>
      <c r="F239" s="51">
        <f t="shared" si="12"/>
        <v>0.89442719099991586</v>
      </c>
      <c r="G239" s="228">
        <f>IF((B239&gt;0),(VLOOKUP($B239,'Vlookup Tables'!$B$23:$F$33,2,TRUE)),"-")</f>
        <v>1</v>
      </c>
      <c r="H239" s="52">
        <f t="shared" si="13"/>
        <v>4</v>
      </c>
      <c r="I239" s="50">
        <f>IF((B239&gt;0),('Vlookup Tables'!$B$35),"-")</f>
        <v>259</v>
      </c>
      <c r="J239" s="265" t="str">
        <f>IF(B239&gt;0,(IF(D239="2-Way",VLOOKUP($G239,'Vlookup Tables'!$C$23:$F$33,2,FALSE),VLOOKUP($G239,'Vlookup Tables'!$C$23:$F$33,3,FALSE))),"-")</f>
        <v>02034</v>
      </c>
      <c r="K239" s="276" t="str">
        <f>IF(B239&gt;0,(VLOOKUP(J239,'Valve Reference'!$A$2:$K$389,4)),"-")</f>
        <v>Standard</v>
      </c>
      <c r="L239" s="276" t="str">
        <f>IF(B239&gt;0,(VLOOKUP(J239,'Valve Reference'!$A$2:$K$389,5)),"-")</f>
        <v>BR</v>
      </c>
      <c r="M239" s="276" t="str">
        <f>IF(B239&gt;0,(VLOOKUP(J239,'Valve Reference'!$A$2:$K$389,8)),"-")</f>
        <v>Linear</v>
      </c>
      <c r="N239" s="276" t="str">
        <f>IF(B239&gt;0,(VLOOKUP(J239,'Valve Reference'!$A$2:$K$389,10)),"-")</f>
        <v>FxF</v>
      </c>
      <c r="O239" s="277" t="str">
        <f>IF(B239&gt;0,(VLOOKUP(J239,'Valve Reference'!$A$2:$K$389,11)),"-")</f>
        <v>Globe-Powermite</v>
      </c>
      <c r="P239" s="278" t="str">
        <f>IF(B239&gt;0,(VLOOKUP(I239,'Actuator Reference'!$A$2:$H$54,2)),"-")</f>
        <v>SSC81U</v>
      </c>
      <c r="Q239" s="278" t="str">
        <f>IF(B239&gt;0,(VLOOKUP(I239,'Actuator Reference'!$A$2:$H$54,5)),"-")</f>
        <v>Float</v>
      </c>
      <c r="R239" s="278" t="str">
        <f>IF(B239&gt;0,(VLOOKUP(I239,'Actuator Reference'!$A$2:$H$54,6)),"-")</f>
        <v>NSR</v>
      </c>
      <c r="S239" s="278" t="str">
        <f>IF(B239&gt;0,(VLOOKUP(I239,'Actuator Reference'!$A$2:$H$54,7)),"-")</f>
        <v>24V</v>
      </c>
      <c r="T239" s="279" t="str">
        <f>IF(B239&gt;0,(VLOOKUP(I239,'Actuator Reference'!$A$2:$H$54,8)),"-")</f>
        <v>MT-Series</v>
      </c>
      <c r="AD239" s="41"/>
      <c r="AE239" s="41"/>
      <c r="AF239" s="35">
        <v>1</v>
      </c>
      <c r="AG239" s="35" t="s">
        <v>1097</v>
      </c>
      <c r="AH239" s="38" t="str">
        <f t="shared" si="15"/>
        <v>259-02034</v>
      </c>
      <c r="AI239" s="264" t="e">
        <f t="shared" si="14"/>
        <v>#REF!</v>
      </c>
    </row>
    <row r="240" spans="1:35" ht="14.25">
      <c r="A240" s="275" t="e">
        <f>'Box Schedule'!#REF!</f>
        <v>#REF!</v>
      </c>
      <c r="B240" s="262">
        <v>3</v>
      </c>
      <c r="C240" s="229" t="str">
        <f>IF((B240&gt;0),(VLOOKUP(J240,'Valve Reference'!$A$2:$K$389,3)),"-")</f>
        <v>0.5</v>
      </c>
      <c r="D240" s="230" t="s">
        <v>577</v>
      </c>
      <c r="E240" s="231">
        <f>IF((B240&gt;0),('Vlookup Tables'!$B$37),"-")</f>
        <v>5</v>
      </c>
      <c r="F240" s="51">
        <f t="shared" si="12"/>
        <v>1.3416407864998738</v>
      </c>
      <c r="G240" s="228">
        <f>IF((B240&gt;0),(VLOOKUP($B240,'Vlookup Tables'!$B$23:$F$33,2,TRUE)),"-")</f>
        <v>1.6</v>
      </c>
      <c r="H240" s="52">
        <f t="shared" si="13"/>
        <v>3.515625</v>
      </c>
      <c r="I240" s="50">
        <f>IF((B240&gt;0),('Vlookup Tables'!$B$35),"-")</f>
        <v>259</v>
      </c>
      <c r="J240" s="265" t="str">
        <f>IF(B240&gt;0,(IF(D240="2-Way",VLOOKUP($G240,'Vlookup Tables'!$C$23:$F$33,2,FALSE),VLOOKUP($G240,'Vlookup Tables'!$C$23:$F$33,3,FALSE))),"-")</f>
        <v>02036</v>
      </c>
      <c r="K240" s="276" t="str">
        <f>IF(B240&gt;0,(VLOOKUP(J240,'Valve Reference'!$A$2:$K$389,4)),"-")</f>
        <v>Standard</v>
      </c>
      <c r="L240" s="276" t="str">
        <f>IF(B240&gt;0,(VLOOKUP(J240,'Valve Reference'!$A$2:$K$389,5)),"-")</f>
        <v>BR</v>
      </c>
      <c r="M240" s="276" t="str">
        <f>IF(B240&gt;0,(VLOOKUP(J240,'Valve Reference'!$A$2:$K$389,8)),"-")</f>
        <v>Linear</v>
      </c>
      <c r="N240" s="276" t="str">
        <f>IF(B240&gt;0,(VLOOKUP(J240,'Valve Reference'!$A$2:$K$389,10)),"-")</f>
        <v>FxF</v>
      </c>
      <c r="O240" s="277" t="str">
        <f>IF(B240&gt;0,(VLOOKUP(J240,'Valve Reference'!$A$2:$K$389,11)),"-")</f>
        <v>Globe-Powermite</v>
      </c>
      <c r="P240" s="278" t="str">
        <f>IF(B240&gt;0,(VLOOKUP(I240,'Actuator Reference'!$A$2:$H$54,2)),"-")</f>
        <v>SSC81U</v>
      </c>
      <c r="Q240" s="278" t="str">
        <f>IF(B240&gt;0,(VLOOKUP(I240,'Actuator Reference'!$A$2:$H$54,5)),"-")</f>
        <v>Float</v>
      </c>
      <c r="R240" s="278" t="str">
        <f>IF(B240&gt;0,(VLOOKUP(I240,'Actuator Reference'!$A$2:$H$54,6)),"-")</f>
        <v>NSR</v>
      </c>
      <c r="S240" s="278" t="str">
        <f>IF(B240&gt;0,(VLOOKUP(I240,'Actuator Reference'!$A$2:$H$54,7)),"-")</f>
        <v>24V</v>
      </c>
      <c r="T240" s="279" t="str">
        <f>IF(B240&gt;0,(VLOOKUP(I240,'Actuator Reference'!$A$2:$H$54,8)),"-")</f>
        <v>MT-Series</v>
      </c>
      <c r="AD240" s="41"/>
      <c r="AE240" s="41"/>
      <c r="AF240" s="35">
        <v>1</v>
      </c>
      <c r="AG240" s="35" t="s">
        <v>1097</v>
      </c>
      <c r="AH240" s="38" t="str">
        <f t="shared" si="15"/>
        <v>259-02036</v>
      </c>
      <c r="AI240" s="264" t="e">
        <f t="shared" si="14"/>
        <v>#REF!</v>
      </c>
    </row>
    <row r="241" spans="1:35" ht="14.25">
      <c r="A241" s="275" t="e">
        <f>'Box Schedule'!#REF!</f>
        <v>#REF!</v>
      </c>
      <c r="B241" s="262">
        <v>4</v>
      </c>
      <c r="C241" s="229" t="str">
        <f>IF((B241&gt;0),(VLOOKUP(J241,'Valve Reference'!$A$2:$K$389,3)),"-")</f>
        <v>0.5</v>
      </c>
      <c r="D241" s="230" t="s">
        <v>577</v>
      </c>
      <c r="E241" s="231">
        <f>IF((B241&gt;0),('Vlookup Tables'!$B$37),"-")</f>
        <v>5</v>
      </c>
      <c r="F241" s="51">
        <f t="shared" si="12"/>
        <v>1.7888543819998317</v>
      </c>
      <c r="G241" s="228">
        <f>IF((B241&gt;0),(VLOOKUP($B241,'Vlookup Tables'!$B$23:$F$33,2,TRUE)),"-")</f>
        <v>2.5</v>
      </c>
      <c r="H241" s="52">
        <f t="shared" si="13"/>
        <v>2.56</v>
      </c>
      <c r="I241" s="50">
        <f>IF((B241&gt;0),('Vlookup Tables'!$B$35),"-")</f>
        <v>259</v>
      </c>
      <c r="J241" s="265" t="str">
        <f>IF(B241&gt;0,(IF(D241="2-Way",VLOOKUP($G241,'Vlookup Tables'!$C$23:$F$33,2,FALSE),VLOOKUP($G241,'Vlookup Tables'!$C$23:$F$33,3,FALSE))),"-")</f>
        <v>02038</v>
      </c>
      <c r="K241" s="276" t="str">
        <f>IF(B241&gt;0,(VLOOKUP(J241,'Valve Reference'!$A$2:$K$389,4)),"-")</f>
        <v>Standard</v>
      </c>
      <c r="L241" s="276" t="str">
        <f>IF(B241&gt;0,(VLOOKUP(J241,'Valve Reference'!$A$2:$K$389,5)),"-")</f>
        <v>BR</v>
      </c>
      <c r="M241" s="276" t="str">
        <f>IF(B241&gt;0,(VLOOKUP(J241,'Valve Reference'!$A$2:$K$389,8)),"-")</f>
        <v>Linear</v>
      </c>
      <c r="N241" s="276" t="str">
        <f>IF(B241&gt;0,(VLOOKUP(J241,'Valve Reference'!$A$2:$K$389,10)),"-")</f>
        <v>FxF</v>
      </c>
      <c r="O241" s="277" t="str">
        <f>IF(B241&gt;0,(VLOOKUP(J241,'Valve Reference'!$A$2:$K$389,11)),"-")</f>
        <v>Globe-Powermite</v>
      </c>
      <c r="P241" s="278" t="str">
        <f>IF(B241&gt;0,(VLOOKUP(I241,'Actuator Reference'!$A$2:$H$54,2)),"-")</f>
        <v>SSC81U</v>
      </c>
      <c r="Q241" s="278" t="str">
        <f>IF(B241&gt;0,(VLOOKUP(I241,'Actuator Reference'!$A$2:$H$54,5)),"-")</f>
        <v>Float</v>
      </c>
      <c r="R241" s="278" t="str">
        <f>IF(B241&gt;0,(VLOOKUP(I241,'Actuator Reference'!$A$2:$H$54,6)),"-")</f>
        <v>NSR</v>
      </c>
      <c r="S241" s="278" t="str">
        <f>IF(B241&gt;0,(VLOOKUP(I241,'Actuator Reference'!$A$2:$H$54,7)),"-")</f>
        <v>24V</v>
      </c>
      <c r="T241" s="279" t="str">
        <f>IF(B241&gt;0,(VLOOKUP(I241,'Actuator Reference'!$A$2:$H$54,8)),"-")</f>
        <v>MT-Series</v>
      </c>
      <c r="AD241" s="41"/>
      <c r="AE241" s="41"/>
      <c r="AF241" s="35">
        <v>1</v>
      </c>
      <c r="AG241" s="35" t="s">
        <v>1097</v>
      </c>
      <c r="AH241" s="38" t="str">
        <f t="shared" si="15"/>
        <v>259-02038</v>
      </c>
      <c r="AI241" s="264" t="e">
        <f t="shared" si="14"/>
        <v>#REF!</v>
      </c>
    </row>
    <row r="242" spans="1:35" ht="14.25">
      <c r="A242" s="275" t="e">
        <f>'Box Schedule'!#REF!</f>
        <v>#REF!</v>
      </c>
      <c r="B242" s="262">
        <v>5</v>
      </c>
      <c r="C242" s="229" t="str">
        <f>IF((B242&gt;0),(VLOOKUP(J242,'Valve Reference'!$A$2:$K$389,3)),"-")</f>
        <v>0.5</v>
      </c>
      <c r="D242" s="230" t="s">
        <v>577</v>
      </c>
      <c r="E242" s="231">
        <f>IF((B242&gt;0),('Vlookup Tables'!$B$37),"-")</f>
        <v>5</v>
      </c>
      <c r="F242" s="51">
        <f t="shared" si="12"/>
        <v>2.2360679774997898</v>
      </c>
      <c r="G242" s="228">
        <f>IF((B242&gt;0),(VLOOKUP($B242,'Vlookup Tables'!$B$23:$F$33,2,TRUE)),"-")</f>
        <v>2.5</v>
      </c>
      <c r="H242" s="52">
        <f t="shared" si="13"/>
        <v>4</v>
      </c>
      <c r="I242" s="50">
        <f>IF((B242&gt;0),('Vlookup Tables'!$B$35),"-")</f>
        <v>259</v>
      </c>
      <c r="J242" s="265" t="str">
        <f>IF(B242&gt;0,(IF(D242="2-Way",VLOOKUP($G242,'Vlookup Tables'!$C$23:$F$33,2,FALSE),VLOOKUP($G242,'Vlookup Tables'!$C$23:$F$33,3,FALSE))),"-")</f>
        <v>02038</v>
      </c>
      <c r="K242" s="276" t="str">
        <f>IF(B242&gt;0,(VLOOKUP(J242,'Valve Reference'!$A$2:$K$389,4)),"-")</f>
        <v>Standard</v>
      </c>
      <c r="L242" s="276" t="str">
        <f>IF(B242&gt;0,(VLOOKUP(J242,'Valve Reference'!$A$2:$K$389,5)),"-")</f>
        <v>BR</v>
      </c>
      <c r="M242" s="276" t="str">
        <f>IF(B242&gt;0,(VLOOKUP(J242,'Valve Reference'!$A$2:$K$389,8)),"-")</f>
        <v>Linear</v>
      </c>
      <c r="N242" s="276" t="str">
        <f>IF(B242&gt;0,(VLOOKUP(J242,'Valve Reference'!$A$2:$K$389,10)),"-")</f>
        <v>FxF</v>
      </c>
      <c r="O242" s="277" t="str">
        <f>IF(B242&gt;0,(VLOOKUP(J242,'Valve Reference'!$A$2:$K$389,11)),"-")</f>
        <v>Globe-Powermite</v>
      </c>
      <c r="P242" s="278" t="str">
        <f>IF(B242&gt;0,(VLOOKUP(I242,'Actuator Reference'!$A$2:$H$54,2)),"-")</f>
        <v>SSC81U</v>
      </c>
      <c r="Q242" s="278" t="str">
        <f>IF(B242&gt;0,(VLOOKUP(I242,'Actuator Reference'!$A$2:$H$54,5)),"-")</f>
        <v>Float</v>
      </c>
      <c r="R242" s="278" t="str">
        <f>IF(B242&gt;0,(VLOOKUP(I242,'Actuator Reference'!$A$2:$H$54,6)),"-")</f>
        <v>NSR</v>
      </c>
      <c r="S242" s="278" t="str">
        <f>IF(B242&gt;0,(VLOOKUP(I242,'Actuator Reference'!$A$2:$H$54,7)),"-")</f>
        <v>24V</v>
      </c>
      <c r="T242" s="279" t="str">
        <f>IF(B242&gt;0,(VLOOKUP(I242,'Actuator Reference'!$A$2:$H$54,8)),"-")</f>
        <v>MT-Series</v>
      </c>
      <c r="AD242" s="41"/>
      <c r="AE242" s="41"/>
      <c r="AF242" s="35">
        <v>1</v>
      </c>
      <c r="AG242" s="35" t="s">
        <v>1097</v>
      </c>
      <c r="AH242" s="38" t="str">
        <f t="shared" si="15"/>
        <v>259-02038</v>
      </c>
      <c r="AI242" s="264" t="e">
        <f t="shared" si="14"/>
        <v>#REF!</v>
      </c>
    </row>
    <row r="243" spans="1:35" ht="14.25">
      <c r="A243" s="275" t="e">
        <f>'Box Schedule'!#REF!</f>
        <v>#REF!</v>
      </c>
      <c r="B243" s="262">
        <v>6</v>
      </c>
      <c r="C243" s="229" t="str">
        <f>IF((B243&gt;0),(VLOOKUP(J243,'Valve Reference'!$A$2:$K$389,3)),"-")</f>
        <v>0.5</v>
      </c>
      <c r="D243" s="230" t="s">
        <v>577</v>
      </c>
      <c r="E243" s="231">
        <f>IF((B243&gt;0),('Vlookup Tables'!$B$37),"-")</f>
        <v>5</v>
      </c>
      <c r="F243" s="51">
        <f t="shared" si="12"/>
        <v>2.6832815729997477</v>
      </c>
      <c r="G243" s="228">
        <f>IF((B243&gt;0),(VLOOKUP($B243,'Vlookup Tables'!$B$23:$F$33,2,TRUE)),"-")</f>
        <v>4</v>
      </c>
      <c r="H243" s="52">
        <f t="shared" si="13"/>
        <v>2.25</v>
      </c>
      <c r="I243" s="50">
        <f>IF((B243&gt;0),('Vlookup Tables'!$B$35),"-")</f>
        <v>259</v>
      </c>
      <c r="J243" s="265" t="str">
        <f>IF(B243&gt;0,(IF(D243="2-Way",VLOOKUP($G243,'Vlookup Tables'!$C$23:$F$33,2,FALSE),VLOOKUP($G243,'Vlookup Tables'!$C$23:$F$33,3,FALSE))),"-")</f>
        <v>02041</v>
      </c>
      <c r="K243" s="276" t="str">
        <f>IF(B243&gt;0,(VLOOKUP(J243,'Valve Reference'!$A$2:$K$389,4)),"-")</f>
        <v>Standard</v>
      </c>
      <c r="L243" s="276" t="str">
        <f>IF(B243&gt;0,(VLOOKUP(J243,'Valve Reference'!$A$2:$K$389,5)),"-")</f>
        <v>BR</v>
      </c>
      <c r="M243" s="276" t="str">
        <f>IF(B243&gt;0,(VLOOKUP(J243,'Valve Reference'!$A$2:$K$389,8)),"-")</f>
        <v>Linear</v>
      </c>
      <c r="N243" s="276" t="str">
        <f>IF(B243&gt;0,(VLOOKUP(J243,'Valve Reference'!$A$2:$K$389,10)),"-")</f>
        <v>FxF</v>
      </c>
      <c r="O243" s="277" t="str">
        <f>IF(B243&gt;0,(VLOOKUP(J243,'Valve Reference'!$A$2:$K$389,11)),"-")</f>
        <v>Globe-Powermite</v>
      </c>
      <c r="P243" s="278" t="str">
        <f>IF(B243&gt;0,(VLOOKUP(I243,'Actuator Reference'!$A$2:$H$54,2)),"-")</f>
        <v>SSC81U</v>
      </c>
      <c r="Q243" s="278" t="str">
        <f>IF(B243&gt;0,(VLOOKUP(I243,'Actuator Reference'!$A$2:$H$54,5)),"-")</f>
        <v>Float</v>
      </c>
      <c r="R243" s="278" t="str">
        <f>IF(B243&gt;0,(VLOOKUP(I243,'Actuator Reference'!$A$2:$H$54,6)),"-")</f>
        <v>NSR</v>
      </c>
      <c r="S243" s="278" t="str">
        <f>IF(B243&gt;0,(VLOOKUP(I243,'Actuator Reference'!$A$2:$H$54,7)),"-")</f>
        <v>24V</v>
      </c>
      <c r="T243" s="279" t="str">
        <f>IF(B243&gt;0,(VLOOKUP(I243,'Actuator Reference'!$A$2:$H$54,8)),"-")</f>
        <v>MT-Series</v>
      </c>
      <c r="AD243" s="41"/>
      <c r="AE243" s="41"/>
      <c r="AF243" s="35">
        <v>1</v>
      </c>
      <c r="AG243" s="35" t="s">
        <v>1097</v>
      </c>
      <c r="AH243" s="38" t="str">
        <f t="shared" si="15"/>
        <v>259-02041</v>
      </c>
      <c r="AI243" s="264" t="e">
        <f t="shared" si="14"/>
        <v>#REF!</v>
      </c>
    </row>
    <row r="244" spans="1:35" ht="14.25">
      <c r="A244" s="275" t="e">
        <f>'Box Schedule'!#REF!</f>
        <v>#REF!</v>
      </c>
      <c r="B244" s="262">
        <v>7</v>
      </c>
      <c r="C244" s="229" t="str">
        <f>IF((B244&gt;0),(VLOOKUP(J244,'Valve Reference'!$A$2:$K$389,3)),"-")</f>
        <v>0.5</v>
      </c>
      <c r="D244" s="230" t="s">
        <v>577</v>
      </c>
      <c r="E244" s="231">
        <f>IF((B244&gt;0),('Vlookup Tables'!$B$37),"-")</f>
        <v>5</v>
      </c>
      <c r="F244" s="51">
        <f t="shared" si="12"/>
        <v>3.1304951684997055</v>
      </c>
      <c r="G244" s="228">
        <f>IF((B244&gt;0),(VLOOKUP($B244,'Vlookup Tables'!$B$23:$F$33,2,TRUE)),"-")</f>
        <v>4</v>
      </c>
      <c r="H244" s="52">
        <f t="shared" si="13"/>
        <v>3.0625000000000004</v>
      </c>
      <c r="I244" s="50">
        <f>IF((B244&gt;0),('Vlookup Tables'!$B$35),"-")</f>
        <v>259</v>
      </c>
      <c r="J244" s="265" t="str">
        <f>IF(B244&gt;0,(IF(D244="2-Way",VLOOKUP($G244,'Vlookup Tables'!$C$23:$F$33,2,FALSE),VLOOKUP($G244,'Vlookup Tables'!$C$23:$F$33,3,FALSE))),"-")</f>
        <v>02041</v>
      </c>
      <c r="K244" s="276" t="str">
        <f>IF(B244&gt;0,(VLOOKUP(J244,'Valve Reference'!$A$2:$K$389,4)),"-")</f>
        <v>Standard</v>
      </c>
      <c r="L244" s="276" t="str">
        <f>IF(B244&gt;0,(VLOOKUP(J244,'Valve Reference'!$A$2:$K$389,5)),"-")</f>
        <v>BR</v>
      </c>
      <c r="M244" s="276" t="str">
        <f>IF(B244&gt;0,(VLOOKUP(J244,'Valve Reference'!$A$2:$K$389,8)),"-")</f>
        <v>Linear</v>
      </c>
      <c r="N244" s="276" t="str">
        <f>IF(B244&gt;0,(VLOOKUP(J244,'Valve Reference'!$A$2:$K$389,10)),"-")</f>
        <v>FxF</v>
      </c>
      <c r="O244" s="277" t="str">
        <f>IF(B244&gt;0,(VLOOKUP(J244,'Valve Reference'!$A$2:$K$389,11)),"-")</f>
        <v>Globe-Powermite</v>
      </c>
      <c r="P244" s="278" t="str">
        <f>IF(B244&gt;0,(VLOOKUP(I244,'Actuator Reference'!$A$2:$H$54,2)),"-")</f>
        <v>SSC81U</v>
      </c>
      <c r="Q244" s="278" t="str">
        <f>IF(B244&gt;0,(VLOOKUP(I244,'Actuator Reference'!$A$2:$H$54,5)),"-")</f>
        <v>Float</v>
      </c>
      <c r="R244" s="278" t="str">
        <f>IF(B244&gt;0,(VLOOKUP(I244,'Actuator Reference'!$A$2:$H$54,6)),"-")</f>
        <v>NSR</v>
      </c>
      <c r="S244" s="278" t="str">
        <f>IF(B244&gt;0,(VLOOKUP(I244,'Actuator Reference'!$A$2:$H$54,7)),"-")</f>
        <v>24V</v>
      </c>
      <c r="T244" s="279" t="str">
        <f>IF(B244&gt;0,(VLOOKUP(I244,'Actuator Reference'!$A$2:$H$54,8)),"-")</f>
        <v>MT-Series</v>
      </c>
      <c r="AD244" s="41"/>
      <c r="AE244" s="41"/>
      <c r="AF244" s="35">
        <v>1</v>
      </c>
      <c r="AG244" s="35" t="s">
        <v>1097</v>
      </c>
      <c r="AH244" s="38" t="str">
        <f t="shared" si="15"/>
        <v>259-02041</v>
      </c>
      <c r="AI244" s="264" t="e">
        <f t="shared" si="14"/>
        <v>#REF!</v>
      </c>
    </row>
    <row r="245" spans="1:35" ht="14.25">
      <c r="A245" s="275" t="e">
        <f>'Box Schedule'!#REF!</f>
        <v>#REF!</v>
      </c>
      <c r="B245" s="262">
        <v>8</v>
      </c>
      <c r="C245" s="229" t="str">
        <f>IF((B245&gt;0),(VLOOKUP(J245,'Valve Reference'!$A$2:$K$389,3)),"-")</f>
        <v>0.5</v>
      </c>
      <c r="D245" s="230" t="s">
        <v>577</v>
      </c>
      <c r="E245" s="231">
        <f>IF((B245&gt;0),('Vlookup Tables'!$B$37),"-")</f>
        <v>5</v>
      </c>
      <c r="F245" s="51">
        <f t="shared" si="12"/>
        <v>3.5777087639996634</v>
      </c>
      <c r="G245" s="228">
        <f>IF((B245&gt;0),(VLOOKUP($B245,'Vlookup Tables'!$B$23:$F$33,2,TRUE)),"-")</f>
        <v>4</v>
      </c>
      <c r="H245" s="52">
        <f t="shared" si="13"/>
        <v>4</v>
      </c>
      <c r="I245" s="50">
        <f>IF((B245&gt;0),('Vlookup Tables'!$B$35),"-")</f>
        <v>259</v>
      </c>
      <c r="J245" s="265" t="str">
        <f>IF(B245&gt;0,(IF(D245="2-Way",VLOOKUP($G245,'Vlookup Tables'!$C$23:$F$33,2,FALSE),VLOOKUP($G245,'Vlookup Tables'!$C$23:$F$33,3,FALSE))),"-")</f>
        <v>02041</v>
      </c>
      <c r="K245" s="276" t="str">
        <f>IF(B245&gt;0,(VLOOKUP(J245,'Valve Reference'!$A$2:$K$389,4)),"-")</f>
        <v>Standard</v>
      </c>
      <c r="L245" s="276" t="str">
        <f>IF(B245&gt;0,(VLOOKUP(J245,'Valve Reference'!$A$2:$K$389,5)),"-")</f>
        <v>BR</v>
      </c>
      <c r="M245" s="276" t="str">
        <f>IF(B245&gt;0,(VLOOKUP(J245,'Valve Reference'!$A$2:$K$389,8)),"-")</f>
        <v>Linear</v>
      </c>
      <c r="N245" s="276" t="str">
        <f>IF(B245&gt;0,(VLOOKUP(J245,'Valve Reference'!$A$2:$K$389,10)),"-")</f>
        <v>FxF</v>
      </c>
      <c r="O245" s="277" t="str">
        <f>IF(B245&gt;0,(VLOOKUP(J245,'Valve Reference'!$A$2:$K$389,11)),"-")</f>
        <v>Globe-Powermite</v>
      </c>
      <c r="P245" s="278" t="str">
        <f>IF(B245&gt;0,(VLOOKUP(I245,'Actuator Reference'!$A$2:$H$54,2)),"-")</f>
        <v>SSC81U</v>
      </c>
      <c r="Q245" s="278" t="str">
        <f>IF(B245&gt;0,(VLOOKUP(I245,'Actuator Reference'!$A$2:$H$54,5)),"-")</f>
        <v>Float</v>
      </c>
      <c r="R245" s="278" t="str">
        <f>IF(B245&gt;0,(VLOOKUP(I245,'Actuator Reference'!$A$2:$H$54,6)),"-")</f>
        <v>NSR</v>
      </c>
      <c r="S245" s="278" t="str">
        <f>IF(B245&gt;0,(VLOOKUP(I245,'Actuator Reference'!$A$2:$H$54,7)),"-")</f>
        <v>24V</v>
      </c>
      <c r="T245" s="279" t="str">
        <f>IF(B245&gt;0,(VLOOKUP(I245,'Actuator Reference'!$A$2:$H$54,8)),"-")</f>
        <v>MT-Series</v>
      </c>
      <c r="AD245" s="41"/>
      <c r="AE245" s="41"/>
      <c r="AF245" s="35">
        <v>1</v>
      </c>
      <c r="AG245" s="35" t="s">
        <v>1097</v>
      </c>
      <c r="AH245" s="38" t="str">
        <f t="shared" si="15"/>
        <v>259-02041</v>
      </c>
      <c r="AI245" s="264" t="e">
        <f t="shared" si="14"/>
        <v>#REF!</v>
      </c>
    </row>
    <row r="246" spans="1:35" ht="14.25">
      <c r="A246" s="275" t="e">
        <f>'Box Schedule'!#REF!</f>
        <v>#REF!</v>
      </c>
      <c r="B246" s="262">
        <v>9</v>
      </c>
      <c r="C246" s="229" t="str">
        <f>IF((B246&gt;0),(VLOOKUP(J246,'Valve Reference'!$A$2:$K$389,3)),"-")</f>
        <v>0.75</v>
      </c>
      <c r="D246" s="230" t="s">
        <v>577</v>
      </c>
      <c r="E246" s="231">
        <f>IF((B246&gt;0),('Vlookup Tables'!$B$37),"-")</f>
        <v>5</v>
      </c>
      <c r="F246" s="51">
        <f t="shared" si="12"/>
        <v>4.0249223594996213</v>
      </c>
      <c r="G246" s="228">
        <f>IF((B246&gt;0),(VLOOKUP($B246,'Vlookup Tables'!$B$23:$F$33,2,TRUE)),"-")</f>
        <v>6.3</v>
      </c>
      <c r="H246" s="52">
        <f t="shared" si="13"/>
        <v>2.0408163265306127</v>
      </c>
      <c r="I246" s="50">
        <f>IF((B246&gt;0),('Vlookup Tables'!$B$35),"-")</f>
        <v>259</v>
      </c>
      <c r="J246" s="265" t="str">
        <f>IF(B246&gt;0,(IF(D246="2-Way",VLOOKUP($G246,'Vlookup Tables'!$C$23:$F$33,2,FALSE),VLOOKUP($G246,'Vlookup Tables'!$C$23:$F$33,3,FALSE))),"-")</f>
        <v>02044</v>
      </c>
      <c r="K246" s="276" t="str">
        <f>IF(B246&gt;0,(VLOOKUP(J246,'Valve Reference'!$A$2:$K$389,4)),"-")</f>
        <v>Standard</v>
      </c>
      <c r="L246" s="276" t="str">
        <f>IF(B246&gt;0,(VLOOKUP(J246,'Valve Reference'!$A$2:$K$389,5)),"-")</f>
        <v>BR</v>
      </c>
      <c r="M246" s="276" t="str">
        <f>IF(B246&gt;0,(VLOOKUP(J246,'Valve Reference'!$A$2:$K$389,8)),"-")</f>
        <v>Linear</v>
      </c>
      <c r="N246" s="276" t="str">
        <f>IF(B246&gt;0,(VLOOKUP(J246,'Valve Reference'!$A$2:$K$389,10)),"-")</f>
        <v>FxF</v>
      </c>
      <c r="O246" s="277" t="str">
        <f>IF(B246&gt;0,(VLOOKUP(J246,'Valve Reference'!$A$2:$K$389,11)),"-")</f>
        <v>Globe-Powermite</v>
      </c>
      <c r="P246" s="278" t="str">
        <f>IF(B246&gt;0,(VLOOKUP(I246,'Actuator Reference'!$A$2:$H$54,2)),"-")</f>
        <v>SSC81U</v>
      </c>
      <c r="Q246" s="278" t="str">
        <f>IF(B246&gt;0,(VLOOKUP(I246,'Actuator Reference'!$A$2:$H$54,5)),"-")</f>
        <v>Float</v>
      </c>
      <c r="R246" s="278" t="str">
        <f>IF(B246&gt;0,(VLOOKUP(I246,'Actuator Reference'!$A$2:$H$54,6)),"-")</f>
        <v>NSR</v>
      </c>
      <c r="S246" s="278" t="str">
        <f>IF(B246&gt;0,(VLOOKUP(I246,'Actuator Reference'!$A$2:$H$54,7)),"-")</f>
        <v>24V</v>
      </c>
      <c r="T246" s="279" t="str">
        <f>IF(B246&gt;0,(VLOOKUP(I246,'Actuator Reference'!$A$2:$H$54,8)),"-")</f>
        <v>MT-Series</v>
      </c>
      <c r="AD246" s="41"/>
      <c r="AE246" s="41"/>
      <c r="AF246" s="35">
        <v>1</v>
      </c>
      <c r="AG246" s="35" t="s">
        <v>1097</v>
      </c>
      <c r="AH246" s="38" t="str">
        <f t="shared" si="15"/>
        <v>259-02044</v>
      </c>
      <c r="AI246" s="264" t="e">
        <f t="shared" si="14"/>
        <v>#REF!</v>
      </c>
    </row>
    <row r="247" spans="1:35" ht="14.25">
      <c r="A247" s="275" t="e">
        <f>'Box Schedule'!#REF!</f>
        <v>#REF!</v>
      </c>
      <c r="B247" s="262">
        <v>1</v>
      </c>
      <c r="C247" s="229" t="str">
        <f>IF((B247&gt;0),(VLOOKUP(J247,'Valve Reference'!$A$2:$K$389,3)),"-")</f>
        <v>0.5</v>
      </c>
      <c r="D247" s="230" t="s">
        <v>577</v>
      </c>
      <c r="E247" s="231">
        <f>IF((B247&gt;0),('Vlookup Tables'!$B$37),"-")</f>
        <v>5</v>
      </c>
      <c r="F247" s="51">
        <f t="shared" si="12"/>
        <v>0.44721359549995793</v>
      </c>
      <c r="G247" s="228">
        <f>IF((B247&gt;0),(VLOOKUP($B247,'Vlookup Tables'!$B$23:$F$33,2,TRUE)),"-")</f>
        <v>0.63</v>
      </c>
      <c r="H247" s="52">
        <f t="shared" si="13"/>
        <v>2.5195263290501382</v>
      </c>
      <c r="I247" s="50">
        <f>IF((B247&gt;0),('Vlookup Tables'!$B$35),"-")</f>
        <v>259</v>
      </c>
      <c r="J247" s="265" t="str">
        <f>IF(B247&gt;0,(IF(D247="2-Way",VLOOKUP($G247,'Vlookup Tables'!$C$23:$F$33,2,FALSE),VLOOKUP($G247,'Vlookup Tables'!$C$23:$F$33,3,FALSE))),"-")</f>
        <v>02032</v>
      </c>
      <c r="K247" s="276" t="str">
        <f>IF(B247&gt;0,(VLOOKUP(J247,'Valve Reference'!$A$2:$K$389,4)),"-")</f>
        <v>Standard</v>
      </c>
      <c r="L247" s="276" t="str">
        <f>IF(B247&gt;0,(VLOOKUP(J247,'Valve Reference'!$A$2:$K$389,5)),"-")</f>
        <v>BR</v>
      </c>
      <c r="M247" s="276" t="str">
        <f>IF(B247&gt;0,(VLOOKUP(J247,'Valve Reference'!$A$2:$K$389,8)),"-")</f>
        <v>Linear</v>
      </c>
      <c r="N247" s="276" t="str">
        <f>IF(B247&gt;0,(VLOOKUP(J247,'Valve Reference'!$A$2:$K$389,10)),"-")</f>
        <v>FxF</v>
      </c>
      <c r="O247" s="277" t="str">
        <f>IF(B247&gt;0,(VLOOKUP(J247,'Valve Reference'!$A$2:$K$389,11)),"-")</f>
        <v>Globe-Powermite</v>
      </c>
      <c r="P247" s="278" t="str">
        <f>IF(B247&gt;0,(VLOOKUP(I247,'Actuator Reference'!$A$2:$H$54,2)),"-")</f>
        <v>SSC81U</v>
      </c>
      <c r="Q247" s="278" t="str">
        <f>IF(B247&gt;0,(VLOOKUP(I247,'Actuator Reference'!$A$2:$H$54,5)),"-")</f>
        <v>Float</v>
      </c>
      <c r="R247" s="278" t="str">
        <f>IF(B247&gt;0,(VLOOKUP(I247,'Actuator Reference'!$A$2:$H$54,6)),"-")</f>
        <v>NSR</v>
      </c>
      <c r="S247" s="278" t="str">
        <f>IF(B247&gt;0,(VLOOKUP(I247,'Actuator Reference'!$A$2:$H$54,7)),"-")</f>
        <v>24V</v>
      </c>
      <c r="T247" s="279" t="str">
        <f>IF(B247&gt;0,(VLOOKUP(I247,'Actuator Reference'!$A$2:$H$54,8)),"-")</f>
        <v>MT-Series</v>
      </c>
      <c r="AD247" s="41"/>
      <c r="AE247" s="41"/>
      <c r="AF247" s="35">
        <v>1</v>
      </c>
      <c r="AG247" s="35" t="s">
        <v>1097</v>
      </c>
      <c r="AH247" s="38" t="str">
        <f t="shared" si="15"/>
        <v>259-02032</v>
      </c>
      <c r="AI247" s="264" t="e">
        <f t="shared" si="14"/>
        <v>#REF!</v>
      </c>
    </row>
    <row r="248" spans="1:35" ht="14.25">
      <c r="A248" s="275" t="e">
        <f>'Box Schedule'!#REF!</f>
        <v>#REF!</v>
      </c>
      <c r="B248" s="262">
        <v>2</v>
      </c>
      <c r="C248" s="229" t="str">
        <f>IF((B248&gt;0),(VLOOKUP(J248,'Valve Reference'!$A$2:$K$389,3)),"-")</f>
        <v>0.5</v>
      </c>
      <c r="D248" s="230" t="s">
        <v>577</v>
      </c>
      <c r="E248" s="231">
        <f>IF((B248&gt;0),('Vlookup Tables'!$B$37),"-")</f>
        <v>5</v>
      </c>
      <c r="F248" s="51">
        <f t="shared" si="12"/>
        <v>0.89442719099991586</v>
      </c>
      <c r="G248" s="228">
        <f>IF((B248&gt;0),(VLOOKUP($B248,'Vlookup Tables'!$B$23:$F$33,2,TRUE)),"-")</f>
        <v>1</v>
      </c>
      <c r="H248" s="52">
        <f t="shared" si="13"/>
        <v>4</v>
      </c>
      <c r="I248" s="50">
        <f>IF((B248&gt;0),('Vlookup Tables'!$B$35),"-")</f>
        <v>259</v>
      </c>
      <c r="J248" s="265" t="str">
        <f>IF(B248&gt;0,(IF(D248="2-Way",VLOOKUP($G248,'Vlookup Tables'!$C$23:$F$33,2,FALSE),VLOOKUP($G248,'Vlookup Tables'!$C$23:$F$33,3,FALSE))),"-")</f>
        <v>02034</v>
      </c>
      <c r="K248" s="276" t="str">
        <f>IF(B248&gt;0,(VLOOKUP(J248,'Valve Reference'!$A$2:$K$389,4)),"-")</f>
        <v>Standard</v>
      </c>
      <c r="L248" s="276" t="str">
        <f>IF(B248&gt;0,(VLOOKUP(J248,'Valve Reference'!$A$2:$K$389,5)),"-")</f>
        <v>BR</v>
      </c>
      <c r="M248" s="276" t="str">
        <f>IF(B248&gt;0,(VLOOKUP(J248,'Valve Reference'!$A$2:$K$389,8)),"-")</f>
        <v>Linear</v>
      </c>
      <c r="N248" s="276" t="str">
        <f>IF(B248&gt;0,(VLOOKUP(J248,'Valve Reference'!$A$2:$K$389,10)),"-")</f>
        <v>FxF</v>
      </c>
      <c r="O248" s="277" t="str">
        <f>IF(B248&gt;0,(VLOOKUP(J248,'Valve Reference'!$A$2:$K$389,11)),"-")</f>
        <v>Globe-Powermite</v>
      </c>
      <c r="P248" s="278" t="str">
        <f>IF(B248&gt;0,(VLOOKUP(I248,'Actuator Reference'!$A$2:$H$54,2)),"-")</f>
        <v>SSC81U</v>
      </c>
      <c r="Q248" s="278" t="str">
        <f>IF(B248&gt;0,(VLOOKUP(I248,'Actuator Reference'!$A$2:$H$54,5)),"-")</f>
        <v>Float</v>
      </c>
      <c r="R248" s="278" t="str">
        <f>IF(B248&gt;0,(VLOOKUP(I248,'Actuator Reference'!$A$2:$H$54,6)),"-")</f>
        <v>NSR</v>
      </c>
      <c r="S248" s="278" t="str">
        <f>IF(B248&gt;0,(VLOOKUP(I248,'Actuator Reference'!$A$2:$H$54,7)),"-")</f>
        <v>24V</v>
      </c>
      <c r="T248" s="279" t="str">
        <f>IF(B248&gt;0,(VLOOKUP(I248,'Actuator Reference'!$A$2:$H$54,8)),"-")</f>
        <v>MT-Series</v>
      </c>
      <c r="AD248" s="41"/>
      <c r="AE248" s="41"/>
      <c r="AF248" s="35">
        <v>1</v>
      </c>
      <c r="AG248" s="35" t="s">
        <v>1097</v>
      </c>
      <c r="AH248" s="38" t="str">
        <f t="shared" si="15"/>
        <v>259-02034</v>
      </c>
      <c r="AI248" s="264" t="e">
        <f t="shared" si="14"/>
        <v>#REF!</v>
      </c>
    </row>
    <row r="249" spans="1:35" ht="14.25">
      <c r="A249" s="275" t="e">
        <f>'Box Schedule'!#REF!</f>
        <v>#REF!</v>
      </c>
      <c r="B249" s="262">
        <v>3</v>
      </c>
      <c r="C249" s="229" t="str">
        <f>IF((B249&gt;0),(VLOOKUP(J249,'Valve Reference'!$A$2:$K$389,3)),"-")</f>
        <v>0.5</v>
      </c>
      <c r="D249" s="230" t="s">
        <v>577</v>
      </c>
      <c r="E249" s="231">
        <f>IF((B249&gt;0),('Vlookup Tables'!$B$37),"-")</f>
        <v>5</v>
      </c>
      <c r="F249" s="51">
        <f t="shared" si="12"/>
        <v>1.3416407864998738</v>
      </c>
      <c r="G249" s="228">
        <f>IF((B249&gt;0),(VLOOKUP($B249,'Vlookup Tables'!$B$23:$F$33,2,TRUE)),"-")</f>
        <v>1.6</v>
      </c>
      <c r="H249" s="52">
        <f t="shared" si="13"/>
        <v>3.515625</v>
      </c>
      <c r="I249" s="50">
        <f>IF((B249&gt;0),('Vlookup Tables'!$B$35),"-")</f>
        <v>259</v>
      </c>
      <c r="J249" s="265" t="str">
        <f>IF(B249&gt;0,(IF(D249="2-Way",VLOOKUP($G249,'Vlookup Tables'!$C$23:$F$33,2,FALSE),VLOOKUP($G249,'Vlookup Tables'!$C$23:$F$33,3,FALSE))),"-")</f>
        <v>02036</v>
      </c>
      <c r="K249" s="276" t="str">
        <f>IF(B249&gt;0,(VLOOKUP(J249,'Valve Reference'!$A$2:$K$389,4)),"-")</f>
        <v>Standard</v>
      </c>
      <c r="L249" s="276" t="str">
        <f>IF(B249&gt;0,(VLOOKUP(J249,'Valve Reference'!$A$2:$K$389,5)),"-")</f>
        <v>BR</v>
      </c>
      <c r="M249" s="276" t="str">
        <f>IF(B249&gt;0,(VLOOKUP(J249,'Valve Reference'!$A$2:$K$389,8)),"-")</f>
        <v>Linear</v>
      </c>
      <c r="N249" s="276" t="str">
        <f>IF(B249&gt;0,(VLOOKUP(J249,'Valve Reference'!$A$2:$K$389,10)),"-")</f>
        <v>FxF</v>
      </c>
      <c r="O249" s="277" t="str">
        <f>IF(B249&gt;0,(VLOOKUP(J249,'Valve Reference'!$A$2:$K$389,11)),"-")</f>
        <v>Globe-Powermite</v>
      </c>
      <c r="P249" s="278" t="str">
        <f>IF(B249&gt;0,(VLOOKUP(I249,'Actuator Reference'!$A$2:$H$54,2)),"-")</f>
        <v>SSC81U</v>
      </c>
      <c r="Q249" s="278" t="str">
        <f>IF(B249&gt;0,(VLOOKUP(I249,'Actuator Reference'!$A$2:$H$54,5)),"-")</f>
        <v>Float</v>
      </c>
      <c r="R249" s="278" t="str">
        <f>IF(B249&gt;0,(VLOOKUP(I249,'Actuator Reference'!$A$2:$H$54,6)),"-")</f>
        <v>NSR</v>
      </c>
      <c r="S249" s="278" t="str">
        <f>IF(B249&gt;0,(VLOOKUP(I249,'Actuator Reference'!$A$2:$H$54,7)),"-")</f>
        <v>24V</v>
      </c>
      <c r="T249" s="279" t="str">
        <f>IF(B249&gt;0,(VLOOKUP(I249,'Actuator Reference'!$A$2:$H$54,8)),"-")</f>
        <v>MT-Series</v>
      </c>
      <c r="AD249" s="41"/>
      <c r="AE249" s="41"/>
      <c r="AF249" s="35">
        <v>1</v>
      </c>
      <c r="AG249" s="35" t="s">
        <v>1097</v>
      </c>
      <c r="AH249" s="38" t="str">
        <f t="shared" si="15"/>
        <v>259-02036</v>
      </c>
      <c r="AI249" s="264" t="e">
        <f t="shared" si="14"/>
        <v>#REF!</v>
      </c>
    </row>
    <row r="250" spans="1:35" ht="14.25">
      <c r="A250" s="275" t="e">
        <f>'Box Schedule'!#REF!</f>
        <v>#REF!</v>
      </c>
      <c r="B250" s="262">
        <v>4</v>
      </c>
      <c r="C250" s="229" t="str">
        <f>IF((B250&gt;0),(VLOOKUP(J250,'Valve Reference'!$A$2:$K$389,3)),"-")</f>
        <v>0.5</v>
      </c>
      <c r="D250" s="230" t="s">
        <v>577</v>
      </c>
      <c r="E250" s="231">
        <f>IF((B250&gt;0),('Vlookup Tables'!$B$37),"-")</f>
        <v>5</v>
      </c>
      <c r="F250" s="51">
        <f t="shared" si="12"/>
        <v>1.7888543819998317</v>
      </c>
      <c r="G250" s="228">
        <f>IF((B250&gt;0),(VLOOKUP($B250,'Vlookup Tables'!$B$23:$F$33,2,TRUE)),"-")</f>
        <v>2.5</v>
      </c>
      <c r="H250" s="52">
        <f t="shared" si="13"/>
        <v>2.56</v>
      </c>
      <c r="I250" s="50">
        <f>IF((B250&gt;0),('Vlookup Tables'!$B$35),"-")</f>
        <v>259</v>
      </c>
      <c r="J250" s="265" t="str">
        <f>IF(B250&gt;0,(IF(D250="2-Way",VLOOKUP($G250,'Vlookup Tables'!$C$23:$F$33,2,FALSE),VLOOKUP($G250,'Vlookup Tables'!$C$23:$F$33,3,FALSE))),"-")</f>
        <v>02038</v>
      </c>
      <c r="K250" s="276" t="str">
        <f>IF(B250&gt;0,(VLOOKUP(J250,'Valve Reference'!$A$2:$K$389,4)),"-")</f>
        <v>Standard</v>
      </c>
      <c r="L250" s="276" t="str">
        <f>IF(B250&gt;0,(VLOOKUP(J250,'Valve Reference'!$A$2:$K$389,5)),"-")</f>
        <v>BR</v>
      </c>
      <c r="M250" s="276" t="str">
        <f>IF(B250&gt;0,(VLOOKUP(J250,'Valve Reference'!$A$2:$K$389,8)),"-")</f>
        <v>Linear</v>
      </c>
      <c r="N250" s="276" t="str">
        <f>IF(B250&gt;0,(VLOOKUP(J250,'Valve Reference'!$A$2:$K$389,10)),"-")</f>
        <v>FxF</v>
      </c>
      <c r="O250" s="277" t="str">
        <f>IF(B250&gt;0,(VLOOKUP(J250,'Valve Reference'!$A$2:$K$389,11)),"-")</f>
        <v>Globe-Powermite</v>
      </c>
      <c r="P250" s="278" t="str">
        <f>IF(B250&gt;0,(VLOOKUP(I250,'Actuator Reference'!$A$2:$H$54,2)),"-")</f>
        <v>SSC81U</v>
      </c>
      <c r="Q250" s="278" t="str">
        <f>IF(B250&gt;0,(VLOOKUP(I250,'Actuator Reference'!$A$2:$H$54,5)),"-")</f>
        <v>Float</v>
      </c>
      <c r="R250" s="278" t="str">
        <f>IF(B250&gt;0,(VLOOKUP(I250,'Actuator Reference'!$A$2:$H$54,6)),"-")</f>
        <v>NSR</v>
      </c>
      <c r="S250" s="278" t="str">
        <f>IF(B250&gt;0,(VLOOKUP(I250,'Actuator Reference'!$A$2:$H$54,7)),"-")</f>
        <v>24V</v>
      </c>
      <c r="T250" s="279" t="str">
        <f>IF(B250&gt;0,(VLOOKUP(I250,'Actuator Reference'!$A$2:$H$54,8)),"-")</f>
        <v>MT-Series</v>
      </c>
      <c r="AD250" s="41"/>
      <c r="AE250" s="41"/>
      <c r="AF250" s="35">
        <v>1</v>
      </c>
      <c r="AG250" s="35" t="s">
        <v>1097</v>
      </c>
      <c r="AH250" s="38" t="str">
        <f t="shared" si="15"/>
        <v>259-02038</v>
      </c>
      <c r="AI250" s="264" t="e">
        <f t="shared" si="14"/>
        <v>#REF!</v>
      </c>
    </row>
    <row r="251" spans="1:35" ht="14.25">
      <c r="A251" s="275" t="e">
        <f>'Box Schedule'!#REF!</f>
        <v>#REF!</v>
      </c>
      <c r="B251" s="262">
        <v>5</v>
      </c>
      <c r="C251" s="229" t="str">
        <f>IF((B251&gt;0),(VLOOKUP(J251,'Valve Reference'!$A$2:$K$389,3)),"-")</f>
        <v>0.5</v>
      </c>
      <c r="D251" s="230" t="s">
        <v>577</v>
      </c>
      <c r="E251" s="231">
        <f>IF((B251&gt;0),('Vlookup Tables'!$B$37),"-")</f>
        <v>5</v>
      </c>
      <c r="F251" s="51">
        <f t="shared" si="12"/>
        <v>2.2360679774997898</v>
      </c>
      <c r="G251" s="228">
        <f>IF((B251&gt;0),(VLOOKUP($B251,'Vlookup Tables'!$B$23:$F$33,2,TRUE)),"-")</f>
        <v>2.5</v>
      </c>
      <c r="H251" s="52">
        <f t="shared" si="13"/>
        <v>4</v>
      </c>
      <c r="I251" s="50">
        <f>IF((B251&gt;0),('Vlookup Tables'!$B$35),"-")</f>
        <v>259</v>
      </c>
      <c r="J251" s="265" t="str">
        <f>IF(B251&gt;0,(IF(D251="2-Way",VLOOKUP($G251,'Vlookup Tables'!$C$23:$F$33,2,FALSE),VLOOKUP($G251,'Vlookup Tables'!$C$23:$F$33,3,FALSE))),"-")</f>
        <v>02038</v>
      </c>
      <c r="K251" s="276" t="str">
        <f>IF(B251&gt;0,(VLOOKUP(J251,'Valve Reference'!$A$2:$K$389,4)),"-")</f>
        <v>Standard</v>
      </c>
      <c r="L251" s="276" t="str">
        <f>IF(B251&gt;0,(VLOOKUP(J251,'Valve Reference'!$A$2:$K$389,5)),"-")</f>
        <v>BR</v>
      </c>
      <c r="M251" s="276" t="str">
        <f>IF(B251&gt;0,(VLOOKUP(J251,'Valve Reference'!$A$2:$K$389,8)),"-")</f>
        <v>Linear</v>
      </c>
      <c r="N251" s="276" t="str">
        <f>IF(B251&gt;0,(VLOOKUP(J251,'Valve Reference'!$A$2:$K$389,10)),"-")</f>
        <v>FxF</v>
      </c>
      <c r="O251" s="277" t="str">
        <f>IF(B251&gt;0,(VLOOKUP(J251,'Valve Reference'!$A$2:$K$389,11)),"-")</f>
        <v>Globe-Powermite</v>
      </c>
      <c r="P251" s="278" t="str">
        <f>IF(B251&gt;0,(VLOOKUP(I251,'Actuator Reference'!$A$2:$H$54,2)),"-")</f>
        <v>SSC81U</v>
      </c>
      <c r="Q251" s="278" t="str">
        <f>IF(B251&gt;0,(VLOOKUP(I251,'Actuator Reference'!$A$2:$H$54,5)),"-")</f>
        <v>Float</v>
      </c>
      <c r="R251" s="278" t="str">
        <f>IF(B251&gt;0,(VLOOKUP(I251,'Actuator Reference'!$A$2:$H$54,6)),"-")</f>
        <v>NSR</v>
      </c>
      <c r="S251" s="278" t="str">
        <f>IF(B251&gt;0,(VLOOKUP(I251,'Actuator Reference'!$A$2:$H$54,7)),"-")</f>
        <v>24V</v>
      </c>
      <c r="T251" s="279" t="str">
        <f>IF(B251&gt;0,(VLOOKUP(I251,'Actuator Reference'!$A$2:$H$54,8)),"-")</f>
        <v>MT-Series</v>
      </c>
      <c r="AD251" s="41"/>
      <c r="AE251" s="41"/>
      <c r="AF251" s="35">
        <v>1</v>
      </c>
      <c r="AG251" s="35" t="s">
        <v>1097</v>
      </c>
      <c r="AH251" s="38" t="str">
        <f t="shared" si="15"/>
        <v>259-02038</v>
      </c>
      <c r="AI251" s="264" t="e">
        <f t="shared" si="14"/>
        <v>#REF!</v>
      </c>
    </row>
    <row r="252" spans="1:35" ht="14.25">
      <c r="A252" s="275" t="e">
        <f>'Box Schedule'!#REF!</f>
        <v>#REF!</v>
      </c>
      <c r="B252" s="262">
        <v>6</v>
      </c>
      <c r="C252" s="229" t="str">
        <f>IF((B252&gt;0),(VLOOKUP(J252,'Valve Reference'!$A$2:$K$389,3)),"-")</f>
        <v>0.5</v>
      </c>
      <c r="D252" s="230" t="s">
        <v>577</v>
      </c>
      <c r="E252" s="231">
        <f>IF((B252&gt;0),('Vlookup Tables'!$B$37),"-")</f>
        <v>5</v>
      </c>
      <c r="F252" s="51">
        <f t="shared" si="12"/>
        <v>2.6832815729997477</v>
      </c>
      <c r="G252" s="228">
        <f>IF((B252&gt;0),(VLOOKUP($B252,'Vlookup Tables'!$B$23:$F$33,2,TRUE)),"-")</f>
        <v>4</v>
      </c>
      <c r="H252" s="52">
        <f t="shared" si="13"/>
        <v>2.25</v>
      </c>
      <c r="I252" s="50">
        <f>IF((B252&gt;0),('Vlookup Tables'!$B$35),"-")</f>
        <v>259</v>
      </c>
      <c r="J252" s="265" t="str">
        <f>IF(B252&gt;0,(IF(D252="2-Way",VLOOKUP($G252,'Vlookup Tables'!$C$23:$F$33,2,FALSE),VLOOKUP($G252,'Vlookup Tables'!$C$23:$F$33,3,FALSE))),"-")</f>
        <v>02041</v>
      </c>
      <c r="K252" s="276" t="str">
        <f>IF(B252&gt;0,(VLOOKUP(J252,'Valve Reference'!$A$2:$K$389,4)),"-")</f>
        <v>Standard</v>
      </c>
      <c r="L252" s="276" t="str">
        <f>IF(B252&gt;0,(VLOOKUP(J252,'Valve Reference'!$A$2:$K$389,5)),"-")</f>
        <v>BR</v>
      </c>
      <c r="M252" s="276" t="str">
        <f>IF(B252&gt;0,(VLOOKUP(J252,'Valve Reference'!$A$2:$K$389,8)),"-")</f>
        <v>Linear</v>
      </c>
      <c r="N252" s="276" t="str">
        <f>IF(B252&gt;0,(VLOOKUP(J252,'Valve Reference'!$A$2:$K$389,10)),"-")</f>
        <v>FxF</v>
      </c>
      <c r="O252" s="277" t="str">
        <f>IF(B252&gt;0,(VLOOKUP(J252,'Valve Reference'!$A$2:$K$389,11)),"-")</f>
        <v>Globe-Powermite</v>
      </c>
      <c r="P252" s="278" t="str">
        <f>IF(B252&gt;0,(VLOOKUP(I252,'Actuator Reference'!$A$2:$H$54,2)),"-")</f>
        <v>SSC81U</v>
      </c>
      <c r="Q252" s="278" t="str">
        <f>IF(B252&gt;0,(VLOOKUP(I252,'Actuator Reference'!$A$2:$H$54,5)),"-")</f>
        <v>Float</v>
      </c>
      <c r="R252" s="278" t="str">
        <f>IF(B252&gt;0,(VLOOKUP(I252,'Actuator Reference'!$A$2:$H$54,6)),"-")</f>
        <v>NSR</v>
      </c>
      <c r="S252" s="278" t="str">
        <f>IF(B252&gt;0,(VLOOKUP(I252,'Actuator Reference'!$A$2:$H$54,7)),"-")</f>
        <v>24V</v>
      </c>
      <c r="T252" s="279" t="str">
        <f>IF(B252&gt;0,(VLOOKUP(I252,'Actuator Reference'!$A$2:$H$54,8)),"-")</f>
        <v>MT-Series</v>
      </c>
      <c r="AD252" s="41"/>
      <c r="AE252" s="41"/>
      <c r="AF252" s="35">
        <v>1</v>
      </c>
      <c r="AG252" s="35" t="s">
        <v>1097</v>
      </c>
      <c r="AH252" s="38" t="str">
        <f t="shared" si="15"/>
        <v>259-02041</v>
      </c>
      <c r="AI252" s="264" t="e">
        <f t="shared" si="14"/>
        <v>#REF!</v>
      </c>
    </row>
    <row r="253" spans="1:35" ht="14.25">
      <c r="A253" s="275" t="e">
        <f>'Box Schedule'!#REF!</f>
        <v>#REF!</v>
      </c>
      <c r="B253" s="262">
        <v>7</v>
      </c>
      <c r="C253" s="229" t="str">
        <f>IF((B253&gt;0),(VLOOKUP(J253,'Valve Reference'!$A$2:$K$389,3)),"-")</f>
        <v>0.5</v>
      </c>
      <c r="D253" s="230" t="s">
        <v>577</v>
      </c>
      <c r="E253" s="231">
        <f>IF((B253&gt;0),('Vlookup Tables'!$B$37),"-")</f>
        <v>5</v>
      </c>
      <c r="F253" s="51">
        <f t="shared" si="12"/>
        <v>3.1304951684997055</v>
      </c>
      <c r="G253" s="228">
        <f>IF((B253&gt;0),(VLOOKUP($B253,'Vlookup Tables'!$B$23:$F$33,2,TRUE)),"-")</f>
        <v>4</v>
      </c>
      <c r="H253" s="52">
        <f t="shared" si="13"/>
        <v>3.0625000000000004</v>
      </c>
      <c r="I253" s="50">
        <f>IF((B253&gt;0),('Vlookup Tables'!$B$35),"-")</f>
        <v>259</v>
      </c>
      <c r="J253" s="265" t="str">
        <f>IF(B253&gt;0,(IF(D253="2-Way",VLOOKUP($G253,'Vlookup Tables'!$C$23:$F$33,2,FALSE),VLOOKUP($G253,'Vlookup Tables'!$C$23:$F$33,3,FALSE))),"-")</f>
        <v>02041</v>
      </c>
      <c r="K253" s="276" t="str">
        <f>IF(B253&gt;0,(VLOOKUP(J253,'Valve Reference'!$A$2:$K$389,4)),"-")</f>
        <v>Standard</v>
      </c>
      <c r="L253" s="276" t="str">
        <f>IF(B253&gt;0,(VLOOKUP(J253,'Valve Reference'!$A$2:$K$389,5)),"-")</f>
        <v>BR</v>
      </c>
      <c r="M253" s="276" t="str">
        <f>IF(B253&gt;0,(VLOOKUP(J253,'Valve Reference'!$A$2:$K$389,8)),"-")</f>
        <v>Linear</v>
      </c>
      <c r="N253" s="276" t="str">
        <f>IF(B253&gt;0,(VLOOKUP(J253,'Valve Reference'!$A$2:$K$389,10)),"-")</f>
        <v>FxF</v>
      </c>
      <c r="O253" s="277" t="str">
        <f>IF(B253&gt;0,(VLOOKUP(J253,'Valve Reference'!$A$2:$K$389,11)),"-")</f>
        <v>Globe-Powermite</v>
      </c>
      <c r="P253" s="278" t="str">
        <f>IF(B253&gt;0,(VLOOKUP(I253,'Actuator Reference'!$A$2:$H$54,2)),"-")</f>
        <v>SSC81U</v>
      </c>
      <c r="Q253" s="278" t="str">
        <f>IF(B253&gt;0,(VLOOKUP(I253,'Actuator Reference'!$A$2:$H$54,5)),"-")</f>
        <v>Float</v>
      </c>
      <c r="R253" s="278" t="str">
        <f>IF(B253&gt;0,(VLOOKUP(I253,'Actuator Reference'!$A$2:$H$54,6)),"-")</f>
        <v>NSR</v>
      </c>
      <c r="S253" s="278" t="str">
        <f>IF(B253&gt;0,(VLOOKUP(I253,'Actuator Reference'!$A$2:$H$54,7)),"-")</f>
        <v>24V</v>
      </c>
      <c r="T253" s="279" t="str">
        <f>IF(B253&gt;0,(VLOOKUP(I253,'Actuator Reference'!$A$2:$H$54,8)),"-")</f>
        <v>MT-Series</v>
      </c>
      <c r="AD253" s="41"/>
      <c r="AE253" s="41"/>
      <c r="AF253" s="35">
        <v>1</v>
      </c>
      <c r="AG253" s="35" t="s">
        <v>1097</v>
      </c>
      <c r="AH253" s="38" t="str">
        <f t="shared" si="15"/>
        <v>259-02041</v>
      </c>
      <c r="AI253" s="264" t="e">
        <f t="shared" si="14"/>
        <v>#REF!</v>
      </c>
    </row>
    <row r="254" spans="1:35" ht="14.25">
      <c r="A254" s="275" t="e">
        <f>'Box Schedule'!#REF!</f>
        <v>#REF!</v>
      </c>
      <c r="B254" s="262">
        <v>8</v>
      </c>
      <c r="C254" s="229" t="str">
        <f>IF((B254&gt;0),(VLOOKUP(J254,'Valve Reference'!$A$2:$K$389,3)),"-")</f>
        <v>0.5</v>
      </c>
      <c r="D254" s="230" t="s">
        <v>577</v>
      </c>
      <c r="E254" s="231">
        <f>IF((B254&gt;0),('Vlookup Tables'!$B$37),"-")</f>
        <v>5</v>
      </c>
      <c r="F254" s="51">
        <f t="shared" si="12"/>
        <v>3.5777087639996634</v>
      </c>
      <c r="G254" s="228">
        <f>IF((B254&gt;0),(VLOOKUP($B254,'Vlookup Tables'!$B$23:$F$33,2,TRUE)),"-")</f>
        <v>4</v>
      </c>
      <c r="H254" s="52">
        <f t="shared" si="13"/>
        <v>4</v>
      </c>
      <c r="I254" s="50">
        <f>IF((B254&gt;0),('Vlookup Tables'!$B$35),"-")</f>
        <v>259</v>
      </c>
      <c r="J254" s="265" t="str">
        <f>IF(B254&gt;0,(IF(D254="2-Way",VLOOKUP($G254,'Vlookup Tables'!$C$23:$F$33,2,FALSE),VLOOKUP($G254,'Vlookup Tables'!$C$23:$F$33,3,FALSE))),"-")</f>
        <v>02041</v>
      </c>
      <c r="K254" s="276" t="str">
        <f>IF(B254&gt;0,(VLOOKUP(J254,'Valve Reference'!$A$2:$K$389,4)),"-")</f>
        <v>Standard</v>
      </c>
      <c r="L254" s="276" t="str">
        <f>IF(B254&gt;0,(VLOOKUP(J254,'Valve Reference'!$A$2:$K$389,5)),"-")</f>
        <v>BR</v>
      </c>
      <c r="M254" s="276" t="str">
        <f>IF(B254&gt;0,(VLOOKUP(J254,'Valve Reference'!$A$2:$K$389,8)),"-")</f>
        <v>Linear</v>
      </c>
      <c r="N254" s="276" t="str">
        <f>IF(B254&gt;0,(VLOOKUP(J254,'Valve Reference'!$A$2:$K$389,10)),"-")</f>
        <v>FxF</v>
      </c>
      <c r="O254" s="277" t="str">
        <f>IF(B254&gt;0,(VLOOKUP(J254,'Valve Reference'!$A$2:$K$389,11)),"-")</f>
        <v>Globe-Powermite</v>
      </c>
      <c r="P254" s="278" t="str">
        <f>IF(B254&gt;0,(VLOOKUP(I254,'Actuator Reference'!$A$2:$H$54,2)),"-")</f>
        <v>SSC81U</v>
      </c>
      <c r="Q254" s="278" t="str">
        <f>IF(B254&gt;0,(VLOOKUP(I254,'Actuator Reference'!$A$2:$H$54,5)),"-")</f>
        <v>Float</v>
      </c>
      <c r="R254" s="278" t="str">
        <f>IF(B254&gt;0,(VLOOKUP(I254,'Actuator Reference'!$A$2:$H$54,6)),"-")</f>
        <v>NSR</v>
      </c>
      <c r="S254" s="278" t="str">
        <f>IF(B254&gt;0,(VLOOKUP(I254,'Actuator Reference'!$A$2:$H$54,7)),"-")</f>
        <v>24V</v>
      </c>
      <c r="T254" s="279" t="str">
        <f>IF(B254&gt;0,(VLOOKUP(I254,'Actuator Reference'!$A$2:$H$54,8)),"-")</f>
        <v>MT-Series</v>
      </c>
      <c r="AD254" s="41"/>
      <c r="AE254" s="41"/>
      <c r="AF254" s="35">
        <v>1</v>
      </c>
      <c r="AG254" s="35" t="s">
        <v>1097</v>
      </c>
      <c r="AH254" s="38" t="str">
        <f t="shared" si="15"/>
        <v>259-02041</v>
      </c>
      <c r="AI254" s="264" t="e">
        <f t="shared" si="14"/>
        <v>#REF!</v>
      </c>
    </row>
    <row r="255" spans="1:35" ht="14.25">
      <c r="A255" s="275" t="e">
        <f>'Box Schedule'!#REF!</f>
        <v>#REF!</v>
      </c>
      <c r="B255" s="262">
        <v>9</v>
      </c>
      <c r="C255" s="229" t="str">
        <f>IF((B255&gt;0),(VLOOKUP(J255,'Valve Reference'!$A$2:$K$389,3)),"-")</f>
        <v>0.75</v>
      </c>
      <c r="D255" s="230" t="s">
        <v>577</v>
      </c>
      <c r="E255" s="231">
        <f>IF((B255&gt;0),('Vlookup Tables'!$B$37),"-")</f>
        <v>5</v>
      </c>
      <c r="F255" s="51">
        <f t="shared" si="12"/>
        <v>4.0249223594996213</v>
      </c>
      <c r="G255" s="228">
        <f>IF((B255&gt;0),(VLOOKUP($B255,'Vlookup Tables'!$B$23:$F$33,2,TRUE)),"-")</f>
        <v>6.3</v>
      </c>
      <c r="H255" s="52">
        <f t="shared" si="13"/>
        <v>2.0408163265306127</v>
      </c>
      <c r="I255" s="50">
        <f>IF((B255&gt;0),('Vlookup Tables'!$B$35),"-")</f>
        <v>259</v>
      </c>
      <c r="J255" s="265" t="str">
        <f>IF(B255&gt;0,(IF(D255="2-Way",VLOOKUP($G255,'Vlookup Tables'!$C$23:$F$33,2,FALSE),VLOOKUP($G255,'Vlookup Tables'!$C$23:$F$33,3,FALSE))),"-")</f>
        <v>02044</v>
      </c>
      <c r="K255" s="276" t="str">
        <f>IF(B255&gt;0,(VLOOKUP(J255,'Valve Reference'!$A$2:$K$389,4)),"-")</f>
        <v>Standard</v>
      </c>
      <c r="L255" s="276" t="str">
        <f>IF(B255&gt;0,(VLOOKUP(J255,'Valve Reference'!$A$2:$K$389,5)),"-")</f>
        <v>BR</v>
      </c>
      <c r="M255" s="276" t="str">
        <f>IF(B255&gt;0,(VLOOKUP(J255,'Valve Reference'!$A$2:$K$389,8)),"-")</f>
        <v>Linear</v>
      </c>
      <c r="N255" s="276" t="str">
        <f>IF(B255&gt;0,(VLOOKUP(J255,'Valve Reference'!$A$2:$K$389,10)),"-")</f>
        <v>FxF</v>
      </c>
      <c r="O255" s="277" t="str">
        <f>IF(B255&gt;0,(VLOOKUP(J255,'Valve Reference'!$A$2:$K$389,11)),"-")</f>
        <v>Globe-Powermite</v>
      </c>
      <c r="P255" s="278" t="str">
        <f>IF(B255&gt;0,(VLOOKUP(I255,'Actuator Reference'!$A$2:$H$54,2)),"-")</f>
        <v>SSC81U</v>
      </c>
      <c r="Q255" s="278" t="str">
        <f>IF(B255&gt;0,(VLOOKUP(I255,'Actuator Reference'!$A$2:$H$54,5)),"-")</f>
        <v>Float</v>
      </c>
      <c r="R255" s="278" t="str">
        <f>IF(B255&gt;0,(VLOOKUP(I255,'Actuator Reference'!$A$2:$H$54,6)),"-")</f>
        <v>NSR</v>
      </c>
      <c r="S255" s="278" t="str">
        <f>IF(B255&gt;0,(VLOOKUP(I255,'Actuator Reference'!$A$2:$H$54,7)),"-")</f>
        <v>24V</v>
      </c>
      <c r="T255" s="279" t="str">
        <f>IF(B255&gt;0,(VLOOKUP(I255,'Actuator Reference'!$A$2:$H$54,8)),"-")</f>
        <v>MT-Series</v>
      </c>
      <c r="AD255" s="41"/>
      <c r="AE255" s="41"/>
      <c r="AF255" s="35">
        <v>1</v>
      </c>
      <c r="AG255" s="35" t="s">
        <v>1097</v>
      </c>
      <c r="AH255" s="38" t="str">
        <f t="shared" si="15"/>
        <v>259-02044</v>
      </c>
      <c r="AI255" s="264" t="e">
        <f t="shared" si="14"/>
        <v>#REF!</v>
      </c>
    </row>
    <row r="256" spans="1:35" ht="14.25">
      <c r="A256" s="275" t="e">
        <f>'Box Schedule'!#REF!</f>
        <v>#REF!</v>
      </c>
      <c r="B256" s="262">
        <v>1</v>
      </c>
      <c r="C256" s="229" t="str">
        <f>IF((B256&gt;0),(VLOOKUP(J256,'Valve Reference'!$A$2:$K$389,3)),"-")</f>
        <v>0.5</v>
      </c>
      <c r="D256" s="230" t="s">
        <v>577</v>
      </c>
      <c r="E256" s="231">
        <f>IF((B256&gt;0),('Vlookup Tables'!$B$37),"-")</f>
        <v>5</v>
      </c>
      <c r="F256" s="51">
        <f t="shared" si="12"/>
        <v>0.44721359549995793</v>
      </c>
      <c r="G256" s="228">
        <f>IF((B256&gt;0),(VLOOKUP($B256,'Vlookup Tables'!$B$23:$F$33,2,TRUE)),"-")</f>
        <v>0.63</v>
      </c>
      <c r="H256" s="52">
        <f t="shared" si="13"/>
        <v>2.5195263290501382</v>
      </c>
      <c r="I256" s="50">
        <f>IF((B256&gt;0),('Vlookup Tables'!$B$35),"-")</f>
        <v>259</v>
      </c>
      <c r="J256" s="265" t="str">
        <f>IF(B256&gt;0,(IF(D256="2-Way",VLOOKUP($G256,'Vlookup Tables'!$C$23:$F$33,2,FALSE),VLOOKUP($G256,'Vlookup Tables'!$C$23:$F$33,3,FALSE))),"-")</f>
        <v>02032</v>
      </c>
      <c r="K256" s="276" t="str">
        <f>IF(B256&gt;0,(VLOOKUP(J256,'Valve Reference'!$A$2:$K$389,4)),"-")</f>
        <v>Standard</v>
      </c>
      <c r="L256" s="276" t="str">
        <f>IF(B256&gt;0,(VLOOKUP(J256,'Valve Reference'!$A$2:$K$389,5)),"-")</f>
        <v>BR</v>
      </c>
      <c r="M256" s="276" t="str">
        <f>IF(B256&gt;0,(VLOOKUP(J256,'Valve Reference'!$A$2:$K$389,8)),"-")</f>
        <v>Linear</v>
      </c>
      <c r="N256" s="276" t="str">
        <f>IF(B256&gt;0,(VLOOKUP(J256,'Valve Reference'!$A$2:$K$389,10)),"-")</f>
        <v>FxF</v>
      </c>
      <c r="O256" s="277" t="str">
        <f>IF(B256&gt;0,(VLOOKUP(J256,'Valve Reference'!$A$2:$K$389,11)),"-")</f>
        <v>Globe-Powermite</v>
      </c>
      <c r="P256" s="278" t="str">
        <f>IF(B256&gt;0,(VLOOKUP(I256,'Actuator Reference'!$A$2:$H$54,2)),"-")</f>
        <v>SSC81U</v>
      </c>
      <c r="Q256" s="278" t="str">
        <f>IF(B256&gt;0,(VLOOKUP(I256,'Actuator Reference'!$A$2:$H$54,5)),"-")</f>
        <v>Float</v>
      </c>
      <c r="R256" s="278" t="str">
        <f>IF(B256&gt;0,(VLOOKUP(I256,'Actuator Reference'!$A$2:$H$54,6)),"-")</f>
        <v>NSR</v>
      </c>
      <c r="S256" s="278" t="str">
        <f>IF(B256&gt;0,(VLOOKUP(I256,'Actuator Reference'!$A$2:$H$54,7)),"-")</f>
        <v>24V</v>
      </c>
      <c r="T256" s="279" t="str">
        <f>IF(B256&gt;0,(VLOOKUP(I256,'Actuator Reference'!$A$2:$H$54,8)),"-")</f>
        <v>MT-Series</v>
      </c>
      <c r="AD256" s="41"/>
      <c r="AE256" s="41"/>
      <c r="AF256" s="35">
        <v>1</v>
      </c>
      <c r="AG256" s="35" t="s">
        <v>1097</v>
      </c>
      <c r="AH256" s="38" t="str">
        <f t="shared" si="15"/>
        <v>259-02032</v>
      </c>
      <c r="AI256" s="264" t="e">
        <f t="shared" si="14"/>
        <v>#REF!</v>
      </c>
    </row>
    <row r="257" spans="1:35" ht="14.25">
      <c r="A257" s="275" t="e">
        <f>'Box Schedule'!#REF!</f>
        <v>#REF!</v>
      </c>
      <c r="B257" s="262">
        <v>2</v>
      </c>
      <c r="C257" s="229" t="str">
        <f>IF((B257&gt;0),(VLOOKUP(J257,'Valve Reference'!$A$2:$K$389,3)),"-")</f>
        <v>0.5</v>
      </c>
      <c r="D257" s="230" t="s">
        <v>577</v>
      </c>
      <c r="E257" s="231">
        <f>IF((B257&gt;0),('Vlookup Tables'!$B$37),"-")</f>
        <v>5</v>
      </c>
      <c r="F257" s="51">
        <f t="shared" si="12"/>
        <v>0.89442719099991586</v>
      </c>
      <c r="G257" s="228">
        <f>IF((B257&gt;0),(VLOOKUP($B257,'Vlookup Tables'!$B$23:$F$33,2,TRUE)),"-")</f>
        <v>1</v>
      </c>
      <c r="H257" s="52">
        <f t="shared" si="13"/>
        <v>4</v>
      </c>
      <c r="I257" s="50">
        <f>IF((B257&gt;0),('Vlookup Tables'!$B$35),"-")</f>
        <v>259</v>
      </c>
      <c r="J257" s="265" t="str">
        <f>IF(B257&gt;0,(IF(D257="2-Way",VLOOKUP($G257,'Vlookup Tables'!$C$23:$F$33,2,FALSE),VLOOKUP($G257,'Vlookup Tables'!$C$23:$F$33,3,FALSE))),"-")</f>
        <v>02034</v>
      </c>
      <c r="K257" s="276" t="str">
        <f>IF(B257&gt;0,(VLOOKUP(J257,'Valve Reference'!$A$2:$K$389,4)),"-")</f>
        <v>Standard</v>
      </c>
      <c r="L257" s="276" t="str">
        <f>IF(B257&gt;0,(VLOOKUP(J257,'Valve Reference'!$A$2:$K$389,5)),"-")</f>
        <v>BR</v>
      </c>
      <c r="M257" s="276" t="str">
        <f>IF(B257&gt;0,(VLOOKUP(J257,'Valve Reference'!$A$2:$K$389,8)),"-")</f>
        <v>Linear</v>
      </c>
      <c r="N257" s="276" t="str">
        <f>IF(B257&gt;0,(VLOOKUP(J257,'Valve Reference'!$A$2:$K$389,10)),"-")</f>
        <v>FxF</v>
      </c>
      <c r="O257" s="277" t="str">
        <f>IF(B257&gt;0,(VLOOKUP(J257,'Valve Reference'!$A$2:$K$389,11)),"-")</f>
        <v>Globe-Powermite</v>
      </c>
      <c r="P257" s="278" t="str">
        <f>IF(B257&gt;0,(VLOOKUP(I257,'Actuator Reference'!$A$2:$H$54,2)),"-")</f>
        <v>SSC81U</v>
      </c>
      <c r="Q257" s="278" t="str">
        <f>IF(B257&gt;0,(VLOOKUP(I257,'Actuator Reference'!$A$2:$H$54,5)),"-")</f>
        <v>Float</v>
      </c>
      <c r="R257" s="278" t="str">
        <f>IF(B257&gt;0,(VLOOKUP(I257,'Actuator Reference'!$A$2:$H$54,6)),"-")</f>
        <v>NSR</v>
      </c>
      <c r="S257" s="278" t="str">
        <f>IF(B257&gt;0,(VLOOKUP(I257,'Actuator Reference'!$A$2:$H$54,7)),"-")</f>
        <v>24V</v>
      </c>
      <c r="T257" s="279" t="str">
        <f>IF(B257&gt;0,(VLOOKUP(I257,'Actuator Reference'!$A$2:$H$54,8)),"-")</f>
        <v>MT-Series</v>
      </c>
      <c r="AD257" s="41"/>
      <c r="AE257" s="41"/>
      <c r="AF257" s="35">
        <v>1</v>
      </c>
      <c r="AG257" s="35" t="s">
        <v>1097</v>
      </c>
      <c r="AH257" s="38" t="str">
        <f t="shared" si="15"/>
        <v>259-02034</v>
      </c>
      <c r="AI257" s="264" t="e">
        <f t="shared" si="14"/>
        <v>#REF!</v>
      </c>
    </row>
    <row r="258" spans="1:35" ht="14.25">
      <c r="A258" s="275" t="e">
        <f>'Box Schedule'!#REF!</f>
        <v>#REF!</v>
      </c>
      <c r="B258" s="262">
        <v>3</v>
      </c>
      <c r="C258" s="229" t="str">
        <f>IF((B258&gt;0),(VLOOKUP(J258,'Valve Reference'!$A$2:$K$389,3)),"-")</f>
        <v>0.5</v>
      </c>
      <c r="D258" s="230" t="s">
        <v>577</v>
      </c>
      <c r="E258" s="231">
        <f>IF((B258&gt;0),('Vlookup Tables'!$B$37),"-")</f>
        <v>5</v>
      </c>
      <c r="F258" s="51">
        <f t="shared" si="12"/>
        <v>1.3416407864998738</v>
      </c>
      <c r="G258" s="228">
        <f>IF((B258&gt;0),(VLOOKUP($B258,'Vlookup Tables'!$B$23:$F$33,2,TRUE)),"-")</f>
        <v>1.6</v>
      </c>
      <c r="H258" s="52">
        <f t="shared" si="13"/>
        <v>3.515625</v>
      </c>
      <c r="I258" s="50">
        <f>IF((B258&gt;0),('Vlookup Tables'!$B$35),"-")</f>
        <v>259</v>
      </c>
      <c r="J258" s="265" t="str">
        <f>IF(B258&gt;0,(IF(D258="2-Way",VLOOKUP($G258,'Vlookup Tables'!$C$23:$F$33,2,FALSE),VLOOKUP($G258,'Vlookup Tables'!$C$23:$F$33,3,FALSE))),"-")</f>
        <v>02036</v>
      </c>
      <c r="K258" s="276" t="str">
        <f>IF(B258&gt;0,(VLOOKUP(J258,'Valve Reference'!$A$2:$K$389,4)),"-")</f>
        <v>Standard</v>
      </c>
      <c r="L258" s="276" t="str">
        <f>IF(B258&gt;0,(VLOOKUP(J258,'Valve Reference'!$A$2:$K$389,5)),"-")</f>
        <v>BR</v>
      </c>
      <c r="M258" s="276" t="str">
        <f>IF(B258&gt;0,(VLOOKUP(J258,'Valve Reference'!$A$2:$K$389,8)),"-")</f>
        <v>Linear</v>
      </c>
      <c r="N258" s="276" t="str">
        <f>IF(B258&gt;0,(VLOOKUP(J258,'Valve Reference'!$A$2:$K$389,10)),"-")</f>
        <v>FxF</v>
      </c>
      <c r="O258" s="277" t="str">
        <f>IF(B258&gt;0,(VLOOKUP(J258,'Valve Reference'!$A$2:$K$389,11)),"-")</f>
        <v>Globe-Powermite</v>
      </c>
      <c r="P258" s="278" t="str">
        <f>IF(B258&gt;0,(VLOOKUP(I258,'Actuator Reference'!$A$2:$H$54,2)),"-")</f>
        <v>SSC81U</v>
      </c>
      <c r="Q258" s="278" t="str">
        <f>IF(B258&gt;0,(VLOOKUP(I258,'Actuator Reference'!$A$2:$H$54,5)),"-")</f>
        <v>Float</v>
      </c>
      <c r="R258" s="278" t="str">
        <f>IF(B258&gt;0,(VLOOKUP(I258,'Actuator Reference'!$A$2:$H$54,6)),"-")</f>
        <v>NSR</v>
      </c>
      <c r="S258" s="278" t="str">
        <f>IF(B258&gt;0,(VLOOKUP(I258,'Actuator Reference'!$A$2:$H$54,7)),"-")</f>
        <v>24V</v>
      </c>
      <c r="T258" s="279" t="str">
        <f>IF(B258&gt;0,(VLOOKUP(I258,'Actuator Reference'!$A$2:$H$54,8)),"-")</f>
        <v>MT-Series</v>
      </c>
      <c r="AD258" s="41"/>
      <c r="AE258" s="41"/>
      <c r="AF258" s="35">
        <v>1</v>
      </c>
      <c r="AG258" s="35" t="s">
        <v>1097</v>
      </c>
      <c r="AH258" s="38" t="str">
        <f t="shared" si="15"/>
        <v>259-02036</v>
      </c>
      <c r="AI258" s="264" t="e">
        <f t="shared" si="14"/>
        <v>#REF!</v>
      </c>
    </row>
    <row r="259" spans="1:35" ht="14.25">
      <c r="A259" s="275" t="e">
        <f>'Box Schedule'!#REF!</f>
        <v>#REF!</v>
      </c>
      <c r="B259" s="262">
        <v>4</v>
      </c>
      <c r="C259" s="229" t="str">
        <f>IF((B259&gt;0),(VLOOKUP(J259,'Valve Reference'!$A$2:$K$389,3)),"-")</f>
        <v>0.5</v>
      </c>
      <c r="D259" s="230" t="s">
        <v>577</v>
      </c>
      <c r="E259" s="231">
        <f>IF((B259&gt;0),('Vlookup Tables'!$B$37),"-")</f>
        <v>5</v>
      </c>
      <c r="F259" s="51">
        <f t="shared" si="12"/>
        <v>1.7888543819998317</v>
      </c>
      <c r="G259" s="228">
        <f>IF((B259&gt;0),(VLOOKUP($B259,'Vlookup Tables'!$B$23:$F$33,2,TRUE)),"-")</f>
        <v>2.5</v>
      </c>
      <c r="H259" s="52">
        <f t="shared" si="13"/>
        <v>2.56</v>
      </c>
      <c r="I259" s="50">
        <f>IF((B259&gt;0),('Vlookup Tables'!$B$35),"-")</f>
        <v>259</v>
      </c>
      <c r="J259" s="265" t="str">
        <f>IF(B259&gt;0,(IF(D259="2-Way",VLOOKUP($G259,'Vlookup Tables'!$C$23:$F$33,2,FALSE),VLOOKUP($G259,'Vlookup Tables'!$C$23:$F$33,3,FALSE))),"-")</f>
        <v>02038</v>
      </c>
      <c r="K259" s="276" t="str">
        <f>IF(B259&gt;0,(VLOOKUP(J259,'Valve Reference'!$A$2:$K$389,4)),"-")</f>
        <v>Standard</v>
      </c>
      <c r="L259" s="276" t="str">
        <f>IF(B259&gt;0,(VLOOKUP(J259,'Valve Reference'!$A$2:$K$389,5)),"-")</f>
        <v>BR</v>
      </c>
      <c r="M259" s="276" t="str">
        <f>IF(B259&gt;0,(VLOOKUP(J259,'Valve Reference'!$A$2:$K$389,8)),"-")</f>
        <v>Linear</v>
      </c>
      <c r="N259" s="276" t="str">
        <f>IF(B259&gt;0,(VLOOKUP(J259,'Valve Reference'!$A$2:$K$389,10)),"-")</f>
        <v>FxF</v>
      </c>
      <c r="O259" s="277" t="str">
        <f>IF(B259&gt;0,(VLOOKUP(J259,'Valve Reference'!$A$2:$K$389,11)),"-")</f>
        <v>Globe-Powermite</v>
      </c>
      <c r="P259" s="278" t="str">
        <f>IF(B259&gt;0,(VLOOKUP(I259,'Actuator Reference'!$A$2:$H$54,2)),"-")</f>
        <v>SSC81U</v>
      </c>
      <c r="Q259" s="278" t="str">
        <f>IF(B259&gt;0,(VLOOKUP(I259,'Actuator Reference'!$A$2:$H$54,5)),"-")</f>
        <v>Float</v>
      </c>
      <c r="R259" s="278" t="str">
        <f>IF(B259&gt;0,(VLOOKUP(I259,'Actuator Reference'!$A$2:$H$54,6)),"-")</f>
        <v>NSR</v>
      </c>
      <c r="S259" s="278" t="str">
        <f>IF(B259&gt;0,(VLOOKUP(I259,'Actuator Reference'!$A$2:$H$54,7)),"-")</f>
        <v>24V</v>
      </c>
      <c r="T259" s="279" t="str">
        <f>IF(B259&gt;0,(VLOOKUP(I259,'Actuator Reference'!$A$2:$H$54,8)),"-")</f>
        <v>MT-Series</v>
      </c>
      <c r="AD259" s="41"/>
      <c r="AE259" s="41"/>
      <c r="AF259" s="35">
        <v>1</v>
      </c>
      <c r="AG259" s="35" t="s">
        <v>1097</v>
      </c>
      <c r="AH259" s="38" t="str">
        <f t="shared" si="15"/>
        <v>259-02038</v>
      </c>
      <c r="AI259" s="264" t="e">
        <f t="shared" si="14"/>
        <v>#REF!</v>
      </c>
    </row>
    <row r="260" spans="1:35" ht="14.25">
      <c r="A260" s="275" t="e">
        <f>'Box Schedule'!#REF!</f>
        <v>#REF!</v>
      </c>
      <c r="B260" s="262">
        <v>5</v>
      </c>
      <c r="C260" s="229" t="str">
        <f>IF((B260&gt;0),(VLOOKUP(J260,'Valve Reference'!$A$2:$K$389,3)),"-")</f>
        <v>0.5</v>
      </c>
      <c r="D260" s="230" t="s">
        <v>577</v>
      </c>
      <c r="E260" s="231">
        <f>IF((B260&gt;0),('Vlookup Tables'!$B$37),"-")</f>
        <v>5</v>
      </c>
      <c r="F260" s="51">
        <f t="shared" si="12"/>
        <v>2.2360679774997898</v>
      </c>
      <c r="G260" s="228">
        <f>IF((B260&gt;0),(VLOOKUP($B260,'Vlookup Tables'!$B$23:$F$33,2,TRUE)),"-")</f>
        <v>2.5</v>
      </c>
      <c r="H260" s="52">
        <f t="shared" si="13"/>
        <v>4</v>
      </c>
      <c r="I260" s="50">
        <f>IF((B260&gt;0),('Vlookup Tables'!$B$35),"-")</f>
        <v>259</v>
      </c>
      <c r="J260" s="265" t="str">
        <f>IF(B260&gt;0,(IF(D260="2-Way",VLOOKUP($G260,'Vlookup Tables'!$C$23:$F$33,2,FALSE),VLOOKUP($G260,'Vlookup Tables'!$C$23:$F$33,3,FALSE))),"-")</f>
        <v>02038</v>
      </c>
      <c r="K260" s="276" t="str">
        <f>IF(B260&gt;0,(VLOOKUP(J260,'Valve Reference'!$A$2:$K$389,4)),"-")</f>
        <v>Standard</v>
      </c>
      <c r="L260" s="276" t="str">
        <f>IF(B260&gt;0,(VLOOKUP(J260,'Valve Reference'!$A$2:$K$389,5)),"-")</f>
        <v>BR</v>
      </c>
      <c r="M260" s="276" t="str">
        <f>IF(B260&gt;0,(VLOOKUP(J260,'Valve Reference'!$A$2:$K$389,8)),"-")</f>
        <v>Linear</v>
      </c>
      <c r="N260" s="276" t="str">
        <f>IF(B260&gt;0,(VLOOKUP(J260,'Valve Reference'!$A$2:$K$389,10)),"-")</f>
        <v>FxF</v>
      </c>
      <c r="O260" s="277" t="str">
        <f>IF(B260&gt;0,(VLOOKUP(J260,'Valve Reference'!$A$2:$K$389,11)),"-")</f>
        <v>Globe-Powermite</v>
      </c>
      <c r="P260" s="278" t="str">
        <f>IF(B260&gt;0,(VLOOKUP(I260,'Actuator Reference'!$A$2:$H$54,2)),"-")</f>
        <v>SSC81U</v>
      </c>
      <c r="Q260" s="278" t="str">
        <f>IF(B260&gt;0,(VLOOKUP(I260,'Actuator Reference'!$A$2:$H$54,5)),"-")</f>
        <v>Float</v>
      </c>
      <c r="R260" s="278" t="str">
        <f>IF(B260&gt;0,(VLOOKUP(I260,'Actuator Reference'!$A$2:$H$54,6)),"-")</f>
        <v>NSR</v>
      </c>
      <c r="S260" s="278" t="str">
        <f>IF(B260&gt;0,(VLOOKUP(I260,'Actuator Reference'!$A$2:$H$54,7)),"-")</f>
        <v>24V</v>
      </c>
      <c r="T260" s="279" t="str">
        <f>IF(B260&gt;0,(VLOOKUP(I260,'Actuator Reference'!$A$2:$H$54,8)),"-")</f>
        <v>MT-Series</v>
      </c>
      <c r="AD260" s="41"/>
      <c r="AE260" s="41"/>
      <c r="AF260" s="35">
        <v>1</v>
      </c>
      <c r="AG260" s="35" t="s">
        <v>1097</v>
      </c>
      <c r="AH260" s="38" t="str">
        <f t="shared" si="15"/>
        <v>259-02038</v>
      </c>
      <c r="AI260" s="264" t="e">
        <f t="shared" si="14"/>
        <v>#REF!</v>
      </c>
    </row>
    <row r="261" spans="1:35" ht="14.25">
      <c r="A261" s="275" t="e">
        <f>'Box Schedule'!#REF!</f>
        <v>#REF!</v>
      </c>
      <c r="B261" s="262">
        <v>6</v>
      </c>
      <c r="C261" s="229" t="str">
        <f>IF((B261&gt;0),(VLOOKUP(J261,'Valve Reference'!$A$2:$K$389,3)),"-")</f>
        <v>0.5</v>
      </c>
      <c r="D261" s="230" t="s">
        <v>577</v>
      </c>
      <c r="E261" s="231">
        <f>IF((B261&gt;0),('Vlookup Tables'!$B$37),"-")</f>
        <v>5</v>
      </c>
      <c r="F261" s="51">
        <f t="shared" ref="F261:F282" si="16">IF((B261&gt;0),(B261/SQRT(E261)),"-")</f>
        <v>2.6832815729997477</v>
      </c>
      <c r="G261" s="228">
        <f>IF((B261&gt;0),(VLOOKUP($B261,'Vlookup Tables'!$B$23:$F$33,2,TRUE)),"-")</f>
        <v>4</v>
      </c>
      <c r="H261" s="52">
        <f t="shared" ref="H261:H282" si="17">IF((B261&gt;0),(1/((G261/B261)^2)),"-")</f>
        <v>2.25</v>
      </c>
      <c r="I261" s="50">
        <f>IF((B261&gt;0),('Vlookup Tables'!$B$35),"-")</f>
        <v>259</v>
      </c>
      <c r="J261" s="265" t="str">
        <f>IF(B261&gt;0,(IF(D261="2-Way",VLOOKUP($G261,'Vlookup Tables'!$C$23:$F$33,2,FALSE),VLOOKUP($G261,'Vlookup Tables'!$C$23:$F$33,3,FALSE))),"-")</f>
        <v>02041</v>
      </c>
      <c r="K261" s="276" t="str">
        <f>IF(B261&gt;0,(VLOOKUP(J261,'Valve Reference'!$A$2:$K$389,4)),"-")</f>
        <v>Standard</v>
      </c>
      <c r="L261" s="276" t="str">
        <f>IF(B261&gt;0,(VLOOKUP(J261,'Valve Reference'!$A$2:$K$389,5)),"-")</f>
        <v>BR</v>
      </c>
      <c r="M261" s="276" t="str">
        <f>IF(B261&gt;0,(VLOOKUP(J261,'Valve Reference'!$A$2:$K$389,8)),"-")</f>
        <v>Linear</v>
      </c>
      <c r="N261" s="276" t="str">
        <f>IF(B261&gt;0,(VLOOKUP(J261,'Valve Reference'!$A$2:$K$389,10)),"-")</f>
        <v>FxF</v>
      </c>
      <c r="O261" s="277" t="str">
        <f>IF(B261&gt;0,(VLOOKUP(J261,'Valve Reference'!$A$2:$K$389,11)),"-")</f>
        <v>Globe-Powermite</v>
      </c>
      <c r="P261" s="278" t="str">
        <f>IF(B261&gt;0,(VLOOKUP(I261,'Actuator Reference'!$A$2:$H$54,2)),"-")</f>
        <v>SSC81U</v>
      </c>
      <c r="Q261" s="278" t="str">
        <f>IF(B261&gt;0,(VLOOKUP(I261,'Actuator Reference'!$A$2:$H$54,5)),"-")</f>
        <v>Float</v>
      </c>
      <c r="R261" s="278" t="str">
        <f>IF(B261&gt;0,(VLOOKUP(I261,'Actuator Reference'!$A$2:$H$54,6)),"-")</f>
        <v>NSR</v>
      </c>
      <c r="S261" s="278" t="str">
        <f>IF(B261&gt;0,(VLOOKUP(I261,'Actuator Reference'!$A$2:$H$54,7)),"-")</f>
        <v>24V</v>
      </c>
      <c r="T261" s="279" t="str">
        <f>IF(B261&gt;0,(VLOOKUP(I261,'Actuator Reference'!$A$2:$H$54,8)),"-")</f>
        <v>MT-Series</v>
      </c>
      <c r="AD261" s="41"/>
      <c r="AE261" s="41"/>
      <c r="AF261" s="35">
        <v>1</v>
      </c>
      <c r="AG261" s="35" t="s">
        <v>1097</v>
      </c>
      <c r="AH261" s="38" t="str">
        <f t="shared" si="15"/>
        <v>259-02041</v>
      </c>
      <c r="AI261" s="264" t="e">
        <f t="shared" ref="AI261:AI282" si="18">A261</f>
        <v>#REF!</v>
      </c>
    </row>
    <row r="262" spans="1:35" ht="14.25">
      <c r="A262" s="275" t="e">
        <f>'Box Schedule'!#REF!</f>
        <v>#REF!</v>
      </c>
      <c r="B262" s="262">
        <v>7</v>
      </c>
      <c r="C262" s="229" t="str">
        <f>IF((B262&gt;0),(VLOOKUP(J262,'Valve Reference'!$A$2:$K$389,3)),"-")</f>
        <v>0.5</v>
      </c>
      <c r="D262" s="230" t="s">
        <v>577</v>
      </c>
      <c r="E262" s="231">
        <f>IF((B262&gt;0),('Vlookup Tables'!$B$37),"-")</f>
        <v>5</v>
      </c>
      <c r="F262" s="51">
        <f t="shared" si="16"/>
        <v>3.1304951684997055</v>
      </c>
      <c r="G262" s="228">
        <f>IF((B262&gt;0),(VLOOKUP($B262,'Vlookup Tables'!$B$23:$F$33,2,TRUE)),"-")</f>
        <v>4</v>
      </c>
      <c r="H262" s="52">
        <f t="shared" si="17"/>
        <v>3.0625000000000004</v>
      </c>
      <c r="I262" s="50">
        <f>IF((B262&gt;0),('Vlookup Tables'!$B$35),"-")</f>
        <v>259</v>
      </c>
      <c r="J262" s="265" t="str">
        <f>IF(B262&gt;0,(IF(D262="2-Way",VLOOKUP($G262,'Vlookup Tables'!$C$23:$F$33,2,FALSE),VLOOKUP($G262,'Vlookup Tables'!$C$23:$F$33,3,FALSE))),"-")</f>
        <v>02041</v>
      </c>
      <c r="K262" s="276" t="str">
        <f>IF(B262&gt;0,(VLOOKUP(J262,'Valve Reference'!$A$2:$K$389,4)),"-")</f>
        <v>Standard</v>
      </c>
      <c r="L262" s="276" t="str">
        <f>IF(B262&gt;0,(VLOOKUP(J262,'Valve Reference'!$A$2:$K$389,5)),"-")</f>
        <v>BR</v>
      </c>
      <c r="M262" s="276" t="str">
        <f>IF(B262&gt;0,(VLOOKUP(J262,'Valve Reference'!$A$2:$K$389,8)),"-")</f>
        <v>Linear</v>
      </c>
      <c r="N262" s="276" t="str">
        <f>IF(B262&gt;0,(VLOOKUP(J262,'Valve Reference'!$A$2:$K$389,10)),"-")</f>
        <v>FxF</v>
      </c>
      <c r="O262" s="277" t="str">
        <f>IF(B262&gt;0,(VLOOKUP(J262,'Valve Reference'!$A$2:$K$389,11)),"-")</f>
        <v>Globe-Powermite</v>
      </c>
      <c r="P262" s="278" t="str">
        <f>IF(B262&gt;0,(VLOOKUP(I262,'Actuator Reference'!$A$2:$H$54,2)),"-")</f>
        <v>SSC81U</v>
      </c>
      <c r="Q262" s="278" t="str">
        <f>IF(B262&gt;0,(VLOOKUP(I262,'Actuator Reference'!$A$2:$H$54,5)),"-")</f>
        <v>Float</v>
      </c>
      <c r="R262" s="278" t="str">
        <f>IF(B262&gt;0,(VLOOKUP(I262,'Actuator Reference'!$A$2:$H$54,6)),"-")</f>
        <v>NSR</v>
      </c>
      <c r="S262" s="278" t="str">
        <f>IF(B262&gt;0,(VLOOKUP(I262,'Actuator Reference'!$A$2:$H$54,7)),"-")</f>
        <v>24V</v>
      </c>
      <c r="T262" s="279" t="str">
        <f>IF(B262&gt;0,(VLOOKUP(I262,'Actuator Reference'!$A$2:$H$54,8)),"-")</f>
        <v>MT-Series</v>
      </c>
      <c r="AD262" s="41"/>
      <c r="AE262" s="41"/>
      <c r="AF262" s="35">
        <v>1</v>
      </c>
      <c r="AG262" s="35" t="s">
        <v>1097</v>
      </c>
      <c r="AH262" s="38" t="str">
        <f t="shared" ref="AH262:AH282" si="19">CONCATENATE(I262,"-",J262)</f>
        <v>259-02041</v>
      </c>
      <c r="AI262" s="264" t="e">
        <f t="shared" si="18"/>
        <v>#REF!</v>
      </c>
    </row>
    <row r="263" spans="1:35" ht="14.25">
      <c r="A263" s="275" t="e">
        <f>'Box Schedule'!#REF!</f>
        <v>#REF!</v>
      </c>
      <c r="B263" s="262">
        <v>8</v>
      </c>
      <c r="C263" s="229" t="str">
        <f>IF((B263&gt;0),(VLOOKUP(J263,'Valve Reference'!$A$2:$K$389,3)),"-")</f>
        <v>0.5</v>
      </c>
      <c r="D263" s="230" t="s">
        <v>577</v>
      </c>
      <c r="E263" s="231">
        <f>IF((B263&gt;0),('Vlookup Tables'!$B$37),"-")</f>
        <v>5</v>
      </c>
      <c r="F263" s="51">
        <f t="shared" si="16"/>
        <v>3.5777087639996634</v>
      </c>
      <c r="G263" s="228">
        <f>IF((B263&gt;0),(VLOOKUP($B263,'Vlookup Tables'!$B$23:$F$33,2,TRUE)),"-")</f>
        <v>4</v>
      </c>
      <c r="H263" s="52">
        <f t="shared" si="17"/>
        <v>4</v>
      </c>
      <c r="I263" s="50">
        <f>IF((B263&gt;0),('Vlookup Tables'!$B$35),"-")</f>
        <v>259</v>
      </c>
      <c r="J263" s="265" t="str">
        <f>IF(B263&gt;0,(IF(D263="2-Way",VLOOKUP($G263,'Vlookup Tables'!$C$23:$F$33,2,FALSE),VLOOKUP($G263,'Vlookup Tables'!$C$23:$F$33,3,FALSE))),"-")</f>
        <v>02041</v>
      </c>
      <c r="K263" s="276" t="str">
        <f>IF(B263&gt;0,(VLOOKUP(J263,'Valve Reference'!$A$2:$K$389,4)),"-")</f>
        <v>Standard</v>
      </c>
      <c r="L263" s="276" t="str">
        <f>IF(B263&gt;0,(VLOOKUP(J263,'Valve Reference'!$A$2:$K$389,5)),"-")</f>
        <v>BR</v>
      </c>
      <c r="M263" s="276" t="str">
        <f>IF(B263&gt;0,(VLOOKUP(J263,'Valve Reference'!$A$2:$K$389,8)),"-")</f>
        <v>Linear</v>
      </c>
      <c r="N263" s="276" t="str">
        <f>IF(B263&gt;0,(VLOOKUP(J263,'Valve Reference'!$A$2:$K$389,10)),"-")</f>
        <v>FxF</v>
      </c>
      <c r="O263" s="277" t="str">
        <f>IF(B263&gt;0,(VLOOKUP(J263,'Valve Reference'!$A$2:$K$389,11)),"-")</f>
        <v>Globe-Powermite</v>
      </c>
      <c r="P263" s="278" t="str">
        <f>IF(B263&gt;0,(VLOOKUP(I263,'Actuator Reference'!$A$2:$H$54,2)),"-")</f>
        <v>SSC81U</v>
      </c>
      <c r="Q263" s="278" t="str">
        <f>IF(B263&gt;0,(VLOOKUP(I263,'Actuator Reference'!$A$2:$H$54,5)),"-")</f>
        <v>Float</v>
      </c>
      <c r="R263" s="278" t="str">
        <f>IF(B263&gt;0,(VLOOKUP(I263,'Actuator Reference'!$A$2:$H$54,6)),"-")</f>
        <v>NSR</v>
      </c>
      <c r="S263" s="278" t="str">
        <f>IF(B263&gt;0,(VLOOKUP(I263,'Actuator Reference'!$A$2:$H$54,7)),"-")</f>
        <v>24V</v>
      </c>
      <c r="T263" s="279" t="str">
        <f>IF(B263&gt;0,(VLOOKUP(I263,'Actuator Reference'!$A$2:$H$54,8)),"-")</f>
        <v>MT-Series</v>
      </c>
      <c r="AD263" s="41"/>
      <c r="AE263" s="41"/>
      <c r="AF263" s="35">
        <v>1</v>
      </c>
      <c r="AG263" s="35" t="s">
        <v>1097</v>
      </c>
      <c r="AH263" s="38" t="str">
        <f t="shared" si="19"/>
        <v>259-02041</v>
      </c>
      <c r="AI263" s="264" t="e">
        <f t="shared" si="18"/>
        <v>#REF!</v>
      </c>
    </row>
    <row r="264" spans="1:35" ht="14.25">
      <c r="A264" s="275" t="e">
        <f>'Box Schedule'!#REF!</f>
        <v>#REF!</v>
      </c>
      <c r="B264" s="262">
        <v>9</v>
      </c>
      <c r="C264" s="229" t="str">
        <f>IF((B264&gt;0),(VLOOKUP(J264,'Valve Reference'!$A$2:$K$389,3)),"-")</f>
        <v>0.75</v>
      </c>
      <c r="D264" s="230" t="s">
        <v>577</v>
      </c>
      <c r="E264" s="231">
        <f>IF((B264&gt;0),('Vlookup Tables'!$B$37),"-")</f>
        <v>5</v>
      </c>
      <c r="F264" s="51">
        <f t="shared" si="16"/>
        <v>4.0249223594996213</v>
      </c>
      <c r="G264" s="228">
        <f>IF((B264&gt;0),(VLOOKUP($B264,'Vlookup Tables'!$B$23:$F$33,2,TRUE)),"-")</f>
        <v>6.3</v>
      </c>
      <c r="H264" s="52">
        <f t="shared" si="17"/>
        <v>2.0408163265306127</v>
      </c>
      <c r="I264" s="50">
        <f>IF((B264&gt;0),('Vlookup Tables'!$B$35),"-")</f>
        <v>259</v>
      </c>
      <c r="J264" s="265" t="str">
        <f>IF(B264&gt;0,(IF(D264="2-Way",VLOOKUP($G264,'Vlookup Tables'!$C$23:$F$33,2,FALSE),VLOOKUP($G264,'Vlookup Tables'!$C$23:$F$33,3,FALSE))),"-")</f>
        <v>02044</v>
      </c>
      <c r="K264" s="276" t="str">
        <f>IF(B264&gt;0,(VLOOKUP(J264,'Valve Reference'!$A$2:$K$389,4)),"-")</f>
        <v>Standard</v>
      </c>
      <c r="L264" s="276" t="str">
        <f>IF(B264&gt;0,(VLOOKUP(J264,'Valve Reference'!$A$2:$K$389,5)),"-")</f>
        <v>BR</v>
      </c>
      <c r="M264" s="276" t="str">
        <f>IF(B264&gt;0,(VLOOKUP(J264,'Valve Reference'!$A$2:$K$389,8)),"-")</f>
        <v>Linear</v>
      </c>
      <c r="N264" s="276" t="str">
        <f>IF(B264&gt;0,(VLOOKUP(J264,'Valve Reference'!$A$2:$K$389,10)),"-")</f>
        <v>FxF</v>
      </c>
      <c r="O264" s="277" t="str">
        <f>IF(B264&gt;0,(VLOOKUP(J264,'Valve Reference'!$A$2:$K$389,11)),"-")</f>
        <v>Globe-Powermite</v>
      </c>
      <c r="P264" s="278" t="str">
        <f>IF(B264&gt;0,(VLOOKUP(I264,'Actuator Reference'!$A$2:$H$54,2)),"-")</f>
        <v>SSC81U</v>
      </c>
      <c r="Q264" s="278" t="str">
        <f>IF(B264&gt;0,(VLOOKUP(I264,'Actuator Reference'!$A$2:$H$54,5)),"-")</f>
        <v>Float</v>
      </c>
      <c r="R264" s="278" t="str">
        <f>IF(B264&gt;0,(VLOOKUP(I264,'Actuator Reference'!$A$2:$H$54,6)),"-")</f>
        <v>NSR</v>
      </c>
      <c r="S264" s="278" t="str">
        <f>IF(B264&gt;0,(VLOOKUP(I264,'Actuator Reference'!$A$2:$H$54,7)),"-")</f>
        <v>24V</v>
      </c>
      <c r="T264" s="279" t="str">
        <f>IF(B264&gt;0,(VLOOKUP(I264,'Actuator Reference'!$A$2:$H$54,8)),"-")</f>
        <v>MT-Series</v>
      </c>
      <c r="AD264" s="41"/>
      <c r="AE264" s="41"/>
      <c r="AF264" s="35">
        <v>1</v>
      </c>
      <c r="AG264" s="35" t="s">
        <v>1097</v>
      </c>
      <c r="AH264" s="38" t="str">
        <f t="shared" si="19"/>
        <v>259-02044</v>
      </c>
      <c r="AI264" s="264" t="e">
        <f t="shared" si="18"/>
        <v>#REF!</v>
      </c>
    </row>
    <row r="265" spans="1:35" ht="14.25">
      <c r="A265" s="275" t="e">
        <f>'Box Schedule'!#REF!</f>
        <v>#REF!</v>
      </c>
      <c r="B265" s="262">
        <v>1</v>
      </c>
      <c r="C265" s="229" t="str">
        <f>IF((B265&gt;0),(VLOOKUP(J265,'Valve Reference'!$A$2:$K$389,3)),"-")</f>
        <v>0.5</v>
      </c>
      <c r="D265" s="230" t="s">
        <v>577</v>
      </c>
      <c r="E265" s="231">
        <f>IF((B265&gt;0),('Vlookup Tables'!$B$37),"-")</f>
        <v>5</v>
      </c>
      <c r="F265" s="51">
        <f t="shared" si="16"/>
        <v>0.44721359549995793</v>
      </c>
      <c r="G265" s="228">
        <f>IF((B265&gt;0),(VLOOKUP($B265,'Vlookup Tables'!$B$23:$F$33,2,TRUE)),"-")</f>
        <v>0.63</v>
      </c>
      <c r="H265" s="52">
        <f t="shared" si="17"/>
        <v>2.5195263290501382</v>
      </c>
      <c r="I265" s="50">
        <f>IF((B265&gt;0),('Vlookup Tables'!$B$35),"-")</f>
        <v>259</v>
      </c>
      <c r="J265" s="265" t="str">
        <f>IF(B265&gt;0,(IF(D265="2-Way",VLOOKUP($G265,'Vlookup Tables'!$C$23:$F$33,2,FALSE),VLOOKUP($G265,'Vlookup Tables'!$C$23:$F$33,3,FALSE))),"-")</f>
        <v>02032</v>
      </c>
      <c r="K265" s="276" t="str">
        <f>IF(B265&gt;0,(VLOOKUP(J265,'Valve Reference'!$A$2:$K$389,4)),"-")</f>
        <v>Standard</v>
      </c>
      <c r="L265" s="276" t="str">
        <f>IF(B265&gt;0,(VLOOKUP(J265,'Valve Reference'!$A$2:$K$389,5)),"-")</f>
        <v>BR</v>
      </c>
      <c r="M265" s="276" t="str">
        <f>IF(B265&gt;0,(VLOOKUP(J265,'Valve Reference'!$A$2:$K$389,8)),"-")</f>
        <v>Linear</v>
      </c>
      <c r="N265" s="276" t="str">
        <f>IF(B265&gt;0,(VLOOKUP(J265,'Valve Reference'!$A$2:$K$389,10)),"-")</f>
        <v>FxF</v>
      </c>
      <c r="O265" s="277" t="str">
        <f>IF(B265&gt;0,(VLOOKUP(J265,'Valve Reference'!$A$2:$K$389,11)),"-")</f>
        <v>Globe-Powermite</v>
      </c>
      <c r="P265" s="278" t="str">
        <f>IF(B265&gt;0,(VLOOKUP(I265,'Actuator Reference'!$A$2:$H$54,2)),"-")</f>
        <v>SSC81U</v>
      </c>
      <c r="Q265" s="278" t="str">
        <f>IF(B265&gt;0,(VLOOKUP(I265,'Actuator Reference'!$A$2:$H$54,5)),"-")</f>
        <v>Float</v>
      </c>
      <c r="R265" s="278" t="str">
        <f>IF(B265&gt;0,(VLOOKUP(I265,'Actuator Reference'!$A$2:$H$54,6)),"-")</f>
        <v>NSR</v>
      </c>
      <c r="S265" s="278" t="str">
        <f>IF(B265&gt;0,(VLOOKUP(I265,'Actuator Reference'!$A$2:$H$54,7)),"-")</f>
        <v>24V</v>
      </c>
      <c r="T265" s="279" t="str">
        <f>IF(B265&gt;0,(VLOOKUP(I265,'Actuator Reference'!$A$2:$H$54,8)),"-")</f>
        <v>MT-Series</v>
      </c>
      <c r="AD265" s="41"/>
      <c r="AE265" s="41"/>
      <c r="AF265" s="35">
        <v>1</v>
      </c>
      <c r="AG265" s="35" t="s">
        <v>1097</v>
      </c>
      <c r="AH265" s="38" t="str">
        <f t="shared" si="19"/>
        <v>259-02032</v>
      </c>
      <c r="AI265" s="264" t="e">
        <f t="shared" si="18"/>
        <v>#REF!</v>
      </c>
    </row>
    <row r="266" spans="1:35" ht="14.25">
      <c r="A266" s="275" t="e">
        <f>'Box Schedule'!#REF!</f>
        <v>#REF!</v>
      </c>
      <c r="B266" s="262">
        <v>2</v>
      </c>
      <c r="C266" s="229" t="str">
        <f>IF((B266&gt;0),(VLOOKUP(J266,'Valve Reference'!$A$2:$K$389,3)),"-")</f>
        <v>0.5</v>
      </c>
      <c r="D266" s="230" t="s">
        <v>577</v>
      </c>
      <c r="E266" s="231">
        <f>IF((B266&gt;0),('Vlookup Tables'!$B$37),"-")</f>
        <v>5</v>
      </c>
      <c r="F266" s="51">
        <f t="shared" si="16"/>
        <v>0.89442719099991586</v>
      </c>
      <c r="G266" s="228">
        <f>IF((B266&gt;0),(VLOOKUP($B266,'Vlookup Tables'!$B$23:$F$33,2,TRUE)),"-")</f>
        <v>1</v>
      </c>
      <c r="H266" s="52">
        <f t="shared" si="17"/>
        <v>4</v>
      </c>
      <c r="I266" s="50">
        <f>IF((B266&gt;0),('Vlookup Tables'!$B$35),"-")</f>
        <v>259</v>
      </c>
      <c r="J266" s="265" t="str">
        <f>IF(B266&gt;0,(IF(D266="2-Way",VLOOKUP($G266,'Vlookup Tables'!$C$23:$F$33,2,FALSE),VLOOKUP($G266,'Vlookup Tables'!$C$23:$F$33,3,FALSE))),"-")</f>
        <v>02034</v>
      </c>
      <c r="K266" s="276" t="str">
        <f>IF(B266&gt;0,(VLOOKUP(J266,'Valve Reference'!$A$2:$K$389,4)),"-")</f>
        <v>Standard</v>
      </c>
      <c r="L266" s="276" t="str">
        <f>IF(B266&gt;0,(VLOOKUP(J266,'Valve Reference'!$A$2:$K$389,5)),"-")</f>
        <v>BR</v>
      </c>
      <c r="M266" s="276" t="str">
        <f>IF(B266&gt;0,(VLOOKUP(J266,'Valve Reference'!$A$2:$K$389,8)),"-")</f>
        <v>Linear</v>
      </c>
      <c r="N266" s="276" t="str">
        <f>IF(B266&gt;0,(VLOOKUP(J266,'Valve Reference'!$A$2:$K$389,10)),"-")</f>
        <v>FxF</v>
      </c>
      <c r="O266" s="277" t="str">
        <f>IF(B266&gt;0,(VLOOKUP(J266,'Valve Reference'!$A$2:$K$389,11)),"-")</f>
        <v>Globe-Powermite</v>
      </c>
      <c r="P266" s="278" t="str">
        <f>IF(B266&gt;0,(VLOOKUP(I266,'Actuator Reference'!$A$2:$H$54,2)),"-")</f>
        <v>SSC81U</v>
      </c>
      <c r="Q266" s="278" t="str">
        <f>IF(B266&gt;0,(VLOOKUP(I266,'Actuator Reference'!$A$2:$H$54,5)),"-")</f>
        <v>Float</v>
      </c>
      <c r="R266" s="278" t="str">
        <f>IF(B266&gt;0,(VLOOKUP(I266,'Actuator Reference'!$A$2:$H$54,6)),"-")</f>
        <v>NSR</v>
      </c>
      <c r="S266" s="278" t="str">
        <f>IF(B266&gt;0,(VLOOKUP(I266,'Actuator Reference'!$A$2:$H$54,7)),"-")</f>
        <v>24V</v>
      </c>
      <c r="T266" s="279" t="str">
        <f>IF(B266&gt;0,(VLOOKUP(I266,'Actuator Reference'!$A$2:$H$54,8)),"-")</f>
        <v>MT-Series</v>
      </c>
      <c r="AD266" s="41"/>
      <c r="AE266" s="41"/>
      <c r="AF266" s="35">
        <v>1</v>
      </c>
      <c r="AG266" s="35" t="s">
        <v>1097</v>
      </c>
      <c r="AH266" s="38" t="str">
        <f t="shared" si="19"/>
        <v>259-02034</v>
      </c>
      <c r="AI266" s="264" t="e">
        <f t="shared" si="18"/>
        <v>#REF!</v>
      </c>
    </row>
    <row r="267" spans="1:35" ht="14.25">
      <c r="A267" s="275" t="e">
        <f>'Box Schedule'!#REF!</f>
        <v>#REF!</v>
      </c>
      <c r="B267" s="262">
        <v>3</v>
      </c>
      <c r="C267" s="229" t="str">
        <f>IF((B267&gt;0),(VLOOKUP(J267,'Valve Reference'!$A$2:$K$389,3)),"-")</f>
        <v>0.5</v>
      </c>
      <c r="D267" s="230" t="s">
        <v>577</v>
      </c>
      <c r="E267" s="231">
        <f>IF((B267&gt;0),('Vlookup Tables'!$B$37),"-")</f>
        <v>5</v>
      </c>
      <c r="F267" s="51">
        <f t="shared" si="16"/>
        <v>1.3416407864998738</v>
      </c>
      <c r="G267" s="228">
        <f>IF((B267&gt;0),(VLOOKUP($B267,'Vlookup Tables'!$B$23:$F$33,2,TRUE)),"-")</f>
        <v>1.6</v>
      </c>
      <c r="H267" s="52">
        <f t="shared" si="17"/>
        <v>3.515625</v>
      </c>
      <c r="I267" s="50">
        <f>IF((B267&gt;0),('Vlookup Tables'!$B$35),"-")</f>
        <v>259</v>
      </c>
      <c r="J267" s="265" t="str">
        <f>IF(B267&gt;0,(IF(D267="2-Way",VLOOKUP($G267,'Vlookup Tables'!$C$23:$F$33,2,FALSE),VLOOKUP($G267,'Vlookup Tables'!$C$23:$F$33,3,FALSE))),"-")</f>
        <v>02036</v>
      </c>
      <c r="K267" s="276" t="str">
        <f>IF(B267&gt;0,(VLOOKUP(J267,'Valve Reference'!$A$2:$K$389,4)),"-")</f>
        <v>Standard</v>
      </c>
      <c r="L267" s="276" t="str">
        <f>IF(B267&gt;0,(VLOOKUP(J267,'Valve Reference'!$A$2:$K$389,5)),"-")</f>
        <v>BR</v>
      </c>
      <c r="M267" s="276" t="str">
        <f>IF(B267&gt;0,(VLOOKUP(J267,'Valve Reference'!$A$2:$K$389,8)),"-")</f>
        <v>Linear</v>
      </c>
      <c r="N267" s="276" t="str">
        <f>IF(B267&gt;0,(VLOOKUP(J267,'Valve Reference'!$A$2:$K$389,10)),"-")</f>
        <v>FxF</v>
      </c>
      <c r="O267" s="277" t="str">
        <f>IF(B267&gt;0,(VLOOKUP(J267,'Valve Reference'!$A$2:$K$389,11)),"-")</f>
        <v>Globe-Powermite</v>
      </c>
      <c r="P267" s="278" t="str">
        <f>IF(B267&gt;0,(VLOOKUP(I267,'Actuator Reference'!$A$2:$H$54,2)),"-")</f>
        <v>SSC81U</v>
      </c>
      <c r="Q267" s="278" t="str">
        <f>IF(B267&gt;0,(VLOOKUP(I267,'Actuator Reference'!$A$2:$H$54,5)),"-")</f>
        <v>Float</v>
      </c>
      <c r="R267" s="278" t="str">
        <f>IF(B267&gt;0,(VLOOKUP(I267,'Actuator Reference'!$A$2:$H$54,6)),"-")</f>
        <v>NSR</v>
      </c>
      <c r="S267" s="278" t="str">
        <f>IF(B267&gt;0,(VLOOKUP(I267,'Actuator Reference'!$A$2:$H$54,7)),"-")</f>
        <v>24V</v>
      </c>
      <c r="T267" s="279" t="str">
        <f>IF(B267&gt;0,(VLOOKUP(I267,'Actuator Reference'!$A$2:$H$54,8)),"-")</f>
        <v>MT-Series</v>
      </c>
      <c r="AD267" s="41"/>
      <c r="AE267" s="41"/>
      <c r="AF267" s="35">
        <v>1</v>
      </c>
      <c r="AG267" s="35" t="s">
        <v>1097</v>
      </c>
      <c r="AH267" s="38" t="str">
        <f t="shared" si="19"/>
        <v>259-02036</v>
      </c>
      <c r="AI267" s="264" t="e">
        <f t="shared" si="18"/>
        <v>#REF!</v>
      </c>
    </row>
    <row r="268" spans="1:35" ht="14.25">
      <c r="A268" s="275" t="e">
        <f>'Box Schedule'!#REF!</f>
        <v>#REF!</v>
      </c>
      <c r="B268" s="262">
        <v>4</v>
      </c>
      <c r="C268" s="229" t="str">
        <f>IF((B268&gt;0),(VLOOKUP(J268,'Valve Reference'!$A$2:$K$389,3)),"-")</f>
        <v>0.5</v>
      </c>
      <c r="D268" s="230" t="s">
        <v>577</v>
      </c>
      <c r="E268" s="231">
        <f>IF((B268&gt;0),('Vlookup Tables'!$B$37),"-")</f>
        <v>5</v>
      </c>
      <c r="F268" s="51">
        <f t="shared" si="16"/>
        <v>1.7888543819998317</v>
      </c>
      <c r="G268" s="228">
        <f>IF((B268&gt;0),(VLOOKUP($B268,'Vlookup Tables'!$B$23:$F$33,2,TRUE)),"-")</f>
        <v>2.5</v>
      </c>
      <c r="H268" s="52">
        <f t="shared" si="17"/>
        <v>2.56</v>
      </c>
      <c r="I268" s="50">
        <f>IF((B268&gt;0),('Vlookup Tables'!$B$35),"-")</f>
        <v>259</v>
      </c>
      <c r="J268" s="265" t="str">
        <f>IF(B268&gt;0,(IF(D268="2-Way",VLOOKUP($G268,'Vlookup Tables'!$C$23:$F$33,2,FALSE),VLOOKUP($G268,'Vlookup Tables'!$C$23:$F$33,3,FALSE))),"-")</f>
        <v>02038</v>
      </c>
      <c r="K268" s="276" t="str">
        <f>IF(B268&gt;0,(VLOOKUP(J268,'Valve Reference'!$A$2:$K$389,4)),"-")</f>
        <v>Standard</v>
      </c>
      <c r="L268" s="276" t="str">
        <f>IF(B268&gt;0,(VLOOKUP(J268,'Valve Reference'!$A$2:$K$389,5)),"-")</f>
        <v>BR</v>
      </c>
      <c r="M268" s="276" t="str">
        <f>IF(B268&gt;0,(VLOOKUP(J268,'Valve Reference'!$A$2:$K$389,8)),"-")</f>
        <v>Linear</v>
      </c>
      <c r="N268" s="276" t="str">
        <f>IF(B268&gt;0,(VLOOKUP(J268,'Valve Reference'!$A$2:$K$389,10)),"-")</f>
        <v>FxF</v>
      </c>
      <c r="O268" s="277" t="str">
        <f>IF(B268&gt;0,(VLOOKUP(J268,'Valve Reference'!$A$2:$K$389,11)),"-")</f>
        <v>Globe-Powermite</v>
      </c>
      <c r="P268" s="278" t="str">
        <f>IF(B268&gt;0,(VLOOKUP(I268,'Actuator Reference'!$A$2:$H$54,2)),"-")</f>
        <v>SSC81U</v>
      </c>
      <c r="Q268" s="278" t="str">
        <f>IF(B268&gt;0,(VLOOKUP(I268,'Actuator Reference'!$A$2:$H$54,5)),"-")</f>
        <v>Float</v>
      </c>
      <c r="R268" s="278" t="str">
        <f>IF(B268&gt;0,(VLOOKUP(I268,'Actuator Reference'!$A$2:$H$54,6)),"-")</f>
        <v>NSR</v>
      </c>
      <c r="S268" s="278" t="str">
        <f>IF(B268&gt;0,(VLOOKUP(I268,'Actuator Reference'!$A$2:$H$54,7)),"-")</f>
        <v>24V</v>
      </c>
      <c r="T268" s="279" t="str">
        <f>IF(B268&gt;0,(VLOOKUP(I268,'Actuator Reference'!$A$2:$H$54,8)),"-")</f>
        <v>MT-Series</v>
      </c>
      <c r="AD268" s="41"/>
      <c r="AE268" s="41"/>
      <c r="AF268" s="35">
        <v>1</v>
      </c>
      <c r="AG268" s="35" t="s">
        <v>1097</v>
      </c>
      <c r="AH268" s="38" t="str">
        <f t="shared" si="19"/>
        <v>259-02038</v>
      </c>
      <c r="AI268" s="264" t="e">
        <f t="shared" si="18"/>
        <v>#REF!</v>
      </c>
    </row>
    <row r="269" spans="1:35" ht="14.25">
      <c r="A269" s="275" t="e">
        <f>'Box Schedule'!#REF!</f>
        <v>#REF!</v>
      </c>
      <c r="B269" s="262">
        <v>5</v>
      </c>
      <c r="C269" s="229" t="str">
        <f>IF((B269&gt;0),(VLOOKUP(J269,'Valve Reference'!$A$2:$K$389,3)),"-")</f>
        <v>0.5</v>
      </c>
      <c r="D269" s="230" t="s">
        <v>577</v>
      </c>
      <c r="E269" s="231">
        <f>IF((B269&gt;0),('Vlookup Tables'!$B$37),"-")</f>
        <v>5</v>
      </c>
      <c r="F269" s="51">
        <f t="shared" si="16"/>
        <v>2.2360679774997898</v>
      </c>
      <c r="G269" s="228">
        <f>IF((B269&gt;0),(VLOOKUP($B269,'Vlookup Tables'!$B$23:$F$33,2,TRUE)),"-")</f>
        <v>2.5</v>
      </c>
      <c r="H269" s="52">
        <f t="shared" si="17"/>
        <v>4</v>
      </c>
      <c r="I269" s="50">
        <f>IF((B269&gt;0),('Vlookup Tables'!$B$35),"-")</f>
        <v>259</v>
      </c>
      <c r="J269" s="265" t="str">
        <f>IF(B269&gt;0,(IF(D269="2-Way",VLOOKUP($G269,'Vlookup Tables'!$C$23:$F$33,2,FALSE),VLOOKUP($G269,'Vlookup Tables'!$C$23:$F$33,3,FALSE))),"-")</f>
        <v>02038</v>
      </c>
      <c r="K269" s="276" t="str">
        <f>IF(B269&gt;0,(VLOOKUP(J269,'Valve Reference'!$A$2:$K$389,4)),"-")</f>
        <v>Standard</v>
      </c>
      <c r="L269" s="276" t="str">
        <f>IF(B269&gt;0,(VLOOKUP(J269,'Valve Reference'!$A$2:$K$389,5)),"-")</f>
        <v>BR</v>
      </c>
      <c r="M269" s="276" t="str">
        <f>IF(B269&gt;0,(VLOOKUP(J269,'Valve Reference'!$A$2:$K$389,8)),"-")</f>
        <v>Linear</v>
      </c>
      <c r="N269" s="276" t="str">
        <f>IF(B269&gt;0,(VLOOKUP(J269,'Valve Reference'!$A$2:$K$389,10)),"-")</f>
        <v>FxF</v>
      </c>
      <c r="O269" s="277" t="str">
        <f>IF(B269&gt;0,(VLOOKUP(J269,'Valve Reference'!$A$2:$K$389,11)),"-")</f>
        <v>Globe-Powermite</v>
      </c>
      <c r="P269" s="278" t="str">
        <f>IF(B269&gt;0,(VLOOKUP(I269,'Actuator Reference'!$A$2:$H$54,2)),"-")</f>
        <v>SSC81U</v>
      </c>
      <c r="Q269" s="278" t="str">
        <f>IF(B269&gt;0,(VLOOKUP(I269,'Actuator Reference'!$A$2:$H$54,5)),"-")</f>
        <v>Float</v>
      </c>
      <c r="R269" s="278" t="str">
        <f>IF(B269&gt;0,(VLOOKUP(I269,'Actuator Reference'!$A$2:$H$54,6)),"-")</f>
        <v>NSR</v>
      </c>
      <c r="S269" s="278" t="str">
        <f>IF(B269&gt;0,(VLOOKUP(I269,'Actuator Reference'!$A$2:$H$54,7)),"-")</f>
        <v>24V</v>
      </c>
      <c r="T269" s="279" t="str">
        <f>IF(B269&gt;0,(VLOOKUP(I269,'Actuator Reference'!$A$2:$H$54,8)),"-")</f>
        <v>MT-Series</v>
      </c>
      <c r="AD269" s="41"/>
      <c r="AE269" s="41"/>
      <c r="AF269" s="35">
        <v>1</v>
      </c>
      <c r="AG269" s="35" t="s">
        <v>1097</v>
      </c>
      <c r="AH269" s="38" t="str">
        <f t="shared" si="19"/>
        <v>259-02038</v>
      </c>
      <c r="AI269" s="264" t="e">
        <f t="shared" si="18"/>
        <v>#REF!</v>
      </c>
    </row>
    <row r="270" spans="1:35" ht="14.25">
      <c r="A270" s="275" t="e">
        <f>'Box Schedule'!#REF!</f>
        <v>#REF!</v>
      </c>
      <c r="B270" s="262">
        <v>6</v>
      </c>
      <c r="C270" s="229" t="str">
        <f>IF((B270&gt;0),(VLOOKUP(J270,'Valve Reference'!$A$2:$K$389,3)),"-")</f>
        <v>0.5</v>
      </c>
      <c r="D270" s="230" t="s">
        <v>577</v>
      </c>
      <c r="E270" s="231">
        <f>IF((B270&gt;0),('Vlookup Tables'!$B$37),"-")</f>
        <v>5</v>
      </c>
      <c r="F270" s="51">
        <f t="shared" si="16"/>
        <v>2.6832815729997477</v>
      </c>
      <c r="G270" s="228">
        <f>IF((B270&gt;0),(VLOOKUP($B270,'Vlookup Tables'!$B$23:$F$33,2,TRUE)),"-")</f>
        <v>4</v>
      </c>
      <c r="H270" s="52">
        <f t="shared" si="17"/>
        <v>2.25</v>
      </c>
      <c r="I270" s="50">
        <f>IF((B270&gt;0),('Vlookup Tables'!$B$35),"-")</f>
        <v>259</v>
      </c>
      <c r="J270" s="265" t="str">
        <f>IF(B270&gt;0,(IF(D270="2-Way",VLOOKUP($G270,'Vlookup Tables'!$C$23:$F$33,2,FALSE),VLOOKUP($G270,'Vlookup Tables'!$C$23:$F$33,3,FALSE))),"-")</f>
        <v>02041</v>
      </c>
      <c r="K270" s="276" t="str">
        <f>IF(B270&gt;0,(VLOOKUP(J270,'Valve Reference'!$A$2:$K$389,4)),"-")</f>
        <v>Standard</v>
      </c>
      <c r="L270" s="276" t="str">
        <f>IF(B270&gt;0,(VLOOKUP(J270,'Valve Reference'!$A$2:$K$389,5)),"-")</f>
        <v>BR</v>
      </c>
      <c r="M270" s="276" t="str">
        <f>IF(B270&gt;0,(VLOOKUP(J270,'Valve Reference'!$A$2:$K$389,8)),"-")</f>
        <v>Linear</v>
      </c>
      <c r="N270" s="276" t="str">
        <f>IF(B270&gt;0,(VLOOKUP(J270,'Valve Reference'!$A$2:$K$389,10)),"-")</f>
        <v>FxF</v>
      </c>
      <c r="O270" s="277" t="str">
        <f>IF(B270&gt;0,(VLOOKUP(J270,'Valve Reference'!$A$2:$K$389,11)),"-")</f>
        <v>Globe-Powermite</v>
      </c>
      <c r="P270" s="278" t="str">
        <f>IF(B270&gt;0,(VLOOKUP(I270,'Actuator Reference'!$A$2:$H$54,2)),"-")</f>
        <v>SSC81U</v>
      </c>
      <c r="Q270" s="278" t="str">
        <f>IF(B270&gt;0,(VLOOKUP(I270,'Actuator Reference'!$A$2:$H$54,5)),"-")</f>
        <v>Float</v>
      </c>
      <c r="R270" s="278" t="str">
        <f>IF(B270&gt;0,(VLOOKUP(I270,'Actuator Reference'!$A$2:$H$54,6)),"-")</f>
        <v>NSR</v>
      </c>
      <c r="S270" s="278" t="str">
        <f>IF(B270&gt;0,(VLOOKUP(I270,'Actuator Reference'!$A$2:$H$54,7)),"-")</f>
        <v>24V</v>
      </c>
      <c r="T270" s="279" t="str">
        <f>IF(B270&gt;0,(VLOOKUP(I270,'Actuator Reference'!$A$2:$H$54,8)),"-")</f>
        <v>MT-Series</v>
      </c>
      <c r="AD270" s="41"/>
      <c r="AE270" s="41"/>
      <c r="AF270" s="35">
        <v>1</v>
      </c>
      <c r="AG270" s="35" t="s">
        <v>1097</v>
      </c>
      <c r="AH270" s="38" t="str">
        <f t="shared" si="19"/>
        <v>259-02041</v>
      </c>
      <c r="AI270" s="264" t="e">
        <f t="shared" si="18"/>
        <v>#REF!</v>
      </c>
    </row>
    <row r="271" spans="1:35" ht="14.25">
      <c r="A271" s="275" t="e">
        <f>'Box Schedule'!#REF!</f>
        <v>#REF!</v>
      </c>
      <c r="B271" s="262">
        <v>7</v>
      </c>
      <c r="C271" s="229" t="str">
        <f>IF((B271&gt;0),(VLOOKUP(J271,'Valve Reference'!$A$2:$K$389,3)),"-")</f>
        <v>0.5</v>
      </c>
      <c r="D271" s="230" t="s">
        <v>577</v>
      </c>
      <c r="E271" s="231">
        <f>IF((B271&gt;0),('Vlookup Tables'!$B$37),"-")</f>
        <v>5</v>
      </c>
      <c r="F271" s="51">
        <f t="shared" si="16"/>
        <v>3.1304951684997055</v>
      </c>
      <c r="G271" s="228">
        <f>IF((B271&gt;0),(VLOOKUP($B271,'Vlookup Tables'!$B$23:$F$33,2,TRUE)),"-")</f>
        <v>4</v>
      </c>
      <c r="H271" s="52">
        <f t="shared" si="17"/>
        <v>3.0625000000000004</v>
      </c>
      <c r="I271" s="50">
        <f>IF((B271&gt;0),('Vlookup Tables'!$B$35),"-")</f>
        <v>259</v>
      </c>
      <c r="J271" s="265" t="str">
        <f>IF(B271&gt;0,(IF(D271="2-Way",VLOOKUP($G271,'Vlookup Tables'!$C$23:$F$33,2,FALSE),VLOOKUP($G271,'Vlookup Tables'!$C$23:$F$33,3,FALSE))),"-")</f>
        <v>02041</v>
      </c>
      <c r="K271" s="276" t="str">
        <f>IF(B271&gt;0,(VLOOKUP(J271,'Valve Reference'!$A$2:$K$389,4)),"-")</f>
        <v>Standard</v>
      </c>
      <c r="L271" s="276" t="str">
        <f>IF(B271&gt;0,(VLOOKUP(J271,'Valve Reference'!$A$2:$K$389,5)),"-")</f>
        <v>BR</v>
      </c>
      <c r="M271" s="276" t="str">
        <f>IF(B271&gt;0,(VLOOKUP(J271,'Valve Reference'!$A$2:$K$389,8)),"-")</f>
        <v>Linear</v>
      </c>
      <c r="N271" s="276" t="str">
        <f>IF(B271&gt;0,(VLOOKUP(J271,'Valve Reference'!$A$2:$K$389,10)),"-")</f>
        <v>FxF</v>
      </c>
      <c r="O271" s="277" t="str">
        <f>IF(B271&gt;0,(VLOOKUP(J271,'Valve Reference'!$A$2:$K$389,11)),"-")</f>
        <v>Globe-Powermite</v>
      </c>
      <c r="P271" s="278" t="str">
        <f>IF(B271&gt;0,(VLOOKUP(I271,'Actuator Reference'!$A$2:$H$54,2)),"-")</f>
        <v>SSC81U</v>
      </c>
      <c r="Q271" s="278" t="str">
        <f>IF(B271&gt;0,(VLOOKUP(I271,'Actuator Reference'!$A$2:$H$54,5)),"-")</f>
        <v>Float</v>
      </c>
      <c r="R271" s="278" t="str">
        <f>IF(B271&gt;0,(VLOOKUP(I271,'Actuator Reference'!$A$2:$H$54,6)),"-")</f>
        <v>NSR</v>
      </c>
      <c r="S271" s="278" t="str">
        <f>IF(B271&gt;0,(VLOOKUP(I271,'Actuator Reference'!$A$2:$H$54,7)),"-")</f>
        <v>24V</v>
      </c>
      <c r="T271" s="279" t="str">
        <f>IF(B271&gt;0,(VLOOKUP(I271,'Actuator Reference'!$A$2:$H$54,8)),"-")</f>
        <v>MT-Series</v>
      </c>
      <c r="AD271" s="41"/>
      <c r="AE271" s="41"/>
      <c r="AF271" s="35">
        <v>1</v>
      </c>
      <c r="AG271" s="35" t="s">
        <v>1097</v>
      </c>
      <c r="AH271" s="38" t="str">
        <f t="shared" si="19"/>
        <v>259-02041</v>
      </c>
      <c r="AI271" s="264" t="e">
        <f t="shared" si="18"/>
        <v>#REF!</v>
      </c>
    </row>
    <row r="272" spans="1:35" ht="14.25">
      <c r="A272" s="275" t="e">
        <f>'Box Schedule'!#REF!</f>
        <v>#REF!</v>
      </c>
      <c r="B272" s="262">
        <v>8</v>
      </c>
      <c r="C272" s="229" t="str">
        <f>IF((B272&gt;0),(VLOOKUP(J272,'Valve Reference'!$A$2:$K$389,3)),"-")</f>
        <v>0.5</v>
      </c>
      <c r="D272" s="230" t="s">
        <v>577</v>
      </c>
      <c r="E272" s="231">
        <f>IF((B272&gt;0),('Vlookup Tables'!$B$37),"-")</f>
        <v>5</v>
      </c>
      <c r="F272" s="51">
        <f t="shared" si="16"/>
        <v>3.5777087639996634</v>
      </c>
      <c r="G272" s="228">
        <f>IF((B272&gt;0),(VLOOKUP($B272,'Vlookup Tables'!$B$23:$F$33,2,TRUE)),"-")</f>
        <v>4</v>
      </c>
      <c r="H272" s="52">
        <f t="shared" si="17"/>
        <v>4</v>
      </c>
      <c r="I272" s="50">
        <f>IF((B272&gt;0),('Vlookup Tables'!$B$35),"-")</f>
        <v>259</v>
      </c>
      <c r="J272" s="265" t="str">
        <f>IF(B272&gt;0,(IF(D272="2-Way",VLOOKUP($G272,'Vlookup Tables'!$C$23:$F$33,2,FALSE),VLOOKUP($G272,'Vlookup Tables'!$C$23:$F$33,3,FALSE))),"-")</f>
        <v>02041</v>
      </c>
      <c r="K272" s="276" t="str">
        <f>IF(B272&gt;0,(VLOOKUP(J272,'Valve Reference'!$A$2:$K$389,4)),"-")</f>
        <v>Standard</v>
      </c>
      <c r="L272" s="276" t="str">
        <f>IF(B272&gt;0,(VLOOKUP(J272,'Valve Reference'!$A$2:$K$389,5)),"-")</f>
        <v>BR</v>
      </c>
      <c r="M272" s="276" t="str">
        <f>IF(B272&gt;0,(VLOOKUP(J272,'Valve Reference'!$A$2:$K$389,8)),"-")</f>
        <v>Linear</v>
      </c>
      <c r="N272" s="276" t="str">
        <f>IF(B272&gt;0,(VLOOKUP(J272,'Valve Reference'!$A$2:$K$389,10)),"-")</f>
        <v>FxF</v>
      </c>
      <c r="O272" s="277" t="str">
        <f>IF(B272&gt;0,(VLOOKUP(J272,'Valve Reference'!$A$2:$K$389,11)),"-")</f>
        <v>Globe-Powermite</v>
      </c>
      <c r="P272" s="278" t="str">
        <f>IF(B272&gt;0,(VLOOKUP(I272,'Actuator Reference'!$A$2:$H$54,2)),"-")</f>
        <v>SSC81U</v>
      </c>
      <c r="Q272" s="278" t="str">
        <f>IF(B272&gt;0,(VLOOKUP(I272,'Actuator Reference'!$A$2:$H$54,5)),"-")</f>
        <v>Float</v>
      </c>
      <c r="R272" s="278" t="str">
        <f>IF(B272&gt;0,(VLOOKUP(I272,'Actuator Reference'!$A$2:$H$54,6)),"-")</f>
        <v>NSR</v>
      </c>
      <c r="S272" s="278" t="str">
        <f>IF(B272&gt;0,(VLOOKUP(I272,'Actuator Reference'!$A$2:$H$54,7)),"-")</f>
        <v>24V</v>
      </c>
      <c r="T272" s="279" t="str">
        <f>IF(B272&gt;0,(VLOOKUP(I272,'Actuator Reference'!$A$2:$H$54,8)),"-")</f>
        <v>MT-Series</v>
      </c>
      <c r="AD272" s="41"/>
      <c r="AE272" s="41"/>
      <c r="AF272" s="35">
        <v>1</v>
      </c>
      <c r="AG272" s="35" t="s">
        <v>1097</v>
      </c>
      <c r="AH272" s="38" t="str">
        <f t="shared" si="19"/>
        <v>259-02041</v>
      </c>
      <c r="AI272" s="264" t="e">
        <f t="shared" si="18"/>
        <v>#REF!</v>
      </c>
    </row>
    <row r="273" spans="1:35" ht="14.25">
      <c r="A273" s="275" t="e">
        <f>'Box Schedule'!#REF!</f>
        <v>#REF!</v>
      </c>
      <c r="B273" s="262">
        <v>9</v>
      </c>
      <c r="C273" s="229" t="str">
        <f>IF((B273&gt;0),(VLOOKUP(J273,'Valve Reference'!$A$2:$K$389,3)),"-")</f>
        <v>0.75</v>
      </c>
      <c r="D273" s="230" t="s">
        <v>577</v>
      </c>
      <c r="E273" s="231">
        <f>IF((B273&gt;0),('Vlookup Tables'!$B$37),"-")</f>
        <v>5</v>
      </c>
      <c r="F273" s="51">
        <f t="shared" si="16"/>
        <v>4.0249223594996213</v>
      </c>
      <c r="G273" s="228">
        <f>IF((B273&gt;0),(VLOOKUP($B273,'Vlookup Tables'!$B$23:$F$33,2,TRUE)),"-")</f>
        <v>6.3</v>
      </c>
      <c r="H273" s="52">
        <f t="shared" si="17"/>
        <v>2.0408163265306127</v>
      </c>
      <c r="I273" s="50">
        <f>IF((B273&gt;0),('Vlookup Tables'!$B$35),"-")</f>
        <v>259</v>
      </c>
      <c r="J273" s="265" t="str">
        <f>IF(B273&gt;0,(IF(D273="2-Way",VLOOKUP($G273,'Vlookup Tables'!$C$23:$F$33,2,FALSE),VLOOKUP($G273,'Vlookup Tables'!$C$23:$F$33,3,FALSE))),"-")</f>
        <v>02044</v>
      </c>
      <c r="K273" s="276" t="str">
        <f>IF(B273&gt;0,(VLOOKUP(J273,'Valve Reference'!$A$2:$K$389,4)),"-")</f>
        <v>Standard</v>
      </c>
      <c r="L273" s="276" t="str">
        <f>IF(B273&gt;0,(VLOOKUP(J273,'Valve Reference'!$A$2:$K$389,5)),"-")</f>
        <v>BR</v>
      </c>
      <c r="M273" s="276" t="str">
        <f>IF(B273&gt;0,(VLOOKUP(J273,'Valve Reference'!$A$2:$K$389,8)),"-")</f>
        <v>Linear</v>
      </c>
      <c r="N273" s="276" t="str">
        <f>IF(B273&gt;0,(VLOOKUP(J273,'Valve Reference'!$A$2:$K$389,10)),"-")</f>
        <v>FxF</v>
      </c>
      <c r="O273" s="277" t="str">
        <f>IF(B273&gt;0,(VLOOKUP(J273,'Valve Reference'!$A$2:$K$389,11)),"-")</f>
        <v>Globe-Powermite</v>
      </c>
      <c r="P273" s="278" t="str">
        <f>IF(B273&gt;0,(VLOOKUP(I273,'Actuator Reference'!$A$2:$H$54,2)),"-")</f>
        <v>SSC81U</v>
      </c>
      <c r="Q273" s="278" t="str">
        <f>IF(B273&gt;0,(VLOOKUP(I273,'Actuator Reference'!$A$2:$H$54,5)),"-")</f>
        <v>Float</v>
      </c>
      <c r="R273" s="278" t="str">
        <f>IF(B273&gt;0,(VLOOKUP(I273,'Actuator Reference'!$A$2:$H$54,6)),"-")</f>
        <v>NSR</v>
      </c>
      <c r="S273" s="278" t="str">
        <f>IF(B273&gt;0,(VLOOKUP(I273,'Actuator Reference'!$A$2:$H$54,7)),"-")</f>
        <v>24V</v>
      </c>
      <c r="T273" s="279" t="str">
        <f>IF(B273&gt;0,(VLOOKUP(I273,'Actuator Reference'!$A$2:$H$54,8)),"-")</f>
        <v>MT-Series</v>
      </c>
      <c r="AD273" s="41"/>
      <c r="AE273" s="41"/>
      <c r="AF273" s="35">
        <v>1</v>
      </c>
      <c r="AG273" s="35" t="s">
        <v>1097</v>
      </c>
      <c r="AH273" s="38" t="str">
        <f t="shared" si="19"/>
        <v>259-02044</v>
      </c>
      <c r="AI273" s="264" t="e">
        <f t="shared" si="18"/>
        <v>#REF!</v>
      </c>
    </row>
    <row r="274" spans="1:35" ht="14.25">
      <c r="A274" s="275" t="e">
        <f>'Box Schedule'!#REF!</f>
        <v>#REF!</v>
      </c>
      <c r="B274" s="262">
        <v>1</v>
      </c>
      <c r="C274" s="229" t="str">
        <f>IF((B274&gt;0),(VLOOKUP(J274,'Valve Reference'!$A$2:$K$389,3)),"-")</f>
        <v>0.5</v>
      </c>
      <c r="D274" s="230" t="s">
        <v>577</v>
      </c>
      <c r="E274" s="231">
        <f>IF((B274&gt;0),('Vlookup Tables'!$B$37),"-")</f>
        <v>5</v>
      </c>
      <c r="F274" s="51">
        <f t="shared" si="16"/>
        <v>0.44721359549995793</v>
      </c>
      <c r="G274" s="228">
        <f>IF((B274&gt;0),(VLOOKUP($B274,'Vlookup Tables'!$B$23:$F$33,2,TRUE)),"-")</f>
        <v>0.63</v>
      </c>
      <c r="H274" s="52">
        <f t="shared" si="17"/>
        <v>2.5195263290501382</v>
      </c>
      <c r="I274" s="50">
        <f>IF((B274&gt;0),('Vlookup Tables'!$B$35),"-")</f>
        <v>259</v>
      </c>
      <c r="J274" s="265" t="str">
        <f>IF(B274&gt;0,(IF(D274="2-Way",VLOOKUP($G274,'Vlookup Tables'!$C$23:$F$33,2,FALSE),VLOOKUP($G274,'Vlookup Tables'!$C$23:$F$33,3,FALSE))),"-")</f>
        <v>02032</v>
      </c>
      <c r="K274" s="276" t="str">
        <f>IF(B274&gt;0,(VLOOKUP(J274,'Valve Reference'!$A$2:$K$389,4)),"-")</f>
        <v>Standard</v>
      </c>
      <c r="L274" s="276" t="str">
        <f>IF(B274&gt;0,(VLOOKUP(J274,'Valve Reference'!$A$2:$K$389,5)),"-")</f>
        <v>BR</v>
      </c>
      <c r="M274" s="276" t="str">
        <f>IF(B274&gt;0,(VLOOKUP(J274,'Valve Reference'!$A$2:$K$389,8)),"-")</f>
        <v>Linear</v>
      </c>
      <c r="N274" s="276" t="str">
        <f>IF(B274&gt;0,(VLOOKUP(J274,'Valve Reference'!$A$2:$K$389,10)),"-")</f>
        <v>FxF</v>
      </c>
      <c r="O274" s="277" t="str">
        <f>IF(B274&gt;0,(VLOOKUP(J274,'Valve Reference'!$A$2:$K$389,11)),"-")</f>
        <v>Globe-Powermite</v>
      </c>
      <c r="P274" s="278" t="str">
        <f>IF(B274&gt;0,(VLOOKUP(I274,'Actuator Reference'!$A$2:$H$54,2)),"-")</f>
        <v>SSC81U</v>
      </c>
      <c r="Q274" s="278" t="str">
        <f>IF(B274&gt;0,(VLOOKUP(I274,'Actuator Reference'!$A$2:$H$54,5)),"-")</f>
        <v>Float</v>
      </c>
      <c r="R274" s="278" t="str">
        <f>IF(B274&gt;0,(VLOOKUP(I274,'Actuator Reference'!$A$2:$H$54,6)),"-")</f>
        <v>NSR</v>
      </c>
      <c r="S274" s="278" t="str">
        <f>IF(B274&gt;0,(VLOOKUP(I274,'Actuator Reference'!$A$2:$H$54,7)),"-")</f>
        <v>24V</v>
      </c>
      <c r="T274" s="279" t="str">
        <f>IF(B274&gt;0,(VLOOKUP(I274,'Actuator Reference'!$A$2:$H$54,8)),"-")</f>
        <v>MT-Series</v>
      </c>
      <c r="AD274" s="41"/>
      <c r="AE274" s="41"/>
      <c r="AF274" s="35">
        <v>1</v>
      </c>
      <c r="AG274" s="35" t="s">
        <v>1097</v>
      </c>
      <c r="AH274" s="38" t="str">
        <f t="shared" si="19"/>
        <v>259-02032</v>
      </c>
      <c r="AI274" s="264" t="e">
        <f t="shared" si="18"/>
        <v>#REF!</v>
      </c>
    </row>
    <row r="275" spans="1:35" ht="14.25">
      <c r="A275" s="275" t="e">
        <f>'Box Schedule'!#REF!</f>
        <v>#REF!</v>
      </c>
      <c r="B275" s="262">
        <v>2</v>
      </c>
      <c r="C275" s="229" t="str">
        <f>IF((B275&gt;0),(VLOOKUP(J275,'Valve Reference'!$A$2:$K$389,3)),"-")</f>
        <v>0.5</v>
      </c>
      <c r="D275" s="230" t="s">
        <v>577</v>
      </c>
      <c r="E275" s="231">
        <f>IF((B275&gt;0),('Vlookup Tables'!$B$37),"-")</f>
        <v>5</v>
      </c>
      <c r="F275" s="51">
        <f t="shared" si="16"/>
        <v>0.89442719099991586</v>
      </c>
      <c r="G275" s="228">
        <f>IF((B275&gt;0),(VLOOKUP($B275,'Vlookup Tables'!$B$23:$F$33,2,TRUE)),"-")</f>
        <v>1</v>
      </c>
      <c r="H275" s="52">
        <f t="shared" si="17"/>
        <v>4</v>
      </c>
      <c r="I275" s="50">
        <f>IF((B275&gt;0),('Vlookup Tables'!$B$35),"-")</f>
        <v>259</v>
      </c>
      <c r="J275" s="265" t="str">
        <f>IF(B275&gt;0,(IF(D275="2-Way",VLOOKUP($G275,'Vlookup Tables'!$C$23:$F$33,2,FALSE),VLOOKUP($G275,'Vlookup Tables'!$C$23:$F$33,3,FALSE))),"-")</f>
        <v>02034</v>
      </c>
      <c r="K275" s="276" t="str">
        <f>IF(B275&gt;0,(VLOOKUP(J275,'Valve Reference'!$A$2:$K$389,4)),"-")</f>
        <v>Standard</v>
      </c>
      <c r="L275" s="276" t="str">
        <f>IF(B275&gt;0,(VLOOKUP(J275,'Valve Reference'!$A$2:$K$389,5)),"-")</f>
        <v>BR</v>
      </c>
      <c r="M275" s="276" t="str">
        <f>IF(B275&gt;0,(VLOOKUP(J275,'Valve Reference'!$A$2:$K$389,8)),"-")</f>
        <v>Linear</v>
      </c>
      <c r="N275" s="276" t="str">
        <f>IF(B275&gt;0,(VLOOKUP(J275,'Valve Reference'!$A$2:$K$389,10)),"-")</f>
        <v>FxF</v>
      </c>
      <c r="O275" s="277" t="str">
        <f>IF(B275&gt;0,(VLOOKUP(J275,'Valve Reference'!$A$2:$K$389,11)),"-")</f>
        <v>Globe-Powermite</v>
      </c>
      <c r="P275" s="278" t="str">
        <f>IF(B275&gt;0,(VLOOKUP(I275,'Actuator Reference'!$A$2:$H$54,2)),"-")</f>
        <v>SSC81U</v>
      </c>
      <c r="Q275" s="278" t="str">
        <f>IF(B275&gt;0,(VLOOKUP(I275,'Actuator Reference'!$A$2:$H$54,5)),"-")</f>
        <v>Float</v>
      </c>
      <c r="R275" s="278" t="str">
        <f>IF(B275&gt;0,(VLOOKUP(I275,'Actuator Reference'!$A$2:$H$54,6)),"-")</f>
        <v>NSR</v>
      </c>
      <c r="S275" s="278" t="str">
        <f>IF(B275&gt;0,(VLOOKUP(I275,'Actuator Reference'!$A$2:$H$54,7)),"-")</f>
        <v>24V</v>
      </c>
      <c r="T275" s="279" t="str">
        <f>IF(B275&gt;0,(VLOOKUP(I275,'Actuator Reference'!$A$2:$H$54,8)),"-")</f>
        <v>MT-Series</v>
      </c>
      <c r="AD275" s="41"/>
      <c r="AE275" s="41"/>
      <c r="AF275" s="35">
        <v>1</v>
      </c>
      <c r="AG275" s="35" t="s">
        <v>1097</v>
      </c>
      <c r="AH275" s="38" t="str">
        <f t="shared" si="19"/>
        <v>259-02034</v>
      </c>
      <c r="AI275" s="264" t="e">
        <f t="shared" si="18"/>
        <v>#REF!</v>
      </c>
    </row>
    <row r="276" spans="1:35" ht="14.25">
      <c r="A276" s="275" t="e">
        <f>'Box Schedule'!#REF!</f>
        <v>#REF!</v>
      </c>
      <c r="B276" s="262">
        <v>3</v>
      </c>
      <c r="C276" s="229" t="str">
        <f>IF((B276&gt;0),(VLOOKUP(J276,'Valve Reference'!$A$2:$K$389,3)),"-")</f>
        <v>0.5</v>
      </c>
      <c r="D276" s="230" t="s">
        <v>577</v>
      </c>
      <c r="E276" s="231">
        <f>IF((B276&gt;0),('Vlookup Tables'!$B$37),"-")</f>
        <v>5</v>
      </c>
      <c r="F276" s="51">
        <f t="shared" si="16"/>
        <v>1.3416407864998738</v>
      </c>
      <c r="G276" s="228">
        <f>IF((B276&gt;0),(VLOOKUP($B276,'Vlookup Tables'!$B$23:$F$33,2,TRUE)),"-")</f>
        <v>1.6</v>
      </c>
      <c r="H276" s="52">
        <f t="shared" si="17"/>
        <v>3.515625</v>
      </c>
      <c r="I276" s="50">
        <f>IF((B276&gt;0),('Vlookup Tables'!$B$35),"-")</f>
        <v>259</v>
      </c>
      <c r="J276" s="265" t="str">
        <f>IF(B276&gt;0,(IF(D276="2-Way",VLOOKUP($G276,'Vlookup Tables'!$C$23:$F$33,2,FALSE),VLOOKUP($G276,'Vlookup Tables'!$C$23:$F$33,3,FALSE))),"-")</f>
        <v>02036</v>
      </c>
      <c r="K276" s="276" t="str">
        <f>IF(B276&gt;0,(VLOOKUP(J276,'Valve Reference'!$A$2:$K$389,4)),"-")</f>
        <v>Standard</v>
      </c>
      <c r="L276" s="276" t="str">
        <f>IF(B276&gt;0,(VLOOKUP(J276,'Valve Reference'!$A$2:$K$389,5)),"-")</f>
        <v>BR</v>
      </c>
      <c r="M276" s="276" t="str">
        <f>IF(B276&gt;0,(VLOOKUP(J276,'Valve Reference'!$A$2:$K$389,8)),"-")</f>
        <v>Linear</v>
      </c>
      <c r="N276" s="276" t="str">
        <f>IF(B276&gt;0,(VLOOKUP(J276,'Valve Reference'!$A$2:$K$389,10)),"-")</f>
        <v>FxF</v>
      </c>
      <c r="O276" s="277" t="str">
        <f>IF(B276&gt;0,(VLOOKUP(J276,'Valve Reference'!$A$2:$K$389,11)),"-")</f>
        <v>Globe-Powermite</v>
      </c>
      <c r="P276" s="278" t="str">
        <f>IF(B276&gt;0,(VLOOKUP(I276,'Actuator Reference'!$A$2:$H$54,2)),"-")</f>
        <v>SSC81U</v>
      </c>
      <c r="Q276" s="278" t="str">
        <f>IF(B276&gt;0,(VLOOKUP(I276,'Actuator Reference'!$A$2:$H$54,5)),"-")</f>
        <v>Float</v>
      </c>
      <c r="R276" s="278" t="str">
        <f>IF(B276&gt;0,(VLOOKUP(I276,'Actuator Reference'!$A$2:$H$54,6)),"-")</f>
        <v>NSR</v>
      </c>
      <c r="S276" s="278" t="str">
        <f>IF(B276&gt;0,(VLOOKUP(I276,'Actuator Reference'!$A$2:$H$54,7)),"-")</f>
        <v>24V</v>
      </c>
      <c r="T276" s="279" t="str">
        <f>IF(B276&gt;0,(VLOOKUP(I276,'Actuator Reference'!$A$2:$H$54,8)),"-")</f>
        <v>MT-Series</v>
      </c>
      <c r="AD276" s="41"/>
      <c r="AE276" s="41"/>
      <c r="AF276" s="35">
        <v>1</v>
      </c>
      <c r="AG276" s="35" t="s">
        <v>1097</v>
      </c>
      <c r="AH276" s="38" t="str">
        <f t="shared" si="19"/>
        <v>259-02036</v>
      </c>
      <c r="AI276" s="264" t="e">
        <f t="shared" si="18"/>
        <v>#REF!</v>
      </c>
    </row>
    <row r="277" spans="1:35" ht="14.25">
      <c r="A277" s="275" t="e">
        <f>'Box Schedule'!#REF!</f>
        <v>#REF!</v>
      </c>
      <c r="B277" s="262">
        <v>4</v>
      </c>
      <c r="C277" s="229" t="str">
        <f>IF((B277&gt;0),(VLOOKUP(J277,'Valve Reference'!$A$2:$K$389,3)),"-")</f>
        <v>0.5</v>
      </c>
      <c r="D277" s="230" t="s">
        <v>577</v>
      </c>
      <c r="E277" s="231">
        <f>IF((B277&gt;0),('Vlookup Tables'!$B$37),"-")</f>
        <v>5</v>
      </c>
      <c r="F277" s="51">
        <f t="shared" si="16"/>
        <v>1.7888543819998317</v>
      </c>
      <c r="G277" s="228">
        <f>IF((B277&gt;0),(VLOOKUP($B277,'Vlookup Tables'!$B$23:$F$33,2,TRUE)),"-")</f>
        <v>2.5</v>
      </c>
      <c r="H277" s="52">
        <f t="shared" si="17"/>
        <v>2.56</v>
      </c>
      <c r="I277" s="50">
        <f>IF((B277&gt;0),('Vlookup Tables'!$B$35),"-")</f>
        <v>259</v>
      </c>
      <c r="J277" s="265" t="str">
        <f>IF(B277&gt;0,(IF(D277="2-Way",VLOOKUP($G277,'Vlookup Tables'!$C$23:$F$33,2,FALSE),VLOOKUP($G277,'Vlookup Tables'!$C$23:$F$33,3,FALSE))),"-")</f>
        <v>02038</v>
      </c>
      <c r="K277" s="276" t="str">
        <f>IF(B277&gt;0,(VLOOKUP(J277,'Valve Reference'!$A$2:$K$389,4)),"-")</f>
        <v>Standard</v>
      </c>
      <c r="L277" s="276" t="str">
        <f>IF(B277&gt;0,(VLOOKUP(J277,'Valve Reference'!$A$2:$K$389,5)),"-")</f>
        <v>BR</v>
      </c>
      <c r="M277" s="276" t="str">
        <f>IF(B277&gt;0,(VLOOKUP(J277,'Valve Reference'!$A$2:$K$389,8)),"-")</f>
        <v>Linear</v>
      </c>
      <c r="N277" s="276" t="str">
        <f>IF(B277&gt;0,(VLOOKUP(J277,'Valve Reference'!$A$2:$K$389,10)),"-")</f>
        <v>FxF</v>
      </c>
      <c r="O277" s="277" t="str">
        <f>IF(B277&gt;0,(VLOOKUP(J277,'Valve Reference'!$A$2:$K$389,11)),"-")</f>
        <v>Globe-Powermite</v>
      </c>
      <c r="P277" s="278" t="str">
        <f>IF(B277&gt;0,(VLOOKUP(I277,'Actuator Reference'!$A$2:$H$54,2)),"-")</f>
        <v>SSC81U</v>
      </c>
      <c r="Q277" s="278" t="str">
        <f>IF(B277&gt;0,(VLOOKUP(I277,'Actuator Reference'!$A$2:$H$54,5)),"-")</f>
        <v>Float</v>
      </c>
      <c r="R277" s="278" t="str">
        <f>IF(B277&gt;0,(VLOOKUP(I277,'Actuator Reference'!$A$2:$H$54,6)),"-")</f>
        <v>NSR</v>
      </c>
      <c r="S277" s="278" t="str">
        <f>IF(B277&gt;0,(VLOOKUP(I277,'Actuator Reference'!$A$2:$H$54,7)),"-")</f>
        <v>24V</v>
      </c>
      <c r="T277" s="279" t="str">
        <f>IF(B277&gt;0,(VLOOKUP(I277,'Actuator Reference'!$A$2:$H$54,8)),"-")</f>
        <v>MT-Series</v>
      </c>
      <c r="AD277" s="41"/>
      <c r="AE277" s="41"/>
      <c r="AF277" s="35">
        <v>1</v>
      </c>
      <c r="AG277" s="35" t="s">
        <v>1097</v>
      </c>
      <c r="AH277" s="38" t="str">
        <f t="shared" si="19"/>
        <v>259-02038</v>
      </c>
      <c r="AI277" s="264" t="e">
        <f t="shared" si="18"/>
        <v>#REF!</v>
      </c>
    </row>
    <row r="278" spans="1:35" ht="14.25">
      <c r="A278" s="275" t="e">
        <f>'Box Schedule'!#REF!</f>
        <v>#REF!</v>
      </c>
      <c r="B278" s="262">
        <v>5</v>
      </c>
      <c r="C278" s="229" t="str">
        <f>IF((B278&gt;0),(VLOOKUP(J278,'Valve Reference'!$A$2:$K$389,3)),"-")</f>
        <v>0.5</v>
      </c>
      <c r="D278" s="230" t="s">
        <v>577</v>
      </c>
      <c r="E278" s="231">
        <f>IF((B278&gt;0),('Vlookup Tables'!$B$37),"-")</f>
        <v>5</v>
      </c>
      <c r="F278" s="51">
        <f t="shared" si="16"/>
        <v>2.2360679774997898</v>
      </c>
      <c r="G278" s="228">
        <f>IF((B278&gt;0),(VLOOKUP($B278,'Vlookup Tables'!$B$23:$F$33,2,TRUE)),"-")</f>
        <v>2.5</v>
      </c>
      <c r="H278" s="52">
        <f t="shared" si="17"/>
        <v>4</v>
      </c>
      <c r="I278" s="50">
        <f>IF((B278&gt;0),('Vlookup Tables'!$B$35),"-")</f>
        <v>259</v>
      </c>
      <c r="J278" s="265" t="str">
        <f>IF(B278&gt;0,(IF(D278="2-Way",VLOOKUP($G278,'Vlookup Tables'!$C$23:$F$33,2,FALSE),VLOOKUP($G278,'Vlookup Tables'!$C$23:$F$33,3,FALSE))),"-")</f>
        <v>02038</v>
      </c>
      <c r="K278" s="276" t="str">
        <f>IF(B278&gt;0,(VLOOKUP(J278,'Valve Reference'!$A$2:$K$389,4)),"-")</f>
        <v>Standard</v>
      </c>
      <c r="L278" s="276" t="str">
        <f>IF(B278&gt;0,(VLOOKUP(J278,'Valve Reference'!$A$2:$K$389,5)),"-")</f>
        <v>BR</v>
      </c>
      <c r="M278" s="276" t="str">
        <f>IF(B278&gt;0,(VLOOKUP(J278,'Valve Reference'!$A$2:$K$389,8)),"-")</f>
        <v>Linear</v>
      </c>
      <c r="N278" s="276" t="str">
        <f>IF(B278&gt;0,(VLOOKUP(J278,'Valve Reference'!$A$2:$K$389,10)),"-")</f>
        <v>FxF</v>
      </c>
      <c r="O278" s="277" t="str">
        <f>IF(B278&gt;0,(VLOOKUP(J278,'Valve Reference'!$A$2:$K$389,11)),"-")</f>
        <v>Globe-Powermite</v>
      </c>
      <c r="P278" s="278" t="str">
        <f>IF(B278&gt;0,(VLOOKUP(I278,'Actuator Reference'!$A$2:$H$54,2)),"-")</f>
        <v>SSC81U</v>
      </c>
      <c r="Q278" s="278" t="str">
        <f>IF(B278&gt;0,(VLOOKUP(I278,'Actuator Reference'!$A$2:$H$54,5)),"-")</f>
        <v>Float</v>
      </c>
      <c r="R278" s="278" t="str">
        <f>IF(B278&gt;0,(VLOOKUP(I278,'Actuator Reference'!$A$2:$H$54,6)),"-")</f>
        <v>NSR</v>
      </c>
      <c r="S278" s="278" t="str">
        <f>IF(B278&gt;0,(VLOOKUP(I278,'Actuator Reference'!$A$2:$H$54,7)),"-")</f>
        <v>24V</v>
      </c>
      <c r="T278" s="279" t="str">
        <f>IF(B278&gt;0,(VLOOKUP(I278,'Actuator Reference'!$A$2:$H$54,8)),"-")</f>
        <v>MT-Series</v>
      </c>
      <c r="AD278" s="41"/>
      <c r="AE278" s="41"/>
      <c r="AF278" s="35">
        <v>1</v>
      </c>
      <c r="AG278" s="35" t="s">
        <v>1097</v>
      </c>
      <c r="AH278" s="38" t="str">
        <f t="shared" si="19"/>
        <v>259-02038</v>
      </c>
      <c r="AI278" s="264" t="e">
        <f t="shared" si="18"/>
        <v>#REF!</v>
      </c>
    </row>
    <row r="279" spans="1:35" ht="14.25">
      <c r="A279" s="275" t="e">
        <f>'Box Schedule'!#REF!</f>
        <v>#REF!</v>
      </c>
      <c r="B279" s="262">
        <v>6</v>
      </c>
      <c r="C279" s="229" t="str">
        <f>IF((B279&gt;0),(VLOOKUP(J279,'Valve Reference'!$A$2:$K$389,3)),"-")</f>
        <v>0.5</v>
      </c>
      <c r="D279" s="230" t="s">
        <v>577</v>
      </c>
      <c r="E279" s="231">
        <f>IF((B279&gt;0),('Vlookup Tables'!$B$37),"-")</f>
        <v>5</v>
      </c>
      <c r="F279" s="51">
        <f t="shared" si="16"/>
        <v>2.6832815729997477</v>
      </c>
      <c r="G279" s="228">
        <f>IF((B279&gt;0),(VLOOKUP($B279,'Vlookup Tables'!$B$23:$F$33,2,TRUE)),"-")</f>
        <v>4</v>
      </c>
      <c r="H279" s="52">
        <f t="shared" si="17"/>
        <v>2.25</v>
      </c>
      <c r="I279" s="50">
        <f>IF((B279&gt;0),('Vlookup Tables'!$B$35),"-")</f>
        <v>259</v>
      </c>
      <c r="J279" s="265" t="str">
        <f>IF(B279&gt;0,(IF(D279="2-Way",VLOOKUP($G279,'Vlookup Tables'!$C$23:$F$33,2,FALSE),VLOOKUP($G279,'Vlookup Tables'!$C$23:$F$33,3,FALSE))),"-")</f>
        <v>02041</v>
      </c>
      <c r="K279" s="276" t="str">
        <f>IF(B279&gt;0,(VLOOKUP(J279,'Valve Reference'!$A$2:$K$389,4)),"-")</f>
        <v>Standard</v>
      </c>
      <c r="L279" s="276" t="str">
        <f>IF(B279&gt;0,(VLOOKUP(J279,'Valve Reference'!$A$2:$K$389,5)),"-")</f>
        <v>BR</v>
      </c>
      <c r="M279" s="276" t="str">
        <f>IF(B279&gt;0,(VLOOKUP(J279,'Valve Reference'!$A$2:$K$389,8)),"-")</f>
        <v>Linear</v>
      </c>
      <c r="N279" s="276" t="str">
        <f>IF(B279&gt;0,(VLOOKUP(J279,'Valve Reference'!$A$2:$K$389,10)),"-")</f>
        <v>FxF</v>
      </c>
      <c r="O279" s="277" t="str">
        <f>IF(B279&gt;0,(VLOOKUP(J279,'Valve Reference'!$A$2:$K$389,11)),"-")</f>
        <v>Globe-Powermite</v>
      </c>
      <c r="P279" s="278" t="str">
        <f>IF(B279&gt;0,(VLOOKUP(I279,'Actuator Reference'!$A$2:$H$54,2)),"-")</f>
        <v>SSC81U</v>
      </c>
      <c r="Q279" s="278" t="str">
        <f>IF(B279&gt;0,(VLOOKUP(I279,'Actuator Reference'!$A$2:$H$54,5)),"-")</f>
        <v>Float</v>
      </c>
      <c r="R279" s="278" t="str">
        <f>IF(B279&gt;0,(VLOOKUP(I279,'Actuator Reference'!$A$2:$H$54,6)),"-")</f>
        <v>NSR</v>
      </c>
      <c r="S279" s="278" t="str">
        <f>IF(B279&gt;0,(VLOOKUP(I279,'Actuator Reference'!$A$2:$H$54,7)),"-")</f>
        <v>24V</v>
      </c>
      <c r="T279" s="279" t="str">
        <f>IF(B279&gt;0,(VLOOKUP(I279,'Actuator Reference'!$A$2:$H$54,8)),"-")</f>
        <v>MT-Series</v>
      </c>
      <c r="AD279" s="41"/>
      <c r="AE279" s="41"/>
      <c r="AF279" s="35">
        <v>1</v>
      </c>
      <c r="AG279" s="35" t="s">
        <v>1097</v>
      </c>
      <c r="AH279" s="38" t="str">
        <f t="shared" si="19"/>
        <v>259-02041</v>
      </c>
      <c r="AI279" s="264" t="e">
        <f t="shared" si="18"/>
        <v>#REF!</v>
      </c>
    </row>
    <row r="280" spans="1:35" ht="14.25">
      <c r="A280" s="275" t="e">
        <f>'Box Schedule'!#REF!</f>
        <v>#REF!</v>
      </c>
      <c r="B280" s="262">
        <v>7</v>
      </c>
      <c r="C280" s="229" t="str">
        <f>IF((B280&gt;0),(VLOOKUP(J280,'Valve Reference'!$A$2:$K$389,3)),"-")</f>
        <v>0.5</v>
      </c>
      <c r="D280" s="230" t="s">
        <v>577</v>
      </c>
      <c r="E280" s="231">
        <f>IF((B280&gt;0),('Vlookup Tables'!$B$37),"-")</f>
        <v>5</v>
      </c>
      <c r="F280" s="51">
        <f t="shared" si="16"/>
        <v>3.1304951684997055</v>
      </c>
      <c r="G280" s="228">
        <f>IF((B280&gt;0),(VLOOKUP($B280,'Vlookup Tables'!$B$23:$F$33,2,TRUE)),"-")</f>
        <v>4</v>
      </c>
      <c r="H280" s="52">
        <f t="shared" si="17"/>
        <v>3.0625000000000004</v>
      </c>
      <c r="I280" s="50">
        <f>IF((B280&gt;0),('Vlookup Tables'!$B$35),"-")</f>
        <v>259</v>
      </c>
      <c r="J280" s="265" t="str">
        <f>IF(B280&gt;0,(IF(D280="2-Way",VLOOKUP($G280,'Vlookup Tables'!$C$23:$F$33,2,FALSE),VLOOKUP($G280,'Vlookup Tables'!$C$23:$F$33,3,FALSE))),"-")</f>
        <v>02041</v>
      </c>
      <c r="K280" s="276" t="str">
        <f>IF(B280&gt;0,(VLOOKUP(J280,'Valve Reference'!$A$2:$K$389,4)),"-")</f>
        <v>Standard</v>
      </c>
      <c r="L280" s="276" t="str">
        <f>IF(B280&gt;0,(VLOOKUP(J280,'Valve Reference'!$A$2:$K$389,5)),"-")</f>
        <v>BR</v>
      </c>
      <c r="M280" s="276" t="str">
        <f>IF(B280&gt;0,(VLOOKUP(J280,'Valve Reference'!$A$2:$K$389,8)),"-")</f>
        <v>Linear</v>
      </c>
      <c r="N280" s="276" t="str">
        <f>IF(B280&gt;0,(VLOOKUP(J280,'Valve Reference'!$A$2:$K$389,10)),"-")</f>
        <v>FxF</v>
      </c>
      <c r="O280" s="277" t="str">
        <f>IF(B280&gt;0,(VLOOKUP(J280,'Valve Reference'!$A$2:$K$389,11)),"-")</f>
        <v>Globe-Powermite</v>
      </c>
      <c r="P280" s="278" t="str">
        <f>IF(B280&gt;0,(VLOOKUP(I280,'Actuator Reference'!$A$2:$H$54,2)),"-")</f>
        <v>SSC81U</v>
      </c>
      <c r="Q280" s="278" t="str">
        <f>IF(B280&gt;0,(VLOOKUP(I280,'Actuator Reference'!$A$2:$H$54,5)),"-")</f>
        <v>Float</v>
      </c>
      <c r="R280" s="278" t="str">
        <f>IF(B280&gt;0,(VLOOKUP(I280,'Actuator Reference'!$A$2:$H$54,6)),"-")</f>
        <v>NSR</v>
      </c>
      <c r="S280" s="278" t="str">
        <f>IF(B280&gt;0,(VLOOKUP(I280,'Actuator Reference'!$A$2:$H$54,7)),"-")</f>
        <v>24V</v>
      </c>
      <c r="T280" s="279" t="str">
        <f>IF(B280&gt;0,(VLOOKUP(I280,'Actuator Reference'!$A$2:$H$54,8)),"-")</f>
        <v>MT-Series</v>
      </c>
      <c r="AD280" s="41"/>
      <c r="AE280" s="41"/>
      <c r="AF280" s="35">
        <v>1</v>
      </c>
      <c r="AG280" s="35" t="s">
        <v>1097</v>
      </c>
      <c r="AH280" s="38" t="str">
        <f t="shared" si="19"/>
        <v>259-02041</v>
      </c>
      <c r="AI280" s="264" t="e">
        <f t="shared" si="18"/>
        <v>#REF!</v>
      </c>
    </row>
    <row r="281" spans="1:35" ht="14.25">
      <c r="A281" s="275" t="e">
        <f>'Box Schedule'!#REF!</f>
        <v>#REF!</v>
      </c>
      <c r="B281" s="262">
        <v>8</v>
      </c>
      <c r="C281" s="229" t="str">
        <f>IF((B281&gt;0),(VLOOKUP(J281,'Valve Reference'!$A$2:$K$389,3)),"-")</f>
        <v>0.5</v>
      </c>
      <c r="D281" s="230" t="s">
        <v>577</v>
      </c>
      <c r="E281" s="231">
        <f>IF((B281&gt;0),('Vlookup Tables'!$B$37),"-")</f>
        <v>5</v>
      </c>
      <c r="F281" s="51">
        <f t="shared" si="16"/>
        <v>3.5777087639996634</v>
      </c>
      <c r="G281" s="228">
        <f>IF((B281&gt;0),(VLOOKUP($B281,'Vlookup Tables'!$B$23:$F$33,2,TRUE)),"-")</f>
        <v>4</v>
      </c>
      <c r="H281" s="52">
        <f t="shared" si="17"/>
        <v>4</v>
      </c>
      <c r="I281" s="50">
        <f>IF((B281&gt;0),('Vlookup Tables'!$B$35),"-")</f>
        <v>259</v>
      </c>
      <c r="J281" s="265" t="str">
        <f>IF(B281&gt;0,(IF(D281="2-Way",VLOOKUP($G281,'Vlookup Tables'!$C$23:$F$33,2,FALSE),VLOOKUP($G281,'Vlookup Tables'!$C$23:$F$33,3,FALSE))),"-")</f>
        <v>02041</v>
      </c>
      <c r="K281" s="276" t="str">
        <f>IF(B281&gt;0,(VLOOKUP(J281,'Valve Reference'!$A$2:$K$389,4)),"-")</f>
        <v>Standard</v>
      </c>
      <c r="L281" s="276" t="str">
        <f>IF(B281&gt;0,(VLOOKUP(J281,'Valve Reference'!$A$2:$K$389,5)),"-")</f>
        <v>BR</v>
      </c>
      <c r="M281" s="276" t="str">
        <f>IF(B281&gt;0,(VLOOKUP(J281,'Valve Reference'!$A$2:$K$389,8)),"-")</f>
        <v>Linear</v>
      </c>
      <c r="N281" s="276" t="str">
        <f>IF(B281&gt;0,(VLOOKUP(J281,'Valve Reference'!$A$2:$K$389,10)),"-")</f>
        <v>FxF</v>
      </c>
      <c r="O281" s="277" t="str">
        <f>IF(B281&gt;0,(VLOOKUP(J281,'Valve Reference'!$A$2:$K$389,11)),"-")</f>
        <v>Globe-Powermite</v>
      </c>
      <c r="P281" s="278" t="str">
        <f>IF(B281&gt;0,(VLOOKUP(I281,'Actuator Reference'!$A$2:$H$54,2)),"-")</f>
        <v>SSC81U</v>
      </c>
      <c r="Q281" s="278" t="str">
        <f>IF(B281&gt;0,(VLOOKUP(I281,'Actuator Reference'!$A$2:$H$54,5)),"-")</f>
        <v>Float</v>
      </c>
      <c r="R281" s="278" t="str">
        <f>IF(B281&gt;0,(VLOOKUP(I281,'Actuator Reference'!$A$2:$H$54,6)),"-")</f>
        <v>NSR</v>
      </c>
      <c r="S281" s="278" t="str">
        <f>IF(B281&gt;0,(VLOOKUP(I281,'Actuator Reference'!$A$2:$H$54,7)),"-")</f>
        <v>24V</v>
      </c>
      <c r="T281" s="279" t="str">
        <f>IF(B281&gt;0,(VLOOKUP(I281,'Actuator Reference'!$A$2:$H$54,8)),"-")</f>
        <v>MT-Series</v>
      </c>
      <c r="AD281" s="41"/>
      <c r="AE281" s="41"/>
      <c r="AF281" s="35">
        <v>1</v>
      </c>
      <c r="AG281" s="35" t="s">
        <v>1097</v>
      </c>
      <c r="AH281" s="38" t="str">
        <f t="shared" si="19"/>
        <v>259-02041</v>
      </c>
      <c r="AI281" s="264" t="e">
        <f t="shared" si="18"/>
        <v>#REF!</v>
      </c>
    </row>
    <row r="282" spans="1:35" ht="14.25">
      <c r="A282" s="275" t="e">
        <f>'Box Schedule'!#REF!</f>
        <v>#REF!</v>
      </c>
      <c r="B282" s="262">
        <v>9</v>
      </c>
      <c r="C282" s="229" t="str">
        <f>IF((B282&gt;0),(VLOOKUP(J282,'Valve Reference'!$A$2:$K$389,3)),"-")</f>
        <v>0.75</v>
      </c>
      <c r="D282" s="230" t="s">
        <v>577</v>
      </c>
      <c r="E282" s="231">
        <f>IF((B282&gt;0),('Vlookup Tables'!$B$37),"-")</f>
        <v>5</v>
      </c>
      <c r="F282" s="51">
        <f t="shared" si="16"/>
        <v>4.0249223594996213</v>
      </c>
      <c r="G282" s="282">
        <f>IF((B282&gt;0),(VLOOKUP($B282,'Vlookup Tables'!$B$23:$F$33,2,TRUE)),"-")</f>
        <v>6.3</v>
      </c>
      <c r="H282" s="52">
        <f t="shared" si="17"/>
        <v>2.0408163265306127</v>
      </c>
      <c r="I282" s="50">
        <f>IF((B282&gt;0),('Vlookup Tables'!$B$35),"-")</f>
        <v>259</v>
      </c>
      <c r="J282" s="265" t="str">
        <f>IF(B282&gt;0,(IF(D282="2-Way",VLOOKUP($G282,'Vlookup Tables'!$C$23:$F$33,2,FALSE),VLOOKUP($G282,'Vlookup Tables'!$C$23:$F$33,3,FALSE))),"-")</f>
        <v>02044</v>
      </c>
      <c r="K282" s="276" t="str">
        <f>IF(B282&gt;0,(VLOOKUP(J282,'Valve Reference'!$A$2:$K$389,4)),"-")</f>
        <v>Standard</v>
      </c>
      <c r="L282" s="276" t="str">
        <f>IF(B282&gt;0,(VLOOKUP(J282,'Valve Reference'!$A$2:$K$389,5)),"-")</f>
        <v>BR</v>
      </c>
      <c r="M282" s="276" t="str">
        <f>IF(B282&gt;0,(VLOOKUP(J282,'Valve Reference'!$A$2:$K$389,8)),"-")</f>
        <v>Linear</v>
      </c>
      <c r="N282" s="276" t="str">
        <f>IF(B282&gt;0,(VLOOKUP(J282,'Valve Reference'!$A$2:$K$389,10)),"-")</f>
        <v>FxF</v>
      </c>
      <c r="O282" s="277" t="str">
        <f>IF(B282&gt;0,(VLOOKUP(J282,'Valve Reference'!$A$2:$K$389,11)),"-")</f>
        <v>Globe-Powermite</v>
      </c>
      <c r="P282" s="278" t="str">
        <f>IF(B282&gt;0,(VLOOKUP(I282,'Actuator Reference'!$A$2:$H$54,2)),"-")</f>
        <v>SSC81U</v>
      </c>
      <c r="Q282" s="278" t="str">
        <f>IF(B282&gt;0,(VLOOKUP(I282,'Actuator Reference'!$A$2:$H$54,5)),"-")</f>
        <v>Float</v>
      </c>
      <c r="R282" s="278" t="str">
        <f>IF(B282&gt;0,(VLOOKUP(I282,'Actuator Reference'!$A$2:$H$54,6)),"-")</f>
        <v>NSR</v>
      </c>
      <c r="S282" s="278" t="str">
        <f>IF(B282&gt;0,(VLOOKUP(I282,'Actuator Reference'!$A$2:$H$54,7)),"-")</f>
        <v>24V</v>
      </c>
      <c r="T282" s="279" t="str">
        <f>IF(B282&gt;0,(VLOOKUP(I282,'Actuator Reference'!$A$2:$H$54,8)),"-")</f>
        <v>MT-Series</v>
      </c>
      <c r="AD282" s="41"/>
      <c r="AE282" s="41"/>
      <c r="AF282" s="35">
        <v>1</v>
      </c>
      <c r="AG282" s="35" t="s">
        <v>1097</v>
      </c>
      <c r="AH282" s="38" t="str">
        <f t="shared" si="19"/>
        <v>259-02044</v>
      </c>
      <c r="AI282" s="264" t="e">
        <f t="shared" si="18"/>
        <v>#REF!</v>
      </c>
    </row>
  </sheetData>
  <mergeCells count="6">
    <mergeCell ref="P2:T2"/>
    <mergeCell ref="A1:J1"/>
    <mergeCell ref="A2:A3"/>
    <mergeCell ref="B2:H2"/>
    <mergeCell ref="I2:J2"/>
    <mergeCell ref="K2:O2"/>
  </mergeCells>
  <dataValidations count="1">
    <dataValidation type="list" allowBlank="1" showInputMessage="1" showErrorMessage="1" sqref="D4:D282" xr:uid="{00000000-0002-0000-1200-000000000000}">
      <formula1>$AD$6:$AD$8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TEC</vt:lpstr>
      <vt:lpstr>LTEC</vt:lpstr>
      <vt:lpstr>Reference</vt:lpstr>
      <vt:lpstr>FLN Layout</vt:lpstr>
      <vt:lpstr>Box Schedule</vt:lpstr>
      <vt:lpstr>Panel Info</vt:lpstr>
      <vt:lpstr>Terminal Unit Valve Schedule</vt:lpstr>
      <vt:lpstr>Damper Schedule</vt:lpstr>
      <vt:lpstr>AFMS Schedule</vt:lpstr>
      <vt:lpstr>Water Flow Meters Schedule</vt:lpstr>
      <vt:lpstr>Ethernet Network Info</vt:lpstr>
      <vt:lpstr>VFD Setup</vt:lpstr>
      <vt:lpstr>Integrations</vt:lpstr>
      <vt:lpstr>Defaults</vt:lpstr>
      <vt:lpstr>Vlookup Tables</vt:lpstr>
      <vt:lpstr>Valve Reference</vt:lpstr>
      <vt:lpstr>Actuator Reference</vt:lpstr>
      <vt:lpstr>SCRATCH PAD</vt:lpstr>
      <vt:lpstr>copy of valve sheet</vt:lpstr>
      <vt:lpstr>'Box Schedule'!Print_Area</vt:lpstr>
      <vt:lpstr>'Damper Schedule'!Print_Area</vt:lpstr>
      <vt:lpstr>Integrations!Print_Area</vt:lpstr>
      <vt:lpstr>'Terminal Unit Valve Schedule'!Print_Area</vt:lpstr>
      <vt:lpstr>'Box Schedule'!Print_Titles</vt:lpstr>
      <vt:lpstr>'Terminal Unit Valve Schedule'!Print_Titles</vt:lpstr>
      <vt:lpstr>'Vlookup Tables'!Print_Titles</vt:lpstr>
    </vt:vector>
  </TitlesOfParts>
  <Company>Siemens Building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Walker</dc:creator>
  <cp:lastModifiedBy>Vorsten, John (RC-US BT FLD Z2 AUS)</cp:lastModifiedBy>
  <cp:lastPrinted>2017-04-13T17:59:33Z</cp:lastPrinted>
  <dcterms:created xsi:type="dcterms:W3CDTF">2001-11-27T17:44:16Z</dcterms:created>
  <dcterms:modified xsi:type="dcterms:W3CDTF">2018-10-30T17:57:42Z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324145849</vt:i4>
  </property>
  <property fmtid="{D5CDD505-2E9C-101B-9397-08002B2CF9AE}" pid="3" name="_NewReviewCycle">
    <vt:lpwstr/>
  </property>
  <property fmtid="{D5CDD505-2E9C-101B-9397-08002B2CF9AE}" pid="4" name="_EmailSubject">
    <vt:lpwstr>NEW Project Engineering Tool (PET) Version 13</vt:lpwstr>
  </property>
  <property fmtid="{D5CDD505-2E9C-101B-9397-08002B2CF9AE}" pid="5" name="_AuthorEmail">
    <vt:lpwstr>chadwalker@siemens.com</vt:lpwstr>
  </property>
  <property fmtid="{D5CDD505-2E9C-101B-9397-08002B2CF9AE}" pid="6" name="_AuthorEmailDisplayName">
    <vt:lpwstr>Walker, Chad</vt:lpwstr>
  </property>
  <property fmtid="{D5CDD505-2E9C-101B-9397-08002B2CF9AE}" pid="7" name="_ReviewingToolsShownOnce">
    <vt:lpwstr/>
  </property>
</Properties>
</file>